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defaultThemeVersion="202300"/>
  <mc:AlternateContent xmlns:mc="http://schemas.openxmlformats.org/markup-compatibility/2006">
    <mc:Choice Requires="x15">
      <x15ac:absPath xmlns:x15ac="http://schemas.microsoft.com/office/spreadsheetml/2010/11/ac" url="/Users/shinmatsushita/Desktop/kpi-navigator/excel/"/>
    </mc:Choice>
  </mc:AlternateContent>
  <xr:revisionPtr revIDLastSave="0" documentId="13_ncr:1_{888E7AEA-9881-9244-94CB-8CC95B6812B9}" xr6:coauthVersionLast="47" xr6:coauthVersionMax="47" xr10:uidLastSave="{00000000-0000-0000-0000-000000000000}"/>
  <bookViews>
    <workbookView xWindow="4040" yWindow="620" windowWidth="21560" windowHeight="15380" activeTab="6" xr2:uid="{00000000-000D-0000-FFFF-FFFF00000000}"/>
  </bookViews>
  <sheets>
    <sheet name="★プラナバルカ戦略表" sheetId="14" r:id="rId1"/>
    <sheet name="下方修正案" sheetId="15" r:id="rId2"/>
    <sheet name="目標_2025R7" sheetId="3" r:id="rId3"/>
    <sheet name="目標_2025R7 (2)" sheetId="12" state="hidden" r:id="rId4"/>
    <sheet name="適正原価率表(仕入れお小遣い制度)" sheetId="9" state="hidden" r:id="rId5"/>
    <sheet name="戦略シート" sheetId="4" state="hidden" r:id="rId6"/>
    <sheet name="実績_2024R6" sheetId="5" r:id="rId7"/>
    <sheet name="適正人件費表" sheetId="10" state="hidden" r:id="rId8"/>
    <sheet name="適正原価＆人件費プリントアウト用" sheetId="6" state="hidden" r:id="rId9"/>
    <sheet name="月次累積原価率表" sheetId="7" state="hidden" r:id="rId10"/>
    <sheet name="2024年間データ" sheetId="8" r:id="rId11"/>
    <sheet name="バルカ18期" sheetId="11" r:id="rId12"/>
    <sheet name="バルカ18期 (2)" sheetId="13" r:id="rId13"/>
  </sheets>
  <externalReferences>
    <externalReference r:id="rId14"/>
    <externalReference r:id="rId15"/>
  </externalReferences>
  <definedNames>
    <definedName name="_xlnm.Print_Area" localSheetId="11">バルカ18期!$C$2:$AA$62</definedName>
    <definedName name="_xlnm.Print_Area" localSheetId="12">'バルカ18期 (2)'!$C$2:$AA$62</definedName>
    <definedName name="_xlnm.Print_Area" localSheetId="3">'目標_2025R7 (2)'!$A$1:$T$386</definedName>
    <definedName name="_xlnm.Print_Titles" localSheetId="11">バルカ18期!$C:$C</definedName>
    <definedName name="_xlnm.Print_Titles" localSheetId="12">'バルカ18期 (2)'!$C:$C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Q385" i="3"/>
  <c r="Q384" i="3"/>
  <c r="Q383" i="3"/>
  <c r="Q382" i="3"/>
  <c r="Q381" i="3"/>
  <c r="Q380" i="3"/>
  <c r="Q379" i="3"/>
  <c r="Q378" i="3"/>
  <c r="Q377" i="3"/>
  <c r="Q376" i="3"/>
  <c r="Q375" i="3"/>
  <c r="Q374" i="3"/>
  <c r="Q373" i="3"/>
  <c r="Q372" i="3"/>
  <c r="Q371" i="3"/>
  <c r="Q370" i="3"/>
  <c r="Q369" i="3"/>
  <c r="Q368" i="3"/>
  <c r="Q367" i="3"/>
  <c r="Q366" i="3"/>
  <c r="Q365" i="3"/>
  <c r="Q364" i="3"/>
  <c r="Q363" i="3"/>
  <c r="Q362" i="3"/>
  <c r="Q361" i="3"/>
  <c r="Q360" i="3"/>
  <c r="Q359" i="3"/>
  <c r="Q358" i="3"/>
  <c r="Q357" i="3"/>
  <c r="Q356" i="3"/>
  <c r="Q354" i="3"/>
  <c r="Q353" i="3"/>
  <c r="Q352" i="3"/>
  <c r="Q351" i="3"/>
  <c r="Q350" i="3"/>
  <c r="Q349" i="3"/>
  <c r="Q348" i="3"/>
  <c r="Q347" i="3"/>
  <c r="Q346" i="3"/>
  <c r="Q345" i="3"/>
  <c r="Q344" i="3"/>
  <c r="Q343" i="3"/>
  <c r="Q342" i="3"/>
  <c r="Q341" i="3"/>
  <c r="Q340" i="3"/>
  <c r="Q339" i="3"/>
  <c r="Q338" i="3"/>
  <c r="Q337" i="3"/>
  <c r="Q336" i="3"/>
  <c r="Q335" i="3"/>
  <c r="Q334" i="3"/>
  <c r="Q333" i="3"/>
  <c r="Q332" i="3"/>
  <c r="Q331" i="3"/>
  <c r="Q330" i="3"/>
  <c r="Q329" i="3"/>
  <c r="Q328" i="3"/>
  <c r="Q327" i="3"/>
  <c r="Q326" i="3"/>
  <c r="Q324" i="3"/>
  <c r="Q323" i="3"/>
  <c r="Q322" i="3"/>
  <c r="Q321" i="3"/>
  <c r="Q320" i="3"/>
  <c r="Q319" i="3"/>
  <c r="Q318" i="3"/>
  <c r="Q317" i="3"/>
  <c r="Q316" i="3"/>
  <c r="Q315" i="3"/>
  <c r="Q314" i="3"/>
  <c r="Q313" i="3"/>
  <c r="Q312" i="3"/>
  <c r="Q311" i="3"/>
  <c r="Q310" i="3"/>
  <c r="Q309" i="3"/>
  <c r="Q308" i="3"/>
  <c r="Q307" i="3"/>
  <c r="Q306" i="3"/>
  <c r="Q305" i="3"/>
  <c r="Q304" i="3"/>
  <c r="Q303" i="3"/>
  <c r="Q302" i="3"/>
  <c r="Q301" i="3"/>
  <c r="Q300" i="3"/>
  <c r="Q299" i="3"/>
  <c r="Q298" i="3"/>
  <c r="Q297" i="3"/>
  <c r="Q296" i="3"/>
  <c r="Q295" i="3"/>
  <c r="G3" i="3"/>
  <c r="C20" i="15"/>
  <c r="F17" i="15"/>
  <c r="F11" i="15"/>
  <c r="C11" i="15"/>
  <c r="G10" i="15"/>
  <c r="I10" i="15" s="1"/>
  <c r="E10" i="15"/>
  <c r="G9" i="15"/>
  <c r="I9" i="15" s="1"/>
  <c r="E9" i="15"/>
  <c r="G8" i="15"/>
  <c r="I8" i="15" s="1"/>
  <c r="E8" i="15"/>
  <c r="I7" i="15"/>
  <c r="G7" i="15"/>
  <c r="E7" i="15"/>
  <c r="I6" i="15"/>
  <c r="G6" i="15"/>
  <c r="E6" i="15"/>
  <c r="I5" i="15"/>
  <c r="G5" i="15"/>
  <c r="E5" i="15"/>
  <c r="I4" i="15"/>
  <c r="G4" i="15"/>
  <c r="E4" i="15"/>
  <c r="I3" i="15"/>
  <c r="G3" i="15"/>
  <c r="E3" i="15"/>
  <c r="L32" i="3"/>
  <c r="L33" i="3"/>
  <c r="L39" i="3"/>
  <c r="L46" i="3"/>
  <c r="L53" i="3"/>
  <c r="L60" i="3"/>
  <c r="L62" i="3"/>
  <c r="L67" i="3"/>
  <c r="L74" i="3"/>
  <c r="L75" i="3"/>
  <c r="L81" i="3"/>
  <c r="L88" i="3"/>
  <c r="L95" i="3"/>
  <c r="L99" i="3"/>
  <c r="L102" i="3"/>
  <c r="L109" i="3"/>
  <c r="L116" i="3"/>
  <c r="L123" i="3"/>
  <c r="L130" i="3"/>
  <c r="L137" i="3"/>
  <c r="L139" i="3"/>
  <c r="L143" i="3"/>
  <c r="L144" i="3"/>
  <c r="L145" i="3"/>
  <c r="L146" i="3"/>
  <c r="L151" i="3"/>
  <c r="L158" i="3"/>
  <c r="L165" i="3"/>
  <c r="L172" i="3"/>
  <c r="L179" i="3"/>
  <c r="L186" i="3"/>
  <c r="L193" i="3"/>
  <c r="L200" i="3"/>
  <c r="L207" i="3"/>
  <c r="L214" i="3"/>
  <c r="L221" i="3"/>
  <c r="L222" i="3"/>
  <c r="L228" i="3"/>
  <c r="L235" i="3"/>
  <c r="L242" i="3"/>
  <c r="L243" i="3"/>
  <c r="L244" i="3"/>
  <c r="L245" i="3"/>
  <c r="L246" i="3"/>
  <c r="L247" i="3"/>
  <c r="L248" i="3"/>
  <c r="L249" i="3"/>
  <c r="L256" i="3"/>
  <c r="L263" i="3"/>
  <c r="L270" i="3"/>
  <c r="L277" i="3"/>
  <c r="L278" i="3"/>
  <c r="L284" i="3"/>
  <c r="L286" i="3"/>
  <c r="L291" i="3"/>
  <c r="L298" i="3"/>
  <c r="L305" i="3"/>
  <c r="L306" i="3"/>
  <c r="L312" i="3"/>
  <c r="L319" i="3"/>
  <c r="L326" i="3"/>
  <c r="L327" i="3"/>
  <c r="L333" i="3"/>
  <c r="L340" i="3"/>
  <c r="L347" i="3"/>
  <c r="L348" i="3"/>
  <c r="L354" i="3"/>
  <c r="L361" i="3"/>
  <c r="L368" i="3"/>
  <c r="L375" i="3"/>
  <c r="L382" i="3"/>
  <c r="L383" i="3"/>
  <c r="L384" i="3"/>
  <c r="L385" i="3"/>
  <c r="L22" i="3"/>
  <c r="L23" i="3"/>
  <c r="L24" i="3"/>
  <c r="L25" i="3"/>
  <c r="L21" i="3"/>
  <c r="C81" i="14"/>
  <c r="I80" i="14"/>
  <c r="H80" i="14"/>
  <c r="I79" i="14"/>
  <c r="H79" i="14"/>
  <c r="I78" i="14"/>
  <c r="H78" i="14"/>
  <c r="I77" i="14"/>
  <c r="H77" i="14"/>
  <c r="I76" i="14"/>
  <c r="H76" i="14"/>
  <c r="G76" i="14"/>
  <c r="F76" i="14"/>
  <c r="I75" i="14"/>
  <c r="H75" i="14"/>
  <c r="I74" i="14"/>
  <c r="H74" i="14"/>
  <c r="I73" i="14"/>
  <c r="H73" i="14"/>
  <c r="I72" i="14"/>
  <c r="H72" i="14"/>
  <c r="I71" i="14"/>
  <c r="H71" i="14"/>
  <c r="I70" i="14"/>
  <c r="H70" i="14"/>
  <c r="G70" i="14"/>
  <c r="F70" i="14"/>
  <c r="I69" i="14"/>
  <c r="H69" i="14"/>
  <c r="G69" i="14"/>
  <c r="F69" i="14"/>
  <c r="I68" i="14"/>
  <c r="H68" i="14"/>
  <c r="I67" i="14"/>
  <c r="H67" i="14"/>
  <c r="I66" i="14"/>
  <c r="H66" i="14"/>
  <c r="I65" i="14"/>
  <c r="H65" i="14"/>
  <c r="I64" i="14"/>
  <c r="H64" i="14"/>
  <c r="I63" i="14"/>
  <c r="H63" i="14"/>
  <c r="I62" i="14"/>
  <c r="H62" i="14"/>
  <c r="G62" i="14"/>
  <c r="F62" i="14"/>
  <c r="I61" i="14"/>
  <c r="H61" i="14"/>
  <c r="I60" i="14"/>
  <c r="H60" i="14"/>
  <c r="I59" i="14"/>
  <c r="H59" i="14"/>
  <c r="I55" i="14"/>
  <c r="H55" i="14"/>
  <c r="H56" i="14" s="1"/>
  <c r="G55" i="14"/>
  <c r="F55" i="14"/>
  <c r="H50" i="14"/>
  <c r="H51" i="14" s="1"/>
  <c r="H52" i="14" s="1"/>
  <c r="B50" i="14"/>
  <c r="B51" i="14" s="1"/>
  <c r="B52" i="14" s="1"/>
  <c r="B53" i="14" s="1"/>
  <c r="B54" i="14" s="1"/>
  <c r="B55" i="14" s="1"/>
  <c r="B56" i="14" s="1"/>
  <c r="B57" i="14" s="1"/>
  <c r="B58" i="14" s="1"/>
  <c r="B59" i="14" s="1"/>
  <c r="B60" i="14" s="1"/>
  <c r="B61" i="14" s="1"/>
  <c r="B62" i="14" s="1"/>
  <c r="B63" i="14" s="1"/>
  <c r="B64" i="14" s="1"/>
  <c r="B65" i="14" s="1"/>
  <c r="B66" i="14" s="1"/>
  <c r="B67" i="14" s="1"/>
  <c r="B68" i="14" s="1"/>
  <c r="B69" i="14" s="1"/>
  <c r="B70" i="14" s="1"/>
  <c r="B71" i="14" s="1"/>
  <c r="B72" i="14" s="1"/>
  <c r="B73" i="14" s="1"/>
  <c r="B74" i="14" s="1"/>
  <c r="B75" i="14" s="1"/>
  <c r="B76" i="14" s="1"/>
  <c r="B77" i="14" s="1"/>
  <c r="B78" i="14" s="1"/>
  <c r="B79" i="14" s="1"/>
  <c r="B80" i="14" s="1"/>
  <c r="C47" i="14"/>
  <c r="E24" i="14"/>
  <c r="F15" i="14"/>
  <c r="C15" i="14"/>
  <c r="B3" i="14"/>
  <c r="D3" i="14" s="1"/>
  <c r="C4" i="14" s="1"/>
  <c r="C2" i="14"/>
  <c r="AE40" i="5"/>
  <c r="C32" i="14" l="1"/>
  <c r="F18" i="15"/>
  <c r="K80" i="14"/>
  <c r="J76" i="14"/>
  <c r="K73" i="14"/>
  <c r="K67" i="14"/>
  <c r="K59" i="14"/>
  <c r="K69" i="14"/>
  <c r="K71" i="14"/>
  <c r="K62" i="14"/>
  <c r="K75" i="14"/>
  <c r="K65" i="14"/>
  <c r="K74" i="14"/>
  <c r="J71" i="14"/>
  <c r="K61" i="14"/>
  <c r="J64" i="14"/>
  <c r="J73" i="14"/>
  <c r="K79" i="14"/>
  <c r="K68" i="14"/>
  <c r="J59" i="14"/>
  <c r="K60" i="14"/>
  <c r="K63" i="14"/>
  <c r="J67" i="14"/>
  <c r="K72" i="14"/>
  <c r="J79" i="14"/>
  <c r="K77" i="14"/>
  <c r="J78" i="14"/>
  <c r="J65" i="14"/>
  <c r="J62" i="14"/>
  <c r="J68" i="14"/>
  <c r="J72" i="14"/>
  <c r="J74" i="14"/>
  <c r="J55" i="14"/>
  <c r="J60" i="14"/>
  <c r="K55" i="14"/>
  <c r="K66" i="14"/>
  <c r="K70" i="14"/>
  <c r="J69" i="14"/>
  <c r="K76" i="14"/>
  <c r="I11" i="15"/>
  <c r="H57" i="14"/>
  <c r="K64" i="14"/>
  <c r="K78" i="14"/>
  <c r="J66" i="14"/>
  <c r="J70" i="14"/>
  <c r="J80" i="14"/>
  <c r="H53" i="14"/>
  <c r="J61" i="14"/>
  <c r="J63" i="14"/>
  <c r="J75" i="14"/>
  <c r="J77" i="14"/>
  <c r="C14" i="15" l="1"/>
  <c r="C16" i="15"/>
  <c r="C13" i="15"/>
  <c r="C15" i="15"/>
  <c r="H54" i="14"/>
  <c r="H58" i="14"/>
  <c r="G15" i="15" l="1"/>
  <c r="E15" i="15"/>
  <c r="E13" i="15"/>
  <c r="G13" i="15"/>
  <c r="C19" i="15"/>
  <c r="C17" i="15"/>
  <c r="G16" i="15"/>
  <c r="E16" i="15"/>
  <c r="G14" i="15"/>
  <c r="E14" i="15"/>
  <c r="E21" i="15" l="1"/>
  <c r="D21" i="15"/>
  <c r="C21" i="15"/>
  <c r="AD7" i="3" l="1"/>
  <c r="AD8" i="3"/>
  <c r="AD9" i="3"/>
  <c r="AD10" i="3"/>
  <c r="AD11" i="3"/>
  <c r="AD12" i="3"/>
  <c r="AD13" i="3"/>
  <c r="AD14" i="3"/>
  <c r="AD15" i="3"/>
  <c r="AD16" i="3"/>
  <c r="AD17" i="3"/>
  <c r="AD18" i="3"/>
  <c r="Y21" i="3"/>
  <c r="Y22" i="3" s="1"/>
  <c r="Y23" i="3" s="1"/>
  <c r="Y24" i="3" s="1"/>
  <c r="Y25" i="3" s="1"/>
  <c r="Y26" i="3" s="1"/>
  <c r="Y27" i="3" s="1"/>
  <c r="Y28" i="3" s="1"/>
  <c r="Y29" i="3" s="1"/>
  <c r="Y30" i="3" s="1"/>
  <c r="Y31" i="3" s="1"/>
  <c r="Y32" i="3" s="1"/>
  <c r="Y33" i="3" s="1"/>
  <c r="Y34" i="3" s="1"/>
  <c r="Y35" i="3" s="1"/>
  <c r="Y36" i="3" s="1"/>
  <c r="Y37" i="3" s="1"/>
  <c r="Y38" i="3" s="1"/>
  <c r="Y39" i="3" s="1"/>
  <c r="Y40" i="3" s="1"/>
  <c r="Y41" i="3" s="1"/>
  <c r="Y42" i="3" s="1"/>
  <c r="Y43" i="3" s="1"/>
  <c r="Y44" i="3" s="1"/>
  <c r="Y45" i="3" s="1"/>
  <c r="Y46" i="3" s="1"/>
  <c r="Y47" i="3" s="1"/>
  <c r="Y48" i="3" s="1"/>
  <c r="Y49" i="3" s="1"/>
  <c r="Y50" i="3" s="1"/>
  <c r="Y51" i="3" s="1"/>
  <c r="Y52" i="3" s="1"/>
  <c r="Y53" i="3" s="1"/>
  <c r="Y54" i="3" s="1"/>
  <c r="Y55" i="3" s="1"/>
  <c r="Y56" i="3" s="1"/>
  <c r="Y57" i="3" s="1"/>
  <c r="Y58" i="3" s="1"/>
  <c r="Y59" i="3" s="1"/>
  <c r="Y60" i="3" s="1"/>
  <c r="Y61" i="3" s="1"/>
  <c r="Y62" i="3" s="1"/>
  <c r="Y63" i="3" s="1"/>
  <c r="Y64" i="3" s="1"/>
  <c r="Y65" i="3" s="1"/>
  <c r="Y66" i="3" s="1"/>
  <c r="Y67" i="3" s="1"/>
  <c r="Y68" i="3" s="1"/>
  <c r="Y69" i="3" s="1"/>
  <c r="Y70" i="3" s="1"/>
  <c r="Y71" i="3" s="1"/>
  <c r="Y72" i="3" s="1"/>
  <c r="Y73" i="3" s="1"/>
  <c r="Y74" i="3" s="1"/>
  <c r="Y75" i="3" s="1"/>
  <c r="Y76" i="3" s="1"/>
  <c r="Y77" i="3" s="1"/>
  <c r="Y78" i="3" s="1"/>
  <c r="Y79" i="3" s="1"/>
  <c r="Y80" i="3" s="1"/>
  <c r="Y81" i="3" s="1"/>
  <c r="Y82" i="3" s="1"/>
  <c r="Y83" i="3" s="1"/>
  <c r="Y84" i="3" s="1"/>
  <c r="Y85" i="3" s="1"/>
  <c r="Y86" i="3" s="1"/>
  <c r="Y87" i="3" s="1"/>
  <c r="Y88" i="3" s="1"/>
  <c r="Y89" i="3" s="1"/>
  <c r="Y90" i="3" s="1"/>
  <c r="Y91" i="3" s="1"/>
  <c r="Y92" i="3" s="1"/>
  <c r="Y93" i="3" s="1"/>
  <c r="Y94" i="3" s="1"/>
  <c r="Y95" i="3" s="1"/>
  <c r="Y96" i="3" s="1"/>
  <c r="Y97" i="3" s="1"/>
  <c r="Y98" i="3" s="1"/>
  <c r="Y99" i="3" s="1"/>
  <c r="Y100" i="3" s="1"/>
  <c r="Y101" i="3" s="1"/>
  <c r="Y102" i="3" s="1"/>
  <c r="Y103" i="3" s="1"/>
  <c r="Y104" i="3" s="1"/>
  <c r="Y105" i="3" s="1"/>
  <c r="Y106" i="3" s="1"/>
  <c r="Y107" i="3" s="1"/>
  <c r="Y108" i="3" s="1"/>
  <c r="Y109" i="3" s="1"/>
  <c r="Y110" i="3" s="1"/>
  <c r="Y111" i="3" s="1"/>
  <c r="Y112" i="3" s="1"/>
  <c r="Y113" i="3" s="1"/>
  <c r="Y114" i="3" s="1"/>
  <c r="Y115" i="3" s="1"/>
  <c r="Y116" i="3" s="1"/>
  <c r="Y117" i="3" s="1"/>
  <c r="Y118" i="3" s="1"/>
  <c r="Y119" i="3" s="1"/>
  <c r="Y120" i="3" s="1"/>
  <c r="Y121" i="3" s="1"/>
  <c r="Y122" i="3" s="1"/>
  <c r="Y123" i="3" s="1"/>
  <c r="Y124" i="3" s="1"/>
  <c r="Y125" i="3" s="1"/>
  <c r="Y126" i="3" s="1"/>
  <c r="Y127" i="3" s="1"/>
  <c r="Y128" i="3" s="1"/>
  <c r="Y129" i="3" s="1"/>
  <c r="Y130" i="3" s="1"/>
  <c r="Y131" i="3" s="1"/>
  <c r="Y132" i="3" s="1"/>
  <c r="Y133" i="3" s="1"/>
  <c r="Y134" i="3" s="1"/>
  <c r="Y135" i="3" s="1"/>
  <c r="Y136" i="3" s="1"/>
  <c r="Y137" i="3" s="1"/>
  <c r="Y138" i="3" s="1"/>
  <c r="Y139" i="3" s="1"/>
  <c r="Y140" i="3" s="1"/>
  <c r="Y141" i="3" s="1"/>
  <c r="Y142" i="3" s="1"/>
  <c r="Y143" i="3" s="1"/>
  <c r="Y144" i="3" s="1"/>
  <c r="Y145" i="3" s="1"/>
  <c r="Y146" i="3" s="1"/>
  <c r="Y147" i="3" s="1"/>
  <c r="Y148" i="3" s="1"/>
  <c r="Y149" i="3" s="1"/>
  <c r="Y150" i="3" s="1"/>
  <c r="Y151" i="3" s="1"/>
  <c r="Y152" i="3" s="1"/>
  <c r="Y153" i="3" s="1"/>
  <c r="Y154" i="3" s="1"/>
  <c r="Y155" i="3" s="1"/>
  <c r="Y156" i="3" s="1"/>
  <c r="Y157" i="3" s="1"/>
  <c r="Y158" i="3" s="1"/>
  <c r="Y159" i="3" s="1"/>
  <c r="Y160" i="3" s="1"/>
  <c r="Y161" i="3" s="1"/>
  <c r="Y162" i="3" s="1"/>
  <c r="Y163" i="3" s="1"/>
  <c r="Y164" i="3" s="1"/>
  <c r="Y165" i="3" s="1"/>
  <c r="Y166" i="3" s="1"/>
  <c r="Y167" i="3" s="1"/>
  <c r="Y168" i="3" s="1"/>
  <c r="Y169" i="3" s="1"/>
  <c r="Y170" i="3" s="1"/>
  <c r="Y171" i="3" s="1"/>
  <c r="Y172" i="3" s="1"/>
  <c r="Y173" i="3" s="1"/>
  <c r="Y174" i="3" s="1"/>
  <c r="Y175" i="3" s="1"/>
  <c r="Y176" i="3" s="1"/>
  <c r="Y177" i="3" s="1"/>
  <c r="Y178" i="3" s="1"/>
  <c r="Y179" i="3" s="1"/>
  <c r="Y180" i="3" s="1"/>
  <c r="Y181" i="3" s="1"/>
  <c r="Y182" i="3" s="1"/>
  <c r="Y183" i="3" s="1"/>
  <c r="Y184" i="3" s="1"/>
  <c r="Y185" i="3" s="1"/>
  <c r="Y186" i="3" s="1"/>
  <c r="Y187" i="3" s="1"/>
  <c r="Y188" i="3" s="1"/>
  <c r="Y189" i="3" s="1"/>
  <c r="Y190" i="3" s="1"/>
  <c r="Y191" i="3" s="1"/>
  <c r="Y192" i="3" s="1"/>
  <c r="Y193" i="3" s="1"/>
  <c r="Y194" i="3" s="1"/>
  <c r="Y195" i="3" s="1"/>
  <c r="Y196" i="3" s="1"/>
  <c r="Y197" i="3" s="1"/>
  <c r="Y198" i="3" s="1"/>
  <c r="Y199" i="3" s="1"/>
  <c r="Y200" i="3" s="1"/>
  <c r="Y201" i="3" s="1"/>
  <c r="Y202" i="3" s="1"/>
  <c r="Y203" i="3" s="1"/>
  <c r="Y204" i="3" s="1"/>
  <c r="Y205" i="3" s="1"/>
  <c r="Y206" i="3" s="1"/>
  <c r="Y207" i="3" s="1"/>
  <c r="Y208" i="3" s="1"/>
  <c r="Y209" i="3" s="1"/>
  <c r="Y210" i="3" s="1"/>
  <c r="Y211" i="3" s="1"/>
  <c r="Y212" i="3" s="1"/>
  <c r="Y213" i="3" s="1"/>
  <c r="Y214" i="3" s="1"/>
  <c r="Y215" i="3" s="1"/>
  <c r="Y216" i="3" s="1"/>
  <c r="Y217" i="3" s="1"/>
  <c r="Y218" i="3" s="1"/>
  <c r="Y219" i="3" s="1"/>
  <c r="Y220" i="3" s="1"/>
  <c r="Y221" i="3" s="1"/>
  <c r="Y222" i="3" s="1"/>
  <c r="Y223" i="3" s="1"/>
  <c r="Y224" i="3" s="1"/>
  <c r="Y225" i="3" s="1"/>
  <c r="Y226" i="3" s="1"/>
  <c r="Y227" i="3" s="1"/>
  <c r="Y228" i="3" s="1"/>
  <c r="Y229" i="3" s="1"/>
  <c r="Y230" i="3" s="1"/>
  <c r="Y231" i="3" s="1"/>
  <c r="Y232" i="3" s="1"/>
  <c r="Y233" i="3" s="1"/>
  <c r="Y234" i="3" s="1"/>
  <c r="Y235" i="3" s="1"/>
  <c r="Y236" i="3" s="1"/>
  <c r="Y237" i="3" s="1"/>
  <c r="Y238" i="3" s="1"/>
  <c r="Y239" i="3" s="1"/>
  <c r="Y240" i="3" s="1"/>
  <c r="Y241" i="3" s="1"/>
  <c r="Y242" i="3" s="1"/>
  <c r="Y243" i="3" s="1"/>
  <c r="Y244" i="3" s="1"/>
  <c r="Y245" i="3" s="1"/>
  <c r="Y246" i="3" s="1"/>
  <c r="Y247" i="3" s="1"/>
  <c r="Y248" i="3" s="1"/>
  <c r="Y249" i="3" s="1"/>
  <c r="Y250" i="3" s="1"/>
  <c r="Y251" i="3" s="1"/>
  <c r="Y252" i="3" s="1"/>
  <c r="Y253" i="3" s="1"/>
  <c r="Y254" i="3" s="1"/>
  <c r="Y255" i="3" s="1"/>
  <c r="Y256" i="3" s="1"/>
  <c r="Y257" i="3" s="1"/>
  <c r="Y258" i="3" s="1"/>
  <c r="Y259" i="3" s="1"/>
  <c r="Y260" i="3" s="1"/>
  <c r="Y261" i="3" s="1"/>
  <c r="Y262" i="3" s="1"/>
  <c r="Y263" i="3" s="1"/>
  <c r="Y264" i="3" s="1"/>
  <c r="Y265" i="3" s="1"/>
  <c r="Y266" i="3" s="1"/>
  <c r="Y267" i="3" s="1"/>
  <c r="Y268" i="3" s="1"/>
  <c r="Y269" i="3" s="1"/>
  <c r="Y270" i="3" s="1"/>
  <c r="Y271" i="3" s="1"/>
  <c r="Y272" i="3" s="1"/>
  <c r="Y273" i="3" s="1"/>
  <c r="Y274" i="3" s="1"/>
  <c r="Y275" i="3" s="1"/>
  <c r="Y276" i="3" s="1"/>
  <c r="Y277" i="3" s="1"/>
  <c r="Y278" i="3" s="1"/>
  <c r="Y279" i="3" s="1"/>
  <c r="Y280" i="3" s="1"/>
  <c r="Y281" i="3" s="1"/>
  <c r="Y282" i="3" s="1"/>
  <c r="Y283" i="3" s="1"/>
  <c r="Y284" i="3" s="1"/>
  <c r="Y285" i="3" s="1"/>
  <c r="Y286" i="3" s="1"/>
  <c r="Y287" i="3" s="1"/>
  <c r="Y288" i="3" s="1"/>
  <c r="Y289" i="3" s="1"/>
  <c r="Y290" i="3" s="1"/>
  <c r="Y291" i="3" s="1"/>
  <c r="Y292" i="3" s="1"/>
  <c r="Y293" i="3" s="1"/>
  <c r="Y294" i="3" s="1"/>
  <c r="Y295" i="3" s="1"/>
  <c r="Y296" i="3" s="1"/>
  <c r="Y297" i="3" s="1"/>
  <c r="Y298" i="3" s="1"/>
  <c r="Y299" i="3" s="1"/>
  <c r="Y300" i="3" s="1"/>
  <c r="Y301" i="3" s="1"/>
  <c r="Y302" i="3" s="1"/>
  <c r="Y303" i="3" s="1"/>
  <c r="Y304" i="3" s="1"/>
  <c r="Y305" i="3" s="1"/>
  <c r="Y306" i="3" s="1"/>
  <c r="Y307" i="3" s="1"/>
  <c r="Y308" i="3" s="1"/>
  <c r="Y309" i="3" s="1"/>
  <c r="Y310" i="3" s="1"/>
  <c r="Y311" i="3" s="1"/>
  <c r="Y312" i="3" s="1"/>
  <c r="Y313" i="3" s="1"/>
  <c r="Y314" i="3" s="1"/>
  <c r="Y315" i="3" s="1"/>
  <c r="Y316" i="3" s="1"/>
  <c r="Y317" i="3" s="1"/>
  <c r="Y318" i="3" s="1"/>
  <c r="Y319" i="3" s="1"/>
  <c r="Y320" i="3" s="1"/>
  <c r="Y321" i="3" s="1"/>
  <c r="Y322" i="3" s="1"/>
  <c r="Y323" i="3" s="1"/>
  <c r="Y324" i="3" s="1"/>
  <c r="Y325" i="3" s="1"/>
  <c r="Y326" i="3" s="1"/>
  <c r="Y327" i="3" s="1"/>
  <c r="Y328" i="3" s="1"/>
  <c r="Y329" i="3" s="1"/>
  <c r="Y330" i="3" s="1"/>
  <c r="Y331" i="3" s="1"/>
  <c r="Y332" i="3" s="1"/>
  <c r="Y333" i="3" s="1"/>
  <c r="Y334" i="3" s="1"/>
  <c r="Y335" i="3" s="1"/>
  <c r="Y336" i="3" s="1"/>
  <c r="Y337" i="3" s="1"/>
  <c r="Y338" i="3" s="1"/>
  <c r="Y339" i="3" s="1"/>
  <c r="Y340" i="3" s="1"/>
  <c r="Y341" i="3" s="1"/>
  <c r="Y342" i="3" s="1"/>
  <c r="Y343" i="3" s="1"/>
  <c r="Y344" i="3" s="1"/>
  <c r="Y345" i="3" s="1"/>
  <c r="Y346" i="3" s="1"/>
  <c r="Y347" i="3" s="1"/>
  <c r="Y348" i="3" s="1"/>
  <c r="Y349" i="3" s="1"/>
  <c r="Y350" i="3" s="1"/>
  <c r="Y351" i="3" s="1"/>
  <c r="Y352" i="3" s="1"/>
  <c r="Y353" i="3" s="1"/>
  <c r="Y354" i="3" s="1"/>
  <c r="Y355" i="3" s="1"/>
  <c r="Y356" i="3" s="1"/>
  <c r="Y357" i="3" s="1"/>
  <c r="Y358" i="3" s="1"/>
  <c r="Y359" i="3" s="1"/>
  <c r="Y360" i="3" s="1"/>
  <c r="Y361" i="3" s="1"/>
  <c r="Y362" i="3" s="1"/>
  <c r="Y363" i="3" s="1"/>
  <c r="Y364" i="3" s="1"/>
  <c r="Y365" i="3" s="1"/>
  <c r="Y366" i="3" s="1"/>
  <c r="Y367" i="3" s="1"/>
  <c r="Y368" i="3" s="1"/>
  <c r="Y369" i="3" s="1"/>
  <c r="Y370" i="3" s="1"/>
  <c r="Y371" i="3" s="1"/>
  <c r="Y372" i="3" s="1"/>
  <c r="Y373" i="3" s="1"/>
  <c r="Y374" i="3" s="1"/>
  <c r="Y375" i="3" s="1"/>
  <c r="Y376" i="3" s="1"/>
  <c r="Y377" i="3" s="1"/>
  <c r="Y378" i="3" s="1"/>
  <c r="Y379" i="3" s="1"/>
  <c r="Y380" i="3" s="1"/>
  <c r="Y381" i="3" s="1"/>
  <c r="Y382" i="3" s="1"/>
  <c r="Y383" i="3" s="1"/>
  <c r="Y384" i="3" s="1"/>
  <c r="Y385" i="3" s="1"/>
  <c r="Z21" i="3"/>
  <c r="Z22" i="3" s="1"/>
  <c r="Z23" i="3" s="1"/>
  <c r="Z24" i="3" s="1"/>
  <c r="Z25" i="3" s="1"/>
  <c r="Z26" i="3" s="1"/>
  <c r="Z27" i="3" s="1"/>
  <c r="Z28" i="3" s="1"/>
  <c r="Z29" i="3" s="1"/>
  <c r="Z30" i="3" s="1"/>
  <c r="Z31" i="3" s="1"/>
  <c r="Z32" i="3" s="1"/>
  <c r="Z33" i="3" s="1"/>
  <c r="Z34" i="3" s="1"/>
  <c r="Z35" i="3" s="1"/>
  <c r="Z36" i="3" s="1"/>
  <c r="Z37" i="3" s="1"/>
  <c r="Z38" i="3" s="1"/>
  <c r="Z39" i="3" s="1"/>
  <c r="Z40" i="3" s="1"/>
  <c r="Z41" i="3" s="1"/>
  <c r="Z42" i="3" s="1"/>
  <c r="Z43" i="3" s="1"/>
  <c r="Z44" i="3" s="1"/>
  <c r="Z45" i="3" s="1"/>
  <c r="Z46" i="3" s="1"/>
  <c r="Z47" i="3" s="1"/>
  <c r="Z48" i="3" s="1"/>
  <c r="Z49" i="3" s="1"/>
  <c r="Z50" i="3" s="1"/>
  <c r="Z51" i="3" s="1"/>
  <c r="Z52" i="3" s="1"/>
  <c r="Z53" i="3" s="1"/>
  <c r="Z54" i="3" s="1"/>
  <c r="Z55" i="3" s="1"/>
  <c r="Z56" i="3" s="1"/>
  <c r="Z57" i="3" s="1"/>
  <c r="Z58" i="3" s="1"/>
  <c r="Z59" i="3" s="1"/>
  <c r="Z60" i="3" s="1"/>
  <c r="Z61" i="3" s="1"/>
  <c r="Z62" i="3" s="1"/>
  <c r="Z63" i="3" s="1"/>
  <c r="Z64" i="3" s="1"/>
  <c r="Z65" i="3" s="1"/>
  <c r="Z66" i="3" s="1"/>
  <c r="Z67" i="3" s="1"/>
  <c r="Z68" i="3" s="1"/>
  <c r="Z69" i="3" s="1"/>
  <c r="Z70" i="3" s="1"/>
  <c r="Z71" i="3" s="1"/>
  <c r="Z72" i="3" s="1"/>
  <c r="Z73" i="3" s="1"/>
  <c r="Z74" i="3" s="1"/>
  <c r="Z75" i="3" s="1"/>
  <c r="Z76" i="3" s="1"/>
  <c r="Z77" i="3" s="1"/>
  <c r="Z78" i="3" s="1"/>
  <c r="Z79" i="3" s="1"/>
  <c r="Z80" i="3" s="1"/>
  <c r="Z81" i="3" s="1"/>
  <c r="Z82" i="3" s="1"/>
  <c r="Z83" i="3" s="1"/>
  <c r="Z84" i="3" s="1"/>
  <c r="Z85" i="3" s="1"/>
  <c r="Z86" i="3" s="1"/>
  <c r="Z87" i="3" s="1"/>
  <c r="Z88" i="3" s="1"/>
  <c r="Z89" i="3" s="1"/>
  <c r="Z90" i="3" s="1"/>
  <c r="Z91" i="3" s="1"/>
  <c r="Z92" i="3" s="1"/>
  <c r="Z93" i="3" s="1"/>
  <c r="Z94" i="3" s="1"/>
  <c r="Z95" i="3" s="1"/>
  <c r="Z96" i="3" s="1"/>
  <c r="Z97" i="3" s="1"/>
  <c r="Z98" i="3" s="1"/>
  <c r="Z99" i="3" s="1"/>
  <c r="Z100" i="3" s="1"/>
  <c r="Z101" i="3" s="1"/>
  <c r="Z102" i="3" s="1"/>
  <c r="Z103" i="3" s="1"/>
  <c r="Z104" i="3" s="1"/>
  <c r="Z105" i="3" s="1"/>
  <c r="Z106" i="3" s="1"/>
  <c r="Z107" i="3" s="1"/>
  <c r="Z108" i="3" s="1"/>
  <c r="Z109" i="3" s="1"/>
  <c r="Z110" i="3" s="1"/>
  <c r="Z111" i="3" s="1"/>
  <c r="Z112" i="3" s="1"/>
  <c r="Z113" i="3" s="1"/>
  <c r="Z114" i="3" s="1"/>
  <c r="Z115" i="3" s="1"/>
  <c r="Z116" i="3" s="1"/>
  <c r="Z117" i="3" s="1"/>
  <c r="Z118" i="3" s="1"/>
  <c r="Z119" i="3" s="1"/>
  <c r="Z120" i="3" s="1"/>
  <c r="Z121" i="3" s="1"/>
  <c r="Z122" i="3" s="1"/>
  <c r="Z123" i="3" s="1"/>
  <c r="Z124" i="3" s="1"/>
  <c r="Z125" i="3" s="1"/>
  <c r="Z126" i="3" s="1"/>
  <c r="Z127" i="3" s="1"/>
  <c r="Z128" i="3" s="1"/>
  <c r="Z129" i="3" s="1"/>
  <c r="Z130" i="3" s="1"/>
  <c r="Z131" i="3" s="1"/>
  <c r="Z132" i="3" s="1"/>
  <c r="Z133" i="3" s="1"/>
  <c r="Z134" i="3" s="1"/>
  <c r="Z135" i="3" s="1"/>
  <c r="Z136" i="3" s="1"/>
  <c r="Z137" i="3" s="1"/>
  <c r="Z138" i="3" s="1"/>
  <c r="Z139" i="3" s="1"/>
  <c r="Z140" i="3" s="1"/>
  <c r="Z141" i="3" s="1"/>
  <c r="Z142" i="3" s="1"/>
  <c r="Z143" i="3" s="1"/>
  <c r="Z144" i="3" s="1"/>
  <c r="Z145" i="3" s="1"/>
  <c r="Z146" i="3" s="1"/>
  <c r="Z147" i="3" s="1"/>
  <c r="Z148" i="3" s="1"/>
  <c r="Z149" i="3" s="1"/>
  <c r="Z150" i="3" s="1"/>
  <c r="Z151" i="3" s="1"/>
  <c r="Z152" i="3" s="1"/>
  <c r="Z153" i="3" s="1"/>
  <c r="Z154" i="3" s="1"/>
  <c r="Z155" i="3" s="1"/>
  <c r="Z156" i="3" s="1"/>
  <c r="Z157" i="3" s="1"/>
  <c r="Z158" i="3" s="1"/>
  <c r="Z159" i="3" s="1"/>
  <c r="Z160" i="3" s="1"/>
  <c r="Z161" i="3" s="1"/>
  <c r="Z162" i="3" s="1"/>
  <c r="Z163" i="3" s="1"/>
  <c r="Z164" i="3" s="1"/>
  <c r="Z165" i="3" s="1"/>
  <c r="Z166" i="3" s="1"/>
  <c r="Z167" i="3" s="1"/>
  <c r="Z168" i="3" s="1"/>
  <c r="Z169" i="3" s="1"/>
  <c r="Z170" i="3" s="1"/>
  <c r="Z171" i="3" s="1"/>
  <c r="Z172" i="3" s="1"/>
  <c r="Z173" i="3" s="1"/>
  <c r="Z174" i="3" s="1"/>
  <c r="Z175" i="3" s="1"/>
  <c r="Z176" i="3" s="1"/>
  <c r="Z177" i="3" s="1"/>
  <c r="Z178" i="3" s="1"/>
  <c r="Z179" i="3" s="1"/>
  <c r="Z180" i="3" s="1"/>
  <c r="Z181" i="3" s="1"/>
  <c r="Z182" i="3" s="1"/>
  <c r="Z183" i="3" s="1"/>
  <c r="Z184" i="3" s="1"/>
  <c r="Z185" i="3" s="1"/>
  <c r="Z186" i="3" s="1"/>
  <c r="Z187" i="3" s="1"/>
  <c r="Z188" i="3" s="1"/>
  <c r="Z189" i="3" s="1"/>
  <c r="Z190" i="3" s="1"/>
  <c r="Z191" i="3" s="1"/>
  <c r="Z192" i="3" s="1"/>
  <c r="Z193" i="3" s="1"/>
  <c r="Z194" i="3" s="1"/>
  <c r="Z195" i="3" s="1"/>
  <c r="Z196" i="3" s="1"/>
  <c r="Z197" i="3" s="1"/>
  <c r="Z198" i="3" s="1"/>
  <c r="Z199" i="3" s="1"/>
  <c r="Z200" i="3" s="1"/>
  <c r="Z201" i="3" s="1"/>
  <c r="Z202" i="3" s="1"/>
  <c r="Z203" i="3" s="1"/>
  <c r="Z204" i="3" s="1"/>
  <c r="Z205" i="3" s="1"/>
  <c r="Z206" i="3" s="1"/>
  <c r="Z207" i="3" s="1"/>
  <c r="Z208" i="3" s="1"/>
  <c r="Z209" i="3" s="1"/>
  <c r="Z210" i="3" s="1"/>
  <c r="Z211" i="3" s="1"/>
  <c r="Z212" i="3" s="1"/>
  <c r="Z213" i="3" s="1"/>
  <c r="Z214" i="3" s="1"/>
  <c r="Z215" i="3" s="1"/>
  <c r="Z216" i="3" s="1"/>
  <c r="Z217" i="3" s="1"/>
  <c r="Z218" i="3" s="1"/>
  <c r="Z219" i="3" s="1"/>
  <c r="Z220" i="3" s="1"/>
  <c r="Z221" i="3" s="1"/>
  <c r="Z222" i="3" s="1"/>
  <c r="Z223" i="3" s="1"/>
  <c r="Z224" i="3" s="1"/>
  <c r="Z225" i="3" s="1"/>
  <c r="Z226" i="3" s="1"/>
  <c r="Z227" i="3" s="1"/>
  <c r="Z228" i="3" s="1"/>
  <c r="Z229" i="3" s="1"/>
  <c r="Z230" i="3" s="1"/>
  <c r="Z231" i="3" s="1"/>
  <c r="Z232" i="3" s="1"/>
  <c r="Z233" i="3" s="1"/>
  <c r="Z234" i="3" s="1"/>
  <c r="Z235" i="3" s="1"/>
  <c r="Z236" i="3" s="1"/>
  <c r="Z237" i="3" s="1"/>
  <c r="Z238" i="3" s="1"/>
  <c r="Z239" i="3" s="1"/>
  <c r="Z240" i="3" s="1"/>
  <c r="Z241" i="3" s="1"/>
  <c r="Z242" i="3" s="1"/>
  <c r="Z243" i="3" s="1"/>
  <c r="Z244" i="3" s="1"/>
  <c r="Z245" i="3" s="1"/>
  <c r="Z246" i="3" s="1"/>
  <c r="Z247" i="3" s="1"/>
  <c r="Z248" i="3" s="1"/>
  <c r="Z249" i="3" s="1"/>
  <c r="Z250" i="3" s="1"/>
  <c r="Z251" i="3" s="1"/>
  <c r="Z252" i="3" s="1"/>
  <c r="Z253" i="3" s="1"/>
  <c r="Z254" i="3" s="1"/>
  <c r="Z255" i="3" s="1"/>
  <c r="Z256" i="3" s="1"/>
  <c r="Z257" i="3" s="1"/>
  <c r="Z258" i="3" s="1"/>
  <c r="Z259" i="3" s="1"/>
  <c r="Z260" i="3" s="1"/>
  <c r="Z261" i="3" s="1"/>
  <c r="Z262" i="3" s="1"/>
  <c r="Z263" i="3" s="1"/>
  <c r="Z264" i="3" s="1"/>
  <c r="Z265" i="3" s="1"/>
  <c r="Z266" i="3" s="1"/>
  <c r="Z267" i="3" s="1"/>
  <c r="Z268" i="3" s="1"/>
  <c r="Z269" i="3" s="1"/>
  <c r="Z270" i="3" s="1"/>
  <c r="Z271" i="3" s="1"/>
  <c r="Z272" i="3" s="1"/>
  <c r="Z273" i="3" s="1"/>
  <c r="Z274" i="3" s="1"/>
  <c r="Z275" i="3" s="1"/>
  <c r="Z276" i="3" s="1"/>
  <c r="Z277" i="3" s="1"/>
  <c r="Z278" i="3" s="1"/>
  <c r="Z279" i="3" s="1"/>
  <c r="Z280" i="3" s="1"/>
  <c r="Z281" i="3" s="1"/>
  <c r="Z282" i="3" s="1"/>
  <c r="Z283" i="3" s="1"/>
  <c r="Z284" i="3" s="1"/>
  <c r="Z285" i="3" s="1"/>
  <c r="Z286" i="3" s="1"/>
  <c r="Z287" i="3" s="1"/>
  <c r="Z288" i="3" s="1"/>
  <c r="Z289" i="3" s="1"/>
  <c r="Z290" i="3" s="1"/>
  <c r="Z291" i="3" s="1"/>
  <c r="Z292" i="3" s="1"/>
  <c r="Z293" i="3" s="1"/>
  <c r="Z294" i="3" s="1"/>
  <c r="Z295" i="3" s="1"/>
  <c r="Z296" i="3" s="1"/>
  <c r="Z297" i="3" s="1"/>
  <c r="Z298" i="3" s="1"/>
  <c r="Z299" i="3" s="1"/>
  <c r="Z300" i="3" s="1"/>
  <c r="Z301" i="3" s="1"/>
  <c r="Z302" i="3" s="1"/>
  <c r="Z303" i="3" s="1"/>
  <c r="Z304" i="3" s="1"/>
  <c r="Z305" i="3" s="1"/>
  <c r="Z306" i="3" s="1"/>
  <c r="Z307" i="3" s="1"/>
  <c r="Z308" i="3" s="1"/>
  <c r="Z309" i="3" s="1"/>
  <c r="Z310" i="3" s="1"/>
  <c r="Z311" i="3" s="1"/>
  <c r="Z312" i="3" s="1"/>
  <c r="Z313" i="3" s="1"/>
  <c r="Z314" i="3" s="1"/>
  <c r="Z315" i="3" s="1"/>
  <c r="Z316" i="3" s="1"/>
  <c r="Z317" i="3" s="1"/>
  <c r="Z318" i="3" s="1"/>
  <c r="Z319" i="3" s="1"/>
  <c r="Z320" i="3" s="1"/>
  <c r="Z321" i="3" s="1"/>
  <c r="Z322" i="3" s="1"/>
  <c r="Z323" i="3" s="1"/>
  <c r="Z324" i="3" s="1"/>
  <c r="Z325" i="3" s="1"/>
  <c r="Z326" i="3" s="1"/>
  <c r="Z327" i="3" s="1"/>
  <c r="Z328" i="3" s="1"/>
  <c r="Z329" i="3" s="1"/>
  <c r="Z330" i="3" s="1"/>
  <c r="Z331" i="3" s="1"/>
  <c r="Z332" i="3" s="1"/>
  <c r="Z333" i="3" s="1"/>
  <c r="Z334" i="3" s="1"/>
  <c r="Z335" i="3" s="1"/>
  <c r="Z336" i="3" s="1"/>
  <c r="Z337" i="3" s="1"/>
  <c r="Z338" i="3" s="1"/>
  <c r="Z339" i="3" s="1"/>
  <c r="Z340" i="3" s="1"/>
  <c r="Z341" i="3" s="1"/>
  <c r="Z342" i="3" s="1"/>
  <c r="Z343" i="3" s="1"/>
  <c r="Z344" i="3" s="1"/>
  <c r="Z345" i="3" s="1"/>
  <c r="Z346" i="3" s="1"/>
  <c r="Z347" i="3" s="1"/>
  <c r="Z348" i="3" s="1"/>
  <c r="Z349" i="3" s="1"/>
  <c r="Z350" i="3" s="1"/>
  <c r="Z351" i="3" s="1"/>
  <c r="Z352" i="3" s="1"/>
  <c r="Z353" i="3" s="1"/>
  <c r="Z354" i="3" s="1"/>
  <c r="Z355" i="3" s="1"/>
  <c r="Z356" i="3" s="1"/>
  <c r="Z357" i="3" s="1"/>
  <c r="Z358" i="3" s="1"/>
  <c r="Z359" i="3" s="1"/>
  <c r="Z360" i="3" s="1"/>
  <c r="Z361" i="3" s="1"/>
  <c r="Z362" i="3" s="1"/>
  <c r="Z363" i="3" s="1"/>
  <c r="Z364" i="3" s="1"/>
  <c r="Z365" i="3" s="1"/>
  <c r="Z366" i="3" s="1"/>
  <c r="Z367" i="3" s="1"/>
  <c r="Z368" i="3" s="1"/>
  <c r="Z369" i="3" s="1"/>
  <c r="Z370" i="3" s="1"/>
  <c r="Z371" i="3" s="1"/>
  <c r="Z372" i="3" s="1"/>
  <c r="Z373" i="3" s="1"/>
  <c r="Z374" i="3" s="1"/>
  <c r="Z375" i="3" s="1"/>
  <c r="Z376" i="3" s="1"/>
  <c r="Z377" i="3" s="1"/>
  <c r="Z378" i="3" s="1"/>
  <c r="Z379" i="3" s="1"/>
  <c r="Z380" i="3" s="1"/>
  <c r="Z381" i="3" s="1"/>
  <c r="Z382" i="3" s="1"/>
  <c r="Z383" i="3" s="1"/>
  <c r="Z384" i="3" s="1"/>
  <c r="Z385" i="3" s="1"/>
  <c r="AC34" i="13" l="1"/>
  <c r="AC57" i="13"/>
  <c r="AC56" i="13"/>
  <c r="Z55" i="13"/>
  <c r="X55" i="13"/>
  <c r="V55" i="13"/>
  <c r="T55" i="13"/>
  <c r="R55" i="13"/>
  <c r="P55" i="13"/>
  <c r="N55" i="13"/>
  <c r="L55" i="13"/>
  <c r="J55" i="13"/>
  <c r="H55" i="13"/>
  <c r="F55" i="13"/>
  <c r="D55" i="13"/>
  <c r="AC54" i="13"/>
  <c r="Z53" i="13"/>
  <c r="X53" i="13"/>
  <c r="V53" i="13"/>
  <c r="T53" i="13"/>
  <c r="R53" i="13"/>
  <c r="P53" i="13"/>
  <c r="N53" i="13"/>
  <c r="L53" i="13"/>
  <c r="J53" i="13"/>
  <c r="H53" i="13"/>
  <c r="F53" i="13"/>
  <c r="D53" i="13"/>
  <c r="Z52" i="13"/>
  <c r="X52" i="13"/>
  <c r="V52" i="13"/>
  <c r="T52" i="13"/>
  <c r="R52" i="13"/>
  <c r="P52" i="13"/>
  <c r="N52" i="13"/>
  <c r="L52" i="13"/>
  <c r="J52" i="13"/>
  <c r="H52" i="13"/>
  <c r="F52" i="13"/>
  <c r="D52" i="13"/>
  <c r="AC51" i="13"/>
  <c r="AC50" i="13"/>
  <c r="AC49" i="13"/>
  <c r="AC48" i="13"/>
  <c r="AC47" i="13"/>
  <c r="AC46" i="13"/>
  <c r="AC45" i="13"/>
  <c r="AC44" i="13"/>
  <c r="AC43" i="13"/>
  <c r="AC42" i="13"/>
  <c r="AC41" i="13"/>
  <c r="AC40" i="13"/>
  <c r="AC39" i="13"/>
  <c r="AC38" i="13"/>
  <c r="AC37" i="13"/>
  <c r="AC36" i="13"/>
  <c r="AC35" i="13"/>
  <c r="AC33" i="13"/>
  <c r="AC32" i="13"/>
  <c r="AC31" i="13"/>
  <c r="AC30" i="13"/>
  <c r="AC29" i="13"/>
  <c r="AC28" i="13"/>
  <c r="AC27" i="13"/>
  <c r="AC25" i="13"/>
  <c r="Z20" i="13"/>
  <c r="X20" i="13"/>
  <c r="V20" i="13"/>
  <c r="T20" i="13"/>
  <c r="R20" i="13"/>
  <c r="P20" i="13"/>
  <c r="N20" i="13"/>
  <c r="L20" i="13"/>
  <c r="J20" i="13"/>
  <c r="H20" i="13"/>
  <c r="F20" i="13"/>
  <c r="D20" i="13"/>
  <c r="D19" i="13"/>
  <c r="Z17" i="13"/>
  <c r="X17" i="13"/>
  <c r="V17" i="13"/>
  <c r="T17" i="13"/>
  <c r="R17" i="13"/>
  <c r="P17" i="13"/>
  <c r="N17" i="13"/>
  <c r="L17" i="13"/>
  <c r="J17" i="13"/>
  <c r="H17" i="13"/>
  <c r="F17" i="13"/>
  <c r="D17" i="13"/>
  <c r="Z16" i="13"/>
  <c r="X16" i="13"/>
  <c r="V16" i="13"/>
  <c r="T16" i="13"/>
  <c r="R16" i="13"/>
  <c r="P16" i="13"/>
  <c r="N16" i="13"/>
  <c r="L16" i="13"/>
  <c r="J16" i="13"/>
  <c r="H16" i="13"/>
  <c r="F16" i="13"/>
  <c r="D16" i="13"/>
  <c r="AC15" i="13"/>
  <c r="AC13" i="13"/>
  <c r="AA13" i="13"/>
  <c r="Y13" i="13"/>
  <c r="W13" i="13"/>
  <c r="U13" i="13"/>
  <c r="S13" i="13"/>
  <c r="Q13" i="13"/>
  <c r="O13" i="13"/>
  <c r="M13" i="13"/>
  <c r="K13" i="13"/>
  <c r="I13" i="13"/>
  <c r="G13" i="13"/>
  <c r="E13" i="13"/>
  <c r="AC12" i="13"/>
  <c r="Z8" i="13"/>
  <c r="X8" i="13"/>
  <c r="V8" i="13"/>
  <c r="T8" i="13"/>
  <c r="R8" i="13"/>
  <c r="P8" i="13"/>
  <c r="N8" i="13"/>
  <c r="L8" i="13"/>
  <c r="J8" i="13"/>
  <c r="H8" i="13"/>
  <c r="F8" i="13"/>
  <c r="D8" i="13"/>
  <c r="Z7" i="13"/>
  <c r="AA56" i="13" s="1"/>
  <c r="X7" i="13"/>
  <c r="Y56" i="13" s="1"/>
  <c r="V7" i="13"/>
  <c r="W37" i="13" s="1"/>
  <c r="T7" i="13"/>
  <c r="U45" i="13" s="1"/>
  <c r="R7" i="13"/>
  <c r="R64" i="13" s="1"/>
  <c r="P7" i="13"/>
  <c r="Q45" i="13" s="1"/>
  <c r="N7" i="13"/>
  <c r="O47" i="13" s="1"/>
  <c r="L7" i="13"/>
  <c r="M48" i="13" s="1"/>
  <c r="J7" i="13"/>
  <c r="K30" i="13" s="1"/>
  <c r="H7" i="13"/>
  <c r="I42" i="13" s="1"/>
  <c r="F7" i="13"/>
  <c r="G44" i="13" s="1"/>
  <c r="D7" i="13"/>
  <c r="E50" i="13" s="1"/>
  <c r="AA2" i="13"/>
  <c r="Z19" i="13" s="1"/>
  <c r="Y2" i="13"/>
  <c r="X19" i="13" s="1"/>
  <c r="W2" i="13"/>
  <c r="V19" i="13" s="1"/>
  <c r="U2" i="13"/>
  <c r="T19" i="13" s="1"/>
  <c r="S2" i="13"/>
  <c r="R19" i="13" s="1"/>
  <c r="P2" i="13"/>
  <c r="N2" i="13"/>
  <c r="M2" i="13"/>
  <c r="L19" i="13" s="1"/>
  <c r="J2" i="13"/>
  <c r="I2" i="13"/>
  <c r="H19" i="13" s="1"/>
  <c r="G2" i="13"/>
  <c r="F19" i="13" s="1"/>
  <c r="E2" i="13"/>
  <c r="X385" i="12"/>
  <c r="W385" i="12"/>
  <c r="V385" i="12"/>
  <c r="U385" i="12"/>
  <c r="S385" i="12"/>
  <c r="R385" i="12"/>
  <c r="Q385" i="12"/>
  <c r="P385" i="12"/>
  <c r="M385" i="12"/>
  <c r="L385" i="12"/>
  <c r="N385" i="12" s="1"/>
  <c r="X384" i="12"/>
  <c r="W384" i="12"/>
  <c r="V384" i="12"/>
  <c r="U384" i="12"/>
  <c r="S384" i="12"/>
  <c r="R384" i="12"/>
  <c r="Q384" i="12"/>
  <c r="P384" i="12"/>
  <c r="M384" i="12"/>
  <c r="L384" i="12"/>
  <c r="N384" i="12" s="1"/>
  <c r="X383" i="12"/>
  <c r="W383" i="12"/>
  <c r="V383" i="12"/>
  <c r="U383" i="12"/>
  <c r="S383" i="12"/>
  <c r="R383" i="12"/>
  <c r="Q383" i="12"/>
  <c r="P383" i="12"/>
  <c r="M383" i="12"/>
  <c r="L383" i="12"/>
  <c r="N383" i="12" s="1"/>
  <c r="X382" i="12"/>
  <c r="W382" i="12"/>
  <c r="V382" i="12"/>
  <c r="U382" i="12"/>
  <c r="S382" i="12"/>
  <c r="R382" i="12"/>
  <c r="Q382" i="12"/>
  <c r="P382" i="12"/>
  <c r="M382" i="12"/>
  <c r="L382" i="12"/>
  <c r="N382" i="12" s="1"/>
  <c r="V381" i="12"/>
  <c r="Q381" i="12"/>
  <c r="V380" i="12"/>
  <c r="Q380" i="12"/>
  <c r="V379" i="12"/>
  <c r="Q379" i="12"/>
  <c r="V378" i="12"/>
  <c r="Q378" i="12"/>
  <c r="V377" i="12"/>
  <c r="Q377" i="12"/>
  <c r="V376" i="12"/>
  <c r="Q376" i="12"/>
  <c r="X375" i="12"/>
  <c r="W375" i="12"/>
  <c r="V375" i="12"/>
  <c r="U375" i="12"/>
  <c r="S375" i="12"/>
  <c r="R375" i="12"/>
  <c r="Q375" i="12"/>
  <c r="P375" i="12"/>
  <c r="M375" i="12"/>
  <c r="L375" i="12"/>
  <c r="N375" i="12" s="1"/>
  <c r="V374" i="12"/>
  <c r="Q374" i="12"/>
  <c r="V373" i="12"/>
  <c r="Q373" i="12"/>
  <c r="V372" i="12"/>
  <c r="Q372" i="12"/>
  <c r="V371" i="12"/>
  <c r="Q371" i="12"/>
  <c r="V370" i="12"/>
  <c r="Q370" i="12"/>
  <c r="V369" i="12"/>
  <c r="Q369" i="12"/>
  <c r="X368" i="12"/>
  <c r="W368" i="12"/>
  <c r="V368" i="12"/>
  <c r="U368" i="12"/>
  <c r="S368" i="12"/>
  <c r="R368" i="12"/>
  <c r="Q368" i="12"/>
  <c r="P368" i="12"/>
  <c r="M368" i="12"/>
  <c r="L368" i="12"/>
  <c r="N368" i="12" s="1"/>
  <c r="V367" i="12"/>
  <c r="Q367" i="12"/>
  <c r="V366" i="12"/>
  <c r="Q366" i="12"/>
  <c r="V365" i="12"/>
  <c r="Q365" i="12"/>
  <c r="V364" i="12"/>
  <c r="Q364" i="12"/>
  <c r="V363" i="12"/>
  <c r="Q363" i="12"/>
  <c r="V362" i="12"/>
  <c r="Q362" i="12"/>
  <c r="X361" i="12"/>
  <c r="W361" i="12"/>
  <c r="V361" i="12"/>
  <c r="U361" i="12"/>
  <c r="S361" i="12"/>
  <c r="R361" i="12"/>
  <c r="Q361" i="12"/>
  <c r="P361" i="12"/>
  <c r="M361" i="12"/>
  <c r="L361" i="12"/>
  <c r="N361" i="12" s="1"/>
  <c r="V360" i="12"/>
  <c r="Q360" i="12"/>
  <c r="V359" i="12"/>
  <c r="Q359" i="12"/>
  <c r="V358" i="12"/>
  <c r="Q358" i="12"/>
  <c r="V357" i="12"/>
  <c r="Q357" i="12"/>
  <c r="V356" i="12"/>
  <c r="Q356" i="12"/>
  <c r="V355" i="12"/>
  <c r="Q355" i="12"/>
  <c r="X354" i="12"/>
  <c r="W354" i="12"/>
  <c r="V354" i="12"/>
  <c r="U354" i="12"/>
  <c r="S354" i="12"/>
  <c r="R354" i="12"/>
  <c r="Q354" i="12"/>
  <c r="P354" i="12"/>
  <c r="M354" i="12"/>
  <c r="L354" i="12"/>
  <c r="N354" i="12" s="1"/>
  <c r="V353" i="12"/>
  <c r="Q353" i="12"/>
  <c r="V352" i="12"/>
  <c r="Q352" i="12"/>
  <c r="V351" i="12"/>
  <c r="Q351" i="12"/>
  <c r="V350" i="12"/>
  <c r="Q350" i="12"/>
  <c r="V349" i="12"/>
  <c r="Q349" i="12"/>
  <c r="X348" i="12"/>
  <c r="W348" i="12"/>
  <c r="V348" i="12"/>
  <c r="U348" i="12"/>
  <c r="S348" i="12"/>
  <c r="R348" i="12"/>
  <c r="Q348" i="12"/>
  <c r="P348" i="12"/>
  <c r="M348" i="12"/>
  <c r="L348" i="12"/>
  <c r="N348" i="12" s="1"/>
  <c r="X347" i="12"/>
  <c r="W347" i="12"/>
  <c r="V347" i="12"/>
  <c r="U347" i="12"/>
  <c r="S347" i="12"/>
  <c r="R347" i="12"/>
  <c r="Q347" i="12"/>
  <c r="P347" i="12"/>
  <c r="M347" i="12"/>
  <c r="L347" i="12"/>
  <c r="N347" i="12" s="1"/>
  <c r="V346" i="12"/>
  <c r="Q346" i="12"/>
  <c r="V345" i="12"/>
  <c r="Q345" i="12"/>
  <c r="V344" i="12"/>
  <c r="Q344" i="12"/>
  <c r="V343" i="12"/>
  <c r="Q343" i="12"/>
  <c r="V342" i="12"/>
  <c r="Q342" i="12"/>
  <c r="V341" i="12"/>
  <c r="Q341" i="12"/>
  <c r="X340" i="12"/>
  <c r="W340" i="12"/>
  <c r="V340" i="12"/>
  <c r="U340" i="12"/>
  <c r="S340" i="12"/>
  <c r="R340" i="12"/>
  <c r="Q340" i="12"/>
  <c r="P340" i="12"/>
  <c r="M340" i="12"/>
  <c r="L340" i="12"/>
  <c r="N340" i="12" s="1"/>
  <c r="V339" i="12"/>
  <c r="Q339" i="12"/>
  <c r="V338" i="12"/>
  <c r="Q338" i="12"/>
  <c r="V337" i="12"/>
  <c r="Q337" i="12"/>
  <c r="V336" i="12"/>
  <c r="Q336" i="12"/>
  <c r="V335" i="12"/>
  <c r="Q335" i="12"/>
  <c r="V334" i="12"/>
  <c r="Q334" i="12"/>
  <c r="X333" i="12"/>
  <c r="W333" i="12"/>
  <c r="V333" i="12"/>
  <c r="U333" i="12"/>
  <c r="S333" i="12"/>
  <c r="R333" i="12"/>
  <c r="Q333" i="12"/>
  <c r="P333" i="12"/>
  <c r="M333" i="12"/>
  <c r="L333" i="12"/>
  <c r="N333" i="12" s="1"/>
  <c r="V332" i="12"/>
  <c r="Q332" i="12"/>
  <c r="V331" i="12"/>
  <c r="Q331" i="12"/>
  <c r="V330" i="12"/>
  <c r="Q330" i="12"/>
  <c r="V329" i="12"/>
  <c r="Q329" i="12"/>
  <c r="V328" i="12"/>
  <c r="Q328" i="12"/>
  <c r="X327" i="12"/>
  <c r="W327" i="12"/>
  <c r="V327" i="12"/>
  <c r="U327" i="12"/>
  <c r="S327" i="12"/>
  <c r="R327" i="12"/>
  <c r="Q327" i="12"/>
  <c r="P327" i="12"/>
  <c r="M327" i="12"/>
  <c r="L327" i="12"/>
  <c r="N327" i="12" s="1"/>
  <c r="X326" i="12"/>
  <c r="W326" i="12"/>
  <c r="V326" i="12"/>
  <c r="U326" i="12"/>
  <c r="S326" i="12"/>
  <c r="R326" i="12"/>
  <c r="Q326" i="12"/>
  <c r="P326" i="12"/>
  <c r="M326" i="12"/>
  <c r="L326" i="12"/>
  <c r="N326" i="12" s="1"/>
  <c r="V325" i="12"/>
  <c r="Q325" i="12"/>
  <c r="V324" i="12"/>
  <c r="Q324" i="12"/>
  <c r="V323" i="12"/>
  <c r="Q323" i="12"/>
  <c r="V322" i="12"/>
  <c r="Q322" i="12"/>
  <c r="V321" i="12"/>
  <c r="Q321" i="12"/>
  <c r="V320" i="12"/>
  <c r="Q320" i="12"/>
  <c r="X319" i="12"/>
  <c r="W319" i="12"/>
  <c r="V319" i="12"/>
  <c r="U319" i="12"/>
  <c r="S319" i="12"/>
  <c r="R319" i="12"/>
  <c r="Q319" i="12"/>
  <c r="P319" i="12"/>
  <c r="M319" i="12"/>
  <c r="L319" i="12"/>
  <c r="N319" i="12" s="1"/>
  <c r="V318" i="12"/>
  <c r="Q318" i="12"/>
  <c r="V317" i="12"/>
  <c r="Q317" i="12"/>
  <c r="V316" i="12"/>
  <c r="Q316" i="12"/>
  <c r="V315" i="12"/>
  <c r="Q315" i="12"/>
  <c r="V314" i="12"/>
  <c r="Q314" i="12"/>
  <c r="V313" i="12"/>
  <c r="Q313" i="12"/>
  <c r="X312" i="12"/>
  <c r="W312" i="12"/>
  <c r="V312" i="12"/>
  <c r="U312" i="12"/>
  <c r="S312" i="12"/>
  <c r="R312" i="12"/>
  <c r="Q312" i="12"/>
  <c r="P312" i="12"/>
  <c r="M312" i="12"/>
  <c r="L312" i="12"/>
  <c r="N312" i="12" s="1"/>
  <c r="V311" i="12"/>
  <c r="Q311" i="12"/>
  <c r="V310" i="12"/>
  <c r="Q310" i="12"/>
  <c r="V309" i="12"/>
  <c r="Q309" i="12"/>
  <c r="V308" i="12"/>
  <c r="Q308" i="12"/>
  <c r="V307" i="12"/>
  <c r="Q307" i="12"/>
  <c r="X306" i="12"/>
  <c r="W306" i="12"/>
  <c r="V306" i="12"/>
  <c r="U306" i="12"/>
  <c r="S306" i="12"/>
  <c r="R306" i="12"/>
  <c r="Q306" i="12"/>
  <c r="P306" i="12"/>
  <c r="M306" i="12"/>
  <c r="L306" i="12"/>
  <c r="N306" i="12" s="1"/>
  <c r="X305" i="12"/>
  <c r="W305" i="12"/>
  <c r="V305" i="12"/>
  <c r="U305" i="12"/>
  <c r="S305" i="12"/>
  <c r="R305" i="12"/>
  <c r="Q305" i="12"/>
  <c r="P305" i="12"/>
  <c r="M305" i="12"/>
  <c r="L305" i="12"/>
  <c r="N305" i="12" s="1"/>
  <c r="V304" i="12"/>
  <c r="Q304" i="12"/>
  <c r="V303" i="12"/>
  <c r="Q303" i="12"/>
  <c r="V302" i="12"/>
  <c r="Q302" i="12"/>
  <c r="V301" i="12"/>
  <c r="Q301" i="12"/>
  <c r="V300" i="12"/>
  <c r="Q300" i="12"/>
  <c r="V299" i="12"/>
  <c r="Q299" i="12"/>
  <c r="X298" i="12"/>
  <c r="W298" i="12"/>
  <c r="V298" i="12"/>
  <c r="U298" i="12"/>
  <c r="S298" i="12"/>
  <c r="R298" i="12"/>
  <c r="Q298" i="12"/>
  <c r="P298" i="12"/>
  <c r="M298" i="12"/>
  <c r="L298" i="12"/>
  <c r="N298" i="12" s="1"/>
  <c r="V297" i="12"/>
  <c r="Q297" i="12"/>
  <c r="V296" i="12"/>
  <c r="Q296" i="12"/>
  <c r="V295" i="12"/>
  <c r="Q295" i="12"/>
  <c r="V294" i="12"/>
  <c r="Q294" i="12"/>
  <c r="V293" i="12"/>
  <c r="Q293" i="12"/>
  <c r="V292" i="12"/>
  <c r="Q292" i="12"/>
  <c r="X291" i="12"/>
  <c r="W291" i="12"/>
  <c r="V291" i="12"/>
  <c r="U291" i="12"/>
  <c r="S291" i="12"/>
  <c r="R291" i="12"/>
  <c r="Q291" i="12"/>
  <c r="P291" i="12"/>
  <c r="M291" i="12"/>
  <c r="L291" i="12"/>
  <c r="N291" i="12" s="1"/>
  <c r="V290" i="12"/>
  <c r="Q290" i="12"/>
  <c r="V289" i="12"/>
  <c r="Q289" i="12"/>
  <c r="V288" i="12"/>
  <c r="Q288" i="12"/>
  <c r="V287" i="12"/>
  <c r="Q287" i="12"/>
  <c r="X286" i="12"/>
  <c r="W286" i="12"/>
  <c r="V286" i="12"/>
  <c r="U286" i="12"/>
  <c r="S286" i="12"/>
  <c r="R286" i="12"/>
  <c r="Q286" i="12"/>
  <c r="P286" i="12"/>
  <c r="M286" i="12"/>
  <c r="L286" i="12"/>
  <c r="N286" i="12" s="1"/>
  <c r="V285" i="12"/>
  <c r="Q285" i="12"/>
  <c r="X284" i="12"/>
  <c r="W284" i="12"/>
  <c r="V284" i="12"/>
  <c r="U284" i="12"/>
  <c r="S284" i="12"/>
  <c r="R284" i="12"/>
  <c r="Q284" i="12"/>
  <c r="P284" i="12"/>
  <c r="M284" i="12"/>
  <c r="L284" i="12"/>
  <c r="N284" i="12" s="1"/>
  <c r="V283" i="12"/>
  <c r="Q283" i="12"/>
  <c r="V282" i="12"/>
  <c r="Q282" i="12"/>
  <c r="V281" i="12"/>
  <c r="Q281" i="12"/>
  <c r="V280" i="12"/>
  <c r="Q280" i="12"/>
  <c r="V279" i="12"/>
  <c r="Q279" i="12"/>
  <c r="X278" i="12"/>
  <c r="W278" i="12"/>
  <c r="V278" i="12"/>
  <c r="U278" i="12"/>
  <c r="S278" i="12"/>
  <c r="R278" i="12"/>
  <c r="Q278" i="12"/>
  <c r="P278" i="12"/>
  <c r="M278" i="12"/>
  <c r="L278" i="12"/>
  <c r="N278" i="12" s="1"/>
  <c r="X277" i="12"/>
  <c r="W277" i="12"/>
  <c r="V277" i="12"/>
  <c r="U277" i="12"/>
  <c r="S277" i="12"/>
  <c r="R277" i="12"/>
  <c r="Q277" i="12"/>
  <c r="P277" i="12"/>
  <c r="M277" i="12"/>
  <c r="L277" i="12"/>
  <c r="N277" i="12" s="1"/>
  <c r="V276" i="12"/>
  <c r="Q276" i="12"/>
  <c r="V275" i="12"/>
  <c r="Q275" i="12"/>
  <c r="V274" i="12"/>
  <c r="Q274" i="12"/>
  <c r="V273" i="12"/>
  <c r="Q273" i="12"/>
  <c r="V272" i="12"/>
  <c r="Q272" i="12"/>
  <c r="V271" i="12"/>
  <c r="Q271" i="12"/>
  <c r="X270" i="12"/>
  <c r="W270" i="12"/>
  <c r="V270" i="12"/>
  <c r="U270" i="12"/>
  <c r="S270" i="12"/>
  <c r="R270" i="12"/>
  <c r="Q270" i="12"/>
  <c r="P270" i="12"/>
  <c r="M270" i="12"/>
  <c r="L270" i="12"/>
  <c r="N270" i="12" s="1"/>
  <c r="V269" i="12"/>
  <c r="Q269" i="12"/>
  <c r="V268" i="12"/>
  <c r="Q268" i="12"/>
  <c r="V267" i="12"/>
  <c r="Q267" i="12"/>
  <c r="V266" i="12"/>
  <c r="Q266" i="12"/>
  <c r="V265" i="12"/>
  <c r="Q265" i="12"/>
  <c r="V264" i="12"/>
  <c r="Q264" i="12"/>
  <c r="X263" i="12"/>
  <c r="W263" i="12"/>
  <c r="V263" i="12"/>
  <c r="U263" i="12"/>
  <c r="S263" i="12"/>
  <c r="R263" i="12"/>
  <c r="Q263" i="12"/>
  <c r="P263" i="12"/>
  <c r="M263" i="12"/>
  <c r="L263" i="12"/>
  <c r="N263" i="12" s="1"/>
  <c r="V262" i="12"/>
  <c r="Q262" i="12"/>
  <c r="V261" i="12"/>
  <c r="Q261" i="12"/>
  <c r="V260" i="12"/>
  <c r="Q260" i="12"/>
  <c r="V259" i="12"/>
  <c r="Q259" i="12"/>
  <c r="V258" i="12"/>
  <c r="Q258" i="12"/>
  <c r="V257" i="12"/>
  <c r="Q257" i="12"/>
  <c r="X256" i="12"/>
  <c r="W256" i="12"/>
  <c r="V256" i="12"/>
  <c r="U256" i="12"/>
  <c r="S256" i="12"/>
  <c r="R256" i="12"/>
  <c r="Q256" i="12"/>
  <c r="P256" i="12"/>
  <c r="M256" i="12"/>
  <c r="L256" i="12"/>
  <c r="N256" i="12" s="1"/>
  <c r="V255" i="12"/>
  <c r="Q255" i="12"/>
  <c r="V254" i="12"/>
  <c r="Q254" i="12"/>
  <c r="V253" i="12"/>
  <c r="Q253" i="12"/>
  <c r="V252" i="12"/>
  <c r="Q252" i="12"/>
  <c r="V251" i="12"/>
  <c r="Q251" i="12"/>
  <c r="V250" i="12"/>
  <c r="Q250" i="12"/>
  <c r="X249" i="12"/>
  <c r="W249" i="12"/>
  <c r="V249" i="12"/>
  <c r="U249" i="12"/>
  <c r="S249" i="12"/>
  <c r="R249" i="12"/>
  <c r="Q249" i="12"/>
  <c r="P249" i="12"/>
  <c r="M249" i="12"/>
  <c r="L249" i="12"/>
  <c r="N249" i="12" s="1"/>
  <c r="X248" i="12"/>
  <c r="W248" i="12"/>
  <c r="V248" i="12"/>
  <c r="U248" i="12"/>
  <c r="S248" i="12"/>
  <c r="R248" i="12"/>
  <c r="Q248" i="12"/>
  <c r="P248" i="12"/>
  <c r="M248" i="12"/>
  <c r="L248" i="12"/>
  <c r="N248" i="12" s="1"/>
  <c r="X247" i="12"/>
  <c r="W247" i="12"/>
  <c r="V247" i="12"/>
  <c r="U247" i="12"/>
  <c r="S247" i="12"/>
  <c r="R247" i="12"/>
  <c r="Q247" i="12"/>
  <c r="P247" i="12"/>
  <c r="M247" i="12"/>
  <c r="L247" i="12"/>
  <c r="N247" i="12" s="1"/>
  <c r="X246" i="12"/>
  <c r="W246" i="12"/>
  <c r="V246" i="12"/>
  <c r="U246" i="12"/>
  <c r="S246" i="12"/>
  <c r="R246" i="12"/>
  <c r="Q246" i="12"/>
  <c r="P246" i="12"/>
  <c r="M246" i="12"/>
  <c r="L246" i="12"/>
  <c r="N246" i="12" s="1"/>
  <c r="X245" i="12"/>
  <c r="W245" i="12"/>
  <c r="V245" i="12"/>
  <c r="U245" i="12"/>
  <c r="S245" i="12"/>
  <c r="R245" i="12"/>
  <c r="Q245" i="12"/>
  <c r="P245" i="12"/>
  <c r="M245" i="12"/>
  <c r="L245" i="12"/>
  <c r="N245" i="12" s="1"/>
  <c r="X244" i="12"/>
  <c r="W244" i="12"/>
  <c r="V244" i="12"/>
  <c r="U244" i="12"/>
  <c r="S244" i="12"/>
  <c r="R244" i="12"/>
  <c r="Q244" i="12"/>
  <c r="P244" i="12"/>
  <c r="M244" i="12"/>
  <c r="L244" i="12"/>
  <c r="N244" i="12" s="1"/>
  <c r="X243" i="12"/>
  <c r="W243" i="12"/>
  <c r="V243" i="12"/>
  <c r="U243" i="12"/>
  <c r="S243" i="12"/>
  <c r="R243" i="12"/>
  <c r="Q243" i="12"/>
  <c r="P243" i="12"/>
  <c r="M243" i="12"/>
  <c r="L243" i="12"/>
  <c r="N243" i="12" s="1"/>
  <c r="X242" i="12"/>
  <c r="W242" i="12"/>
  <c r="V242" i="12"/>
  <c r="U242" i="12"/>
  <c r="S242" i="12"/>
  <c r="R242" i="12"/>
  <c r="Q242" i="12"/>
  <c r="P242" i="12"/>
  <c r="M242" i="12"/>
  <c r="L242" i="12"/>
  <c r="N242" i="12" s="1"/>
  <c r="V241" i="12"/>
  <c r="Q241" i="12"/>
  <c r="V240" i="12"/>
  <c r="Q240" i="12"/>
  <c r="V239" i="12"/>
  <c r="Q239" i="12"/>
  <c r="V238" i="12"/>
  <c r="Q238" i="12"/>
  <c r="V237" i="12"/>
  <c r="Q237" i="12"/>
  <c r="V236" i="12"/>
  <c r="Q236" i="12"/>
  <c r="X235" i="12"/>
  <c r="W235" i="12"/>
  <c r="V235" i="12"/>
  <c r="U235" i="12"/>
  <c r="S235" i="12"/>
  <c r="R235" i="12"/>
  <c r="Q235" i="12"/>
  <c r="P235" i="12"/>
  <c r="M235" i="12"/>
  <c r="L235" i="12"/>
  <c r="N235" i="12" s="1"/>
  <c r="V234" i="12"/>
  <c r="Q234" i="12"/>
  <c r="V233" i="12"/>
  <c r="Q233" i="12"/>
  <c r="V232" i="12"/>
  <c r="Q232" i="12"/>
  <c r="V231" i="12"/>
  <c r="Q231" i="12"/>
  <c r="V230" i="12"/>
  <c r="Q230" i="12"/>
  <c r="V229" i="12"/>
  <c r="Q229" i="12"/>
  <c r="X228" i="12"/>
  <c r="W228" i="12"/>
  <c r="V228" i="12"/>
  <c r="U228" i="12"/>
  <c r="S228" i="12"/>
  <c r="R228" i="12"/>
  <c r="Q228" i="12"/>
  <c r="P228" i="12"/>
  <c r="M228" i="12"/>
  <c r="L228" i="12"/>
  <c r="N228" i="12" s="1"/>
  <c r="V227" i="12"/>
  <c r="Q227" i="12"/>
  <c r="V226" i="12"/>
  <c r="Q226" i="12"/>
  <c r="V225" i="12"/>
  <c r="Q225" i="12"/>
  <c r="V224" i="12"/>
  <c r="Q224" i="12"/>
  <c r="V223" i="12"/>
  <c r="Q223" i="12"/>
  <c r="X222" i="12"/>
  <c r="W222" i="12"/>
  <c r="V222" i="12"/>
  <c r="U222" i="12"/>
  <c r="S222" i="12"/>
  <c r="R222" i="12"/>
  <c r="Q222" i="12"/>
  <c r="P222" i="12"/>
  <c r="M222" i="12"/>
  <c r="L222" i="12"/>
  <c r="N222" i="12" s="1"/>
  <c r="X221" i="12"/>
  <c r="W221" i="12"/>
  <c r="V221" i="12"/>
  <c r="U221" i="12"/>
  <c r="S221" i="12"/>
  <c r="R221" i="12"/>
  <c r="Q221" i="12"/>
  <c r="P221" i="12"/>
  <c r="M221" i="12"/>
  <c r="L221" i="12"/>
  <c r="N221" i="12" s="1"/>
  <c r="V220" i="12"/>
  <c r="Q220" i="12"/>
  <c r="V219" i="12"/>
  <c r="Q219" i="12"/>
  <c r="V218" i="12"/>
  <c r="Q218" i="12"/>
  <c r="V217" i="12"/>
  <c r="Q217" i="12"/>
  <c r="V216" i="12"/>
  <c r="Q216" i="12"/>
  <c r="V215" i="12"/>
  <c r="Q215" i="12"/>
  <c r="X214" i="12"/>
  <c r="W214" i="12"/>
  <c r="V214" i="12"/>
  <c r="U214" i="12"/>
  <c r="S214" i="12"/>
  <c r="R214" i="12"/>
  <c r="Q214" i="12"/>
  <c r="P214" i="12"/>
  <c r="M214" i="12"/>
  <c r="L214" i="12"/>
  <c r="N214" i="12" s="1"/>
  <c r="V213" i="12"/>
  <c r="Q213" i="12"/>
  <c r="V212" i="12"/>
  <c r="Q212" i="12"/>
  <c r="V211" i="12"/>
  <c r="Q211" i="12"/>
  <c r="V210" i="12"/>
  <c r="Q210" i="12"/>
  <c r="V209" i="12"/>
  <c r="Q209" i="12"/>
  <c r="V208" i="12"/>
  <c r="Q208" i="12"/>
  <c r="X207" i="12"/>
  <c r="W207" i="12"/>
  <c r="V207" i="12"/>
  <c r="U207" i="12"/>
  <c r="S207" i="12"/>
  <c r="R207" i="12"/>
  <c r="Q207" i="12"/>
  <c r="P207" i="12"/>
  <c r="M207" i="12"/>
  <c r="L207" i="12"/>
  <c r="N207" i="12" s="1"/>
  <c r="V206" i="12"/>
  <c r="Q206" i="12"/>
  <c r="V205" i="12"/>
  <c r="Q205" i="12"/>
  <c r="V204" i="12"/>
  <c r="Q204" i="12"/>
  <c r="V203" i="12"/>
  <c r="Q203" i="12"/>
  <c r="V202" i="12"/>
  <c r="Q202" i="12"/>
  <c r="V201" i="12"/>
  <c r="Q201" i="12"/>
  <c r="X200" i="12"/>
  <c r="W200" i="12"/>
  <c r="V200" i="12"/>
  <c r="U200" i="12"/>
  <c r="S200" i="12"/>
  <c r="R200" i="12"/>
  <c r="Q200" i="12"/>
  <c r="P200" i="12"/>
  <c r="M200" i="12"/>
  <c r="L200" i="12"/>
  <c r="N200" i="12" s="1"/>
  <c r="V199" i="12"/>
  <c r="Q199" i="12"/>
  <c r="V198" i="12"/>
  <c r="Q198" i="12"/>
  <c r="V197" i="12"/>
  <c r="Q197" i="12"/>
  <c r="V196" i="12"/>
  <c r="Q196" i="12"/>
  <c r="V195" i="12"/>
  <c r="Q195" i="12"/>
  <c r="V194" i="12"/>
  <c r="Q194" i="12"/>
  <c r="X193" i="12"/>
  <c r="W193" i="12"/>
  <c r="V193" i="12"/>
  <c r="U193" i="12"/>
  <c r="S193" i="12"/>
  <c r="R193" i="12"/>
  <c r="Q193" i="12"/>
  <c r="P193" i="12"/>
  <c r="M193" i="12"/>
  <c r="L193" i="12"/>
  <c r="N193" i="12" s="1"/>
  <c r="V192" i="12"/>
  <c r="Q192" i="12"/>
  <c r="V191" i="12"/>
  <c r="Q191" i="12"/>
  <c r="V190" i="12"/>
  <c r="Q190" i="12"/>
  <c r="V189" i="12"/>
  <c r="Q189" i="12"/>
  <c r="V188" i="12"/>
  <c r="Q188" i="12"/>
  <c r="V187" i="12"/>
  <c r="Q187" i="12"/>
  <c r="X186" i="12"/>
  <c r="W186" i="12"/>
  <c r="V186" i="12"/>
  <c r="U186" i="12"/>
  <c r="S186" i="12"/>
  <c r="R186" i="12"/>
  <c r="Q186" i="12"/>
  <c r="P186" i="12"/>
  <c r="M186" i="12"/>
  <c r="L186" i="12"/>
  <c r="N186" i="12" s="1"/>
  <c r="V185" i="12"/>
  <c r="Q185" i="12"/>
  <c r="V184" i="12"/>
  <c r="Q184" i="12"/>
  <c r="V183" i="12"/>
  <c r="Q183" i="12"/>
  <c r="V182" i="12"/>
  <c r="Q182" i="12"/>
  <c r="V181" i="12"/>
  <c r="Q181" i="12"/>
  <c r="V180" i="12"/>
  <c r="Q180" i="12"/>
  <c r="X179" i="12"/>
  <c r="W179" i="12"/>
  <c r="V179" i="12"/>
  <c r="U179" i="12"/>
  <c r="S179" i="12"/>
  <c r="R179" i="12"/>
  <c r="Q179" i="12"/>
  <c r="P179" i="12"/>
  <c r="M179" i="12"/>
  <c r="L179" i="12"/>
  <c r="N179" i="12" s="1"/>
  <c r="V178" i="12"/>
  <c r="Q178" i="12"/>
  <c r="V177" i="12"/>
  <c r="Q177" i="12"/>
  <c r="V176" i="12"/>
  <c r="Q176" i="12"/>
  <c r="V175" i="12"/>
  <c r="Q175" i="12"/>
  <c r="V174" i="12"/>
  <c r="Q174" i="12"/>
  <c r="V173" i="12"/>
  <c r="Q173" i="12"/>
  <c r="X172" i="12"/>
  <c r="W172" i="12"/>
  <c r="V172" i="12"/>
  <c r="U172" i="12"/>
  <c r="S172" i="12"/>
  <c r="R172" i="12"/>
  <c r="Q172" i="12"/>
  <c r="P172" i="12"/>
  <c r="M172" i="12"/>
  <c r="L172" i="12"/>
  <c r="N172" i="12" s="1"/>
  <c r="V171" i="12"/>
  <c r="Q171" i="12"/>
  <c r="V170" i="12"/>
  <c r="Q170" i="12"/>
  <c r="V169" i="12"/>
  <c r="Q169" i="12"/>
  <c r="V168" i="12"/>
  <c r="Q168" i="12"/>
  <c r="V167" i="12"/>
  <c r="Q167" i="12"/>
  <c r="V166" i="12"/>
  <c r="Q166" i="12"/>
  <c r="X165" i="12"/>
  <c r="W165" i="12"/>
  <c r="V165" i="12"/>
  <c r="U165" i="12"/>
  <c r="S165" i="12"/>
  <c r="R165" i="12"/>
  <c r="Q165" i="12"/>
  <c r="P165" i="12"/>
  <c r="M165" i="12"/>
  <c r="L165" i="12"/>
  <c r="N165" i="12" s="1"/>
  <c r="V164" i="12"/>
  <c r="Q164" i="12"/>
  <c r="V163" i="12"/>
  <c r="Q163" i="12"/>
  <c r="V162" i="12"/>
  <c r="Q162" i="12"/>
  <c r="V161" i="12"/>
  <c r="Q161" i="12"/>
  <c r="V160" i="12"/>
  <c r="Q160" i="12"/>
  <c r="V159" i="12"/>
  <c r="Q159" i="12"/>
  <c r="X158" i="12"/>
  <c r="W158" i="12"/>
  <c r="V158" i="12"/>
  <c r="U158" i="12"/>
  <c r="S158" i="12"/>
  <c r="R158" i="12"/>
  <c r="Q158" i="12"/>
  <c r="P158" i="12"/>
  <c r="M158" i="12"/>
  <c r="L158" i="12"/>
  <c r="N158" i="12" s="1"/>
  <c r="V157" i="12"/>
  <c r="Q157" i="12"/>
  <c r="V156" i="12"/>
  <c r="Q156" i="12"/>
  <c r="V155" i="12"/>
  <c r="Q155" i="12"/>
  <c r="V154" i="12"/>
  <c r="Q154" i="12"/>
  <c r="V153" i="12"/>
  <c r="Q153" i="12"/>
  <c r="V152" i="12"/>
  <c r="Q152" i="12"/>
  <c r="X151" i="12"/>
  <c r="W151" i="12"/>
  <c r="V151" i="12"/>
  <c r="U151" i="12"/>
  <c r="S151" i="12"/>
  <c r="R151" i="12"/>
  <c r="Q151" i="12"/>
  <c r="P151" i="12"/>
  <c r="M151" i="12"/>
  <c r="L151" i="12"/>
  <c r="N151" i="12" s="1"/>
  <c r="V150" i="12"/>
  <c r="Q150" i="12"/>
  <c r="V149" i="12"/>
  <c r="Q149" i="12"/>
  <c r="V148" i="12"/>
  <c r="Q148" i="12"/>
  <c r="V147" i="12"/>
  <c r="Q147" i="12"/>
  <c r="X146" i="12"/>
  <c r="W146" i="12"/>
  <c r="V146" i="12"/>
  <c r="U146" i="12"/>
  <c r="S146" i="12"/>
  <c r="R146" i="12"/>
  <c r="Q146" i="12"/>
  <c r="P146" i="12"/>
  <c r="M146" i="12"/>
  <c r="L146" i="12"/>
  <c r="N146" i="12" s="1"/>
  <c r="X145" i="12"/>
  <c r="W145" i="12"/>
  <c r="V145" i="12"/>
  <c r="U145" i="12"/>
  <c r="S145" i="12"/>
  <c r="R145" i="12"/>
  <c r="Q145" i="12"/>
  <c r="P145" i="12"/>
  <c r="M145" i="12"/>
  <c r="L145" i="12"/>
  <c r="N145" i="12" s="1"/>
  <c r="X144" i="12"/>
  <c r="W144" i="12"/>
  <c r="V144" i="12"/>
  <c r="U144" i="12"/>
  <c r="S144" i="12"/>
  <c r="R144" i="12"/>
  <c r="Q144" i="12"/>
  <c r="P144" i="12"/>
  <c r="M144" i="12"/>
  <c r="L144" i="12"/>
  <c r="N144" i="12" s="1"/>
  <c r="X143" i="12"/>
  <c r="W143" i="12"/>
  <c r="V143" i="12"/>
  <c r="U143" i="12"/>
  <c r="S143" i="12"/>
  <c r="R143" i="12"/>
  <c r="Q143" i="12"/>
  <c r="P143" i="12"/>
  <c r="M143" i="12"/>
  <c r="L143" i="12"/>
  <c r="N143" i="12" s="1"/>
  <c r="V142" i="12"/>
  <c r="Q142" i="12"/>
  <c r="V141" i="12"/>
  <c r="Q141" i="12"/>
  <c r="V140" i="12"/>
  <c r="Q140" i="12"/>
  <c r="X139" i="12"/>
  <c r="W139" i="12"/>
  <c r="V139" i="12"/>
  <c r="U139" i="12"/>
  <c r="S139" i="12"/>
  <c r="R139" i="12"/>
  <c r="Q139" i="12"/>
  <c r="P139" i="12"/>
  <c r="M139" i="12"/>
  <c r="L139" i="12"/>
  <c r="N139" i="12" s="1"/>
  <c r="V138" i="12"/>
  <c r="Q138" i="12"/>
  <c r="X137" i="12"/>
  <c r="W137" i="12"/>
  <c r="V137" i="12"/>
  <c r="U137" i="12"/>
  <c r="S137" i="12"/>
  <c r="R137" i="12"/>
  <c r="Q137" i="12"/>
  <c r="P137" i="12"/>
  <c r="M137" i="12"/>
  <c r="L137" i="12"/>
  <c r="N137" i="12" s="1"/>
  <c r="V136" i="12"/>
  <c r="Q136" i="12"/>
  <c r="V135" i="12"/>
  <c r="Q135" i="12"/>
  <c r="V134" i="12"/>
  <c r="Q134" i="12"/>
  <c r="V133" i="12"/>
  <c r="Q133" i="12"/>
  <c r="V132" i="12"/>
  <c r="Q132" i="12"/>
  <c r="V131" i="12"/>
  <c r="Q131" i="12"/>
  <c r="X130" i="12"/>
  <c r="W130" i="12"/>
  <c r="V130" i="12"/>
  <c r="U130" i="12"/>
  <c r="S130" i="12"/>
  <c r="R130" i="12"/>
  <c r="Q130" i="12"/>
  <c r="P130" i="12"/>
  <c r="M130" i="12"/>
  <c r="L130" i="12"/>
  <c r="N130" i="12" s="1"/>
  <c r="V129" i="12"/>
  <c r="Q129" i="12"/>
  <c r="V128" i="12"/>
  <c r="Q128" i="12"/>
  <c r="V127" i="12"/>
  <c r="Q127" i="12"/>
  <c r="V126" i="12"/>
  <c r="Q126" i="12"/>
  <c r="V125" i="12"/>
  <c r="Q125" i="12"/>
  <c r="V124" i="12"/>
  <c r="Q124" i="12"/>
  <c r="X123" i="12"/>
  <c r="W123" i="12"/>
  <c r="V123" i="12"/>
  <c r="U123" i="12"/>
  <c r="S123" i="12"/>
  <c r="R123" i="12"/>
  <c r="Q123" i="12"/>
  <c r="P123" i="12"/>
  <c r="M123" i="12"/>
  <c r="L123" i="12"/>
  <c r="N123" i="12" s="1"/>
  <c r="V122" i="12"/>
  <c r="Q122" i="12"/>
  <c r="V121" i="12"/>
  <c r="Q121" i="12"/>
  <c r="V120" i="12"/>
  <c r="Q120" i="12"/>
  <c r="V119" i="12"/>
  <c r="Q119" i="12"/>
  <c r="V118" i="12"/>
  <c r="Q118" i="12"/>
  <c r="V117" i="12"/>
  <c r="Q117" i="12"/>
  <c r="X116" i="12"/>
  <c r="W116" i="12"/>
  <c r="V116" i="12"/>
  <c r="U116" i="12"/>
  <c r="S116" i="12"/>
  <c r="R116" i="12"/>
  <c r="Q116" i="12"/>
  <c r="P116" i="12"/>
  <c r="M116" i="12"/>
  <c r="L116" i="12"/>
  <c r="N116" i="12" s="1"/>
  <c r="V115" i="12"/>
  <c r="Q115" i="12"/>
  <c r="V114" i="12"/>
  <c r="Q114" i="12"/>
  <c r="V113" i="12"/>
  <c r="Q113" i="12"/>
  <c r="V112" i="12"/>
  <c r="Q112" i="12"/>
  <c r="V111" i="12"/>
  <c r="Q111" i="12"/>
  <c r="V110" i="12"/>
  <c r="Q110" i="12"/>
  <c r="X109" i="12"/>
  <c r="W109" i="12"/>
  <c r="V109" i="12"/>
  <c r="U109" i="12"/>
  <c r="S109" i="12"/>
  <c r="R109" i="12"/>
  <c r="Q109" i="12"/>
  <c r="P109" i="12"/>
  <c r="M109" i="12"/>
  <c r="L109" i="12"/>
  <c r="N109" i="12" s="1"/>
  <c r="V108" i="12"/>
  <c r="Q108" i="12"/>
  <c r="V107" i="12"/>
  <c r="Q107" i="12"/>
  <c r="V106" i="12"/>
  <c r="Q106" i="12"/>
  <c r="V105" i="12"/>
  <c r="Q105" i="12"/>
  <c r="V104" i="12"/>
  <c r="Q104" i="12"/>
  <c r="V103" i="12"/>
  <c r="Q103" i="12"/>
  <c r="X102" i="12"/>
  <c r="W102" i="12"/>
  <c r="V102" i="12"/>
  <c r="U102" i="12"/>
  <c r="S102" i="12"/>
  <c r="R102" i="12"/>
  <c r="Q102" i="12"/>
  <c r="P102" i="12"/>
  <c r="M102" i="12"/>
  <c r="L102" i="12"/>
  <c r="N102" i="12" s="1"/>
  <c r="V101" i="12"/>
  <c r="Q101" i="12"/>
  <c r="V100" i="12"/>
  <c r="Q100" i="12"/>
  <c r="X99" i="12"/>
  <c r="W99" i="12"/>
  <c r="V99" i="12"/>
  <c r="U99" i="12"/>
  <c r="S99" i="12"/>
  <c r="R99" i="12"/>
  <c r="Q99" i="12"/>
  <c r="P99" i="12"/>
  <c r="M99" i="12"/>
  <c r="L99" i="12"/>
  <c r="N99" i="12" s="1"/>
  <c r="V98" i="12"/>
  <c r="Q98" i="12"/>
  <c r="V97" i="12"/>
  <c r="Q97" i="12"/>
  <c r="V96" i="12"/>
  <c r="Q96" i="12"/>
  <c r="X95" i="12"/>
  <c r="W95" i="12"/>
  <c r="V95" i="12"/>
  <c r="U95" i="12"/>
  <c r="S95" i="12"/>
  <c r="R95" i="12"/>
  <c r="Q95" i="12"/>
  <c r="P95" i="12"/>
  <c r="M95" i="12"/>
  <c r="L95" i="12"/>
  <c r="N95" i="12" s="1"/>
  <c r="V94" i="12"/>
  <c r="Q94" i="12"/>
  <c r="V93" i="12"/>
  <c r="Q93" i="12"/>
  <c r="V92" i="12"/>
  <c r="Q92" i="12"/>
  <c r="V91" i="12"/>
  <c r="Q91" i="12"/>
  <c r="V90" i="12"/>
  <c r="Q90" i="12"/>
  <c r="V89" i="12"/>
  <c r="Q89" i="12"/>
  <c r="X88" i="12"/>
  <c r="W88" i="12"/>
  <c r="V88" i="12"/>
  <c r="U88" i="12"/>
  <c r="S88" i="12"/>
  <c r="R88" i="12"/>
  <c r="Q88" i="12"/>
  <c r="P88" i="12"/>
  <c r="M88" i="12"/>
  <c r="L88" i="12"/>
  <c r="N88" i="12" s="1"/>
  <c r="V87" i="12"/>
  <c r="Q87" i="12"/>
  <c r="V86" i="12"/>
  <c r="Q86" i="12"/>
  <c r="V85" i="12"/>
  <c r="Q85" i="12"/>
  <c r="V84" i="12"/>
  <c r="Q84" i="12"/>
  <c r="V83" i="12"/>
  <c r="Q83" i="12"/>
  <c r="V82" i="12"/>
  <c r="Q82" i="12"/>
  <c r="X81" i="12"/>
  <c r="W81" i="12"/>
  <c r="V81" i="12"/>
  <c r="U81" i="12"/>
  <c r="S81" i="12"/>
  <c r="R81" i="12"/>
  <c r="Q81" i="12"/>
  <c r="P81" i="12"/>
  <c r="M81" i="12"/>
  <c r="L81" i="12"/>
  <c r="N81" i="12" s="1"/>
  <c r="V80" i="12"/>
  <c r="Q80" i="12"/>
  <c r="V79" i="12"/>
  <c r="Q79" i="12"/>
  <c r="V78" i="12"/>
  <c r="Q78" i="12"/>
  <c r="V77" i="12"/>
  <c r="Q77" i="12"/>
  <c r="V76" i="12"/>
  <c r="Q76" i="12"/>
  <c r="X75" i="12"/>
  <c r="W75" i="12"/>
  <c r="V75" i="12"/>
  <c r="U75" i="12"/>
  <c r="S75" i="12"/>
  <c r="R75" i="12"/>
  <c r="Q75" i="12"/>
  <c r="P75" i="12"/>
  <c r="M75" i="12"/>
  <c r="L75" i="12"/>
  <c r="N75" i="12" s="1"/>
  <c r="X74" i="12"/>
  <c r="W74" i="12"/>
  <c r="V74" i="12"/>
  <c r="U74" i="12"/>
  <c r="S74" i="12"/>
  <c r="R74" i="12"/>
  <c r="Q74" i="12"/>
  <c r="P74" i="12"/>
  <c r="M74" i="12"/>
  <c r="L74" i="12"/>
  <c r="N74" i="12" s="1"/>
  <c r="V73" i="12"/>
  <c r="Q73" i="12"/>
  <c r="V72" i="12"/>
  <c r="Q72" i="12"/>
  <c r="V71" i="12"/>
  <c r="Q71" i="12"/>
  <c r="V70" i="12"/>
  <c r="Q70" i="12"/>
  <c r="V69" i="12"/>
  <c r="Q69" i="12"/>
  <c r="V68" i="12"/>
  <c r="Q68" i="12"/>
  <c r="X67" i="12"/>
  <c r="W67" i="12"/>
  <c r="V67" i="12"/>
  <c r="U67" i="12"/>
  <c r="S67" i="12"/>
  <c r="R67" i="12"/>
  <c r="Q67" i="12"/>
  <c r="P67" i="12"/>
  <c r="M67" i="12"/>
  <c r="L67" i="12"/>
  <c r="N67" i="12" s="1"/>
  <c r="V66" i="12"/>
  <c r="Q66" i="12"/>
  <c r="V65" i="12"/>
  <c r="Q65" i="12"/>
  <c r="V64" i="12"/>
  <c r="Q64" i="12"/>
  <c r="V63" i="12"/>
  <c r="Q63" i="12"/>
  <c r="X62" i="12"/>
  <c r="W62" i="12"/>
  <c r="V62" i="12"/>
  <c r="U62" i="12"/>
  <c r="S62" i="12"/>
  <c r="R62" i="12"/>
  <c r="Q62" i="12"/>
  <c r="P62" i="12"/>
  <c r="M62" i="12"/>
  <c r="L62" i="12"/>
  <c r="N62" i="12" s="1"/>
  <c r="V61" i="12"/>
  <c r="Q61" i="12"/>
  <c r="X60" i="12"/>
  <c r="W60" i="12"/>
  <c r="V60" i="12"/>
  <c r="U60" i="12"/>
  <c r="S60" i="12"/>
  <c r="R60" i="12"/>
  <c r="Q60" i="12"/>
  <c r="P60" i="12"/>
  <c r="M60" i="12"/>
  <c r="L60" i="12"/>
  <c r="N60" i="12" s="1"/>
  <c r="V59" i="12"/>
  <c r="Q59" i="12"/>
  <c r="V58" i="12"/>
  <c r="Q58" i="12"/>
  <c r="V57" i="12"/>
  <c r="Q57" i="12"/>
  <c r="V56" i="12"/>
  <c r="Q56" i="12"/>
  <c r="V55" i="12"/>
  <c r="Q55" i="12"/>
  <c r="V54" i="12"/>
  <c r="Q54" i="12"/>
  <c r="X53" i="12"/>
  <c r="W53" i="12"/>
  <c r="V53" i="12"/>
  <c r="U53" i="12"/>
  <c r="S53" i="12"/>
  <c r="R53" i="12"/>
  <c r="Q53" i="12"/>
  <c r="P53" i="12"/>
  <c r="M53" i="12"/>
  <c r="L53" i="12"/>
  <c r="N53" i="12" s="1"/>
  <c r="V52" i="12"/>
  <c r="Q52" i="12"/>
  <c r="V51" i="12"/>
  <c r="Q51" i="12"/>
  <c r="V50" i="12"/>
  <c r="Q50" i="12"/>
  <c r="V49" i="12"/>
  <c r="Q49" i="12"/>
  <c r="V48" i="12"/>
  <c r="Q48" i="12"/>
  <c r="V47" i="12"/>
  <c r="Q47" i="12"/>
  <c r="X46" i="12"/>
  <c r="W46" i="12"/>
  <c r="V46" i="12"/>
  <c r="U46" i="12"/>
  <c r="S46" i="12"/>
  <c r="R46" i="12"/>
  <c r="Q46" i="12"/>
  <c r="P46" i="12"/>
  <c r="M46" i="12"/>
  <c r="L46" i="12"/>
  <c r="N46" i="12" s="1"/>
  <c r="V45" i="12"/>
  <c r="Q45" i="12"/>
  <c r="V44" i="12"/>
  <c r="Q44" i="12"/>
  <c r="V43" i="12"/>
  <c r="Q43" i="12"/>
  <c r="V42" i="12"/>
  <c r="Q42" i="12"/>
  <c r="V41" i="12"/>
  <c r="Q41" i="12"/>
  <c r="V40" i="12"/>
  <c r="Q40" i="12"/>
  <c r="X39" i="12"/>
  <c r="W39" i="12"/>
  <c r="V39" i="12"/>
  <c r="U39" i="12"/>
  <c r="S39" i="12"/>
  <c r="R39" i="12"/>
  <c r="Q39" i="12"/>
  <c r="P39" i="12"/>
  <c r="M39" i="12"/>
  <c r="L39" i="12"/>
  <c r="N39" i="12" s="1"/>
  <c r="V38" i="12"/>
  <c r="Q38" i="12"/>
  <c r="V37" i="12"/>
  <c r="Q37" i="12"/>
  <c r="V36" i="12"/>
  <c r="Q36" i="12"/>
  <c r="V35" i="12"/>
  <c r="Q35" i="12"/>
  <c r="V34" i="12"/>
  <c r="Q34" i="12"/>
  <c r="X33" i="12"/>
  <c r="W33" i="12"/>
  <c r="V33" i="12"/>
  <c r="U33" i="12"/>
  <c r="S33" i="12"/>
  <c r="R33" i="12"/>
  <c r="Q33" i="12"/>
  <c r="P33" i="12"/>
  <c r="M33" i="12"/>
  <c r="L33" i="12"/>
  <c r="N33" i="12" s="1"/>
  <c r="X32" i="12"/>
  <c r="W32" i="12"/>
  <c r="V32" i="12"/>
  <c r="U32" i="12"/>
  <c r="S32" i="12"/>
  <c r="R32" i="12"/>
  <c r="Q32" i="12"/>
  <c r="P32" i="12"/>
  <c r="M32" i="12"/>
  <c r="L32" i="12"/>
  <c r="N32" i="12" s="1"/>
  <c r="V31" i="12"/>
  <c r="Q31" i="12"/>
  <c r="V30" i="12"/>
  <c r="Q30" i="12"/>
  <c r="V29" i="12"/>
  <c r="Q29" i="12"/>
  <c r="V28" i="12"/>
  <c r="Q28" i="12"/>
  <c r="V27" i="12"/>
  <c r="Q27" i="12"/>
  <c r="V26" i="12"/>
  <c r="Q26" i="12"/>
  <c r="X25" i="12"/>
  <c r="W25" i="12"/>
  <c r="V25" i="12"/>
  <c r="U25" i="12"/>
  <c r="S25" i="12"/>
  <c r="R25" i="12"/>
  <c r="Q25" i="12"/>
  <c r="P25" i="12"/>
  <c r="M25" i="12"/>
  <c r="L25" i="12"/>
  <c r="N25" i="12" s="1"/>
  <c r="X24" i="12"/>
  <c r="W24" i="12"/>
  <c r="V24" i="12"/>
  <c r="U24" i="12"/>
  <c r="S24" i="12"/>
  <c r="R24" i="12"/>
  <c r="Q24" i="12"/>
  <c r="P24" i="12"/>
  <c r="M24" i="12"/>
  <c r="L24" i="12"/>
  <c r="N24" i="12" s="1"/>
  <c r="X23" i="12"/>
  <c r="W23" i="12"/>
  <c r="V23" i="12"/>
  <c r="U23" i="12"/>
  <c r="S23" i="12"/>
  <c r="R23" i="12"/>
  <c r="Q23" i="12"/>
  <c r="P23" i="12"/>
  <c r="M23" i="12"/>
  <c r="L23" i="12"/>
  <c r="X22" i="12"/>
  <c r="W22" i="12"/>
  <c r="V22" i="12"/>
  <c r="U22" i="12"/>
  <c r="S22" i="12"/>
  <c r="R22" i="12"/>
  <c r="Q22" i="12"/>
  <c r="P22" i="12"/>
  <c r="M22" i="12"/>
  <c r="L22" i="12"/>
  <c r="N22" i="12" s="1"/>
  <c r="Z21" i="12"/>
  <c r="Z22" i="12" s="1"/>
  <c r="Y21" i="12"/>
  <c r="E21" i="12" s="1"/>
  <c r="X21" i="12"/>
  <c r="W21" i="12"/>
  <c r="V21" i="12"/>
  <c r="U21" i="12"/>
  <c r="S21" i="12"/>
  <c r="R21" i="12"/>
  <c r="Q21" i="12"/>
  <c r="P21" i="12"/>
  <c r="M21" i="12"/>
  <c r="L21" i="12"/>
  <c r="N21" i="12" s="1"/>
  <c r="F21" i="12"/>
  <c r="F22" i="12" s="1"/>
  <c r="F23" i="12" s="1"/>
  <c r="F24" i="12" s="1"/>
  <c r="F25" i="12" s="1"/>
  <c r="F26" i="12" s="1"/>
  <c r="F27" i="12" s="1"/>
  <c r="F28" i="12" s="1"/>
  <c r="F29" i="12" s="1"/>
  <c r="F30" i="12" s="1"/>
  <c r="F31" i="12" s="1"/>
  <c r="F32" i="12" s="1"/>
  <c r="F33" i="12" s="1"/>
  <c r="F34" i="12" s="1"/>
  <c r="F35" i="12" s="1"/>
  <c r="F36" i="12" s="1"/>
  <c r="F37" i="12" s="1"/>
  <c r="F38" i="12" s="1"/>
  <c r="F39" i="12" s="1"/>
  <c r="F40" i="12" s="1"/>
  <c r="F41" i="12" s="1"/>
  <c r="F42" i="12" s="1"/>
  <c r="F43" i="12" s="1"/>
  <c r="F44" i="12" s="1"/>
  <c r="F45" i="12" s="1"/>
  <c r="F46" i="12" s="1"/>
  <c r="F47" i="12" s="1"/>
  <c r="F48" i="12" s="1"/>
  <c r="F49" i="12" s="1"/>
  <c r="F50" i="12" s="1"/>
  <c r="F51" i="12" s="1"/>
  <c r="F52" i="12" s="1"/>
  <c r="F53" i="12" s="1"/>
  <c r="F54" i="12" s="1"/>
  <c r="F55" i="12" s="1"/>
  <c r="F56" i="12" s="1"/>
  <c r="F57" i="12" s="1"/>
  <c r="F58" i="12" s="1"/>
  <c r="F59" i="12" s="1"/>
  <c r="F60" i="12" s="1"/>
  <c r="F61" i="12" s="1"/>
  <c r="F62" i="12" s="1"/>
  <c r="F63" i="12" s="1"/>
  <c r="F64" i="12" s="1"/>
  <c r="F65" i="12" s="1"/>
  <c r="F66" i="12" s="1"/>
  <c r="F67" i="12" s="1"/>
  <c r="F68" i="12" s="1"/>
  <c r="F69" i="12" s="1"/>
  <c r="F70" i="12" s="1"/>
  <c r="F71" i="12" s="1"/>
  <c r="F72" i="12" s="1"/>
  <c r="F73" i="12" s="1"/>
  <c r="F74" i="12" s="1"/>
  <c r="F75" i="12" s="1"/>
  <c r="F76" i="12" s="1"/>
  <c r="F77" i="12" s="1"/>
  <c r="F78" i="12" s="1"/>
  <c r="F79" i="12" s="1"/>
  <c r="F80" i="12" s="1"/>
  <c r="F81" i="12" s="1"/>
  <c r="F82" i="12" s="1"/>
  <c r="F83" i="12" s="1"/>
  <c r="F84" i="12" s="1"/>
  <c r="F85" i="12" s="1"/>
  <c r="F86" i="12" s="1"/>
  <c r="F87" i="12" s="1"/>
  <c r="F88" i="12" s="1"/>
  <c r="F89" i="12" s="1"/>
  <c r="F90" i="12" s="1"/>
  <c r="F91" i="12" s="1"/>
  <c r="F92" i="12" s="1"/>
  <c r="F93" i="12" s="1"/>
  <c r="F94" i="12" s="1"/>
  <c r="F95" i="12" s="1"/>
  <c r="F96" i="12" s="1"/>
  <c r="F97" i="12" s="1"/>
  <c r="F98" i="12" s="1"/>
  <c r="F99" i="12" s="1"/>
  <c r="F100" i="12" s="1"/>
  <c r="F101" i="12" s="1"/>
  <c r="F102" i="12" s="1"/>
  <c r="F103" i="12" s="1"/>
  <c r="F104" i="12" s="1"/>
  <c r="F105" i="12" s="1"/>
  <c r="F106" i="12" s="1"/>
  <c r="F107" i="12" s="1"/>
  <c r="F108" i="12" s="1"/>
  <c r="F109" i="12" s="1"/>
  <c r="F110" i="12" s="1"/>
  <c r="F111" i="12" s="1"/>
  <c r="F112" i="12" s="1"/>
  <c r="F113" i="12" s="1"/>
  <c r="F114" i="12" s="1"/>
  <c r="F115" i="12" s="1"/>
  <c r="F116" i="12" s="1"/>
  <c r="F117" i="12" s="1"/>
  <c r="F118" i="12" s="1"/>
  <c r="F119" i="12" s="1"/>
  <c r="F120" i="12" s="1"/>
  <c r="F121" i="12" s="1"/>
  <c r="F122" i="12" s="1"/>
  <c r="F123" i="12" s="1"/>
  <c r="F124" i="12" s="1"/>
  <c r="F125" i="12" s="1"/>
  <c r="F126" i="12" s="1"/>
  <c r="F127" i="12" s="1"/>
  <c r="F128" i="12" s="1"/>
  <c r="F129" i="12" s="1"/>
  <c r="F130" i="12" s="1"/>
  <c r="F131" i="12" s="1"/>
  <c r="F132" i="12" s="1"/>
  <c r="F133" i="12" s="1"/>
  <c r="F134" i="12" s="1"/>
  <c r="F135" i="12" s="1"/>
  <c r="F136" i="12" s="1"/>
  <c r="F137" i="12" s="1"/>
  <c r="F138" i="12" s="1"/>
  <c r="F139" i="12" s="1"/>
  <c r="F140" i="12" s="1"/>
  <c r="F141" i="12" s="1"/>
  <c r="F142" i="12" s="1"/>
  <c r="F143" i="12" s="1"/>
  <c r="F144" i="12" s="1"/>
  <c r="F145" i="12" s="1"/>
  <c r="F146" i="12" s="1"/>
  <c r="F147" i="12" s="1"/>
  <c r="F148" i="12" s="1"/>
  <c r="F149" i="12" s="1"/>
  <c r="F150" i="12" s="1"/>
  <c r="F151" i="12" s="1"/>
  <c r="F152" i="12" s="1"/>
  <c r="F153" i="12" s="1"/>
  <c r="F154" i="12" s="1"/>
  <c r="F155" i="12" s="1"/>
  <c r="F156" i="12" s="1"/>
  <c r="F157" i="12" s="1"/>
  <c r="F158" i="12" s="1"/>
  <c r="F159" i="12" s="1"/>
  <c r="F160" i="12" s="1"/>
  <c r="F161" i="12" s="1"/>
  <c r="F162" i="12" s="1"/>
  <c r="F163" i="12" s="1"/>
  <c r="F164" i="12" s="1"/>
  <c r="F165" i="12" s="1"/>
  <c r="F166" i="12" s="1"/>
  <c r="F167" i="12" s="1"/>
  <c r="F168" i="12" s="1"/>
  <c r="F169" i="12" s="1"/>
  <c r="F170" i="12" s="1"/>
  <c r="F171" i="12" s="1"/>
  <c r="F172" i="12" s="1"/>
  <c r="F173" i="12" s="1"/>
  <c r="F174" i="12" s="1"/>
  <c r="F175" i="12" s="1"/>
  <c r="F176" i="12" s="1"/>
  <c r="F177" i="12" s="1"/>
  <c r="F178" i="12" s="1"/>
  <c r="F179" i="12" s="1"/>
  <c r="F180" i="12" s="1"/>
  <c r="F181" i="12" s="1"/>
  <c r="F182" i="12" s="1"/>
  <c r="F183" i="12" s="1"/>
  <c r="F184" i="12" s="1"/>
  <c r="F185" i="12" s="1"/>
  <c r="F186" i="12" s="1"/>
  <c r="F187" i="12" s="1"/>
  <c r="F188" i="12" s="1"/>
  <c r="F189" i="12" s="1"/>
  <c r="F190" i="12" s="1"/>
  <c r="F191" i="12" s="1"/>
  <c r="F192" i="12" s="1"/>
  <c r="F193" i="12" s="1"/>
  <c r="F194" i="12" s="1"/>
  <c r="F195" i="12" s="1"/>
  <c r="F196" i="12" s="1"/>
  <c r="F197" i="12" s="1"/>
  <c r="F198" i="12" s="1"/>
  <c r="F199" i="12" s="1"/>
  <c r="F200" i="12" s="1"/>
  <c r="F201" i="12" s="1"/>
  <c r="F202" i="12" s="1"/>
  <c r="F203" i="12" s="1"/>
  <c r="F204" i="12" s="1"/>
  <c r="F205" i="12" s="1"/>
  <c r="F206" i="12" s="1"/>
  <c r="F207" i="12" s="1"/>
  <c r="F208" i="12" s="1"/>
  <c r="F209" i="12" s="1"/>
  <c r="F210" i="12" s="1"/>
  <c r="F211" i="12" s="1"/>
  <c r="F212" i="12" s="1"/>
  <c r="F213" i="12" s="1"/>
  <c r="F214" i="12" s="1"/>
  <c r="F215" i="12" s="1"/>
  <c r="F216" i="12" s="1"/>
  <c r="F217" i="12" s="1"/>
  <c r="F218" i="12" s="1"/>
  <c r="F219" i="12" s="1"/>
  <c r="F220" i="12" s="1"/>
  <c r="F221" i="12" s="1"/>
  <c r="F222" i="12" s="1"/>
  <c r="F223" i="12" s="1"/>
  <c r="F224" i="12" s="1"/>
  <c r="F225" i="12" s="1"/>
  <c r="F226" i="12" s="1"/>
  <c r="F227" i="12" s="1"/>
  <c r="F228" i="12" s="1"/>
  <c r="F229" i="12" s="1"/>
  <c r="F230" i="12" s="1"/>
  <c r="F231" i="12" s="1"/>
  <c r="F232" i="12" s="1"/>
  <c r="F233" i="12" s="1"/>
  <c r="F234" i="12" s="1"/>
  <c r="F235" i="12" s="1"/>
  <c r="F236" i="12" s="1"/>
  <c r="F237" i="12" s="1"/>
  <c r="F238" i="12" s="1"/>
  <c r="F239" i="12" s="1"/>
  <c r="F240" i="12" s="1"/>
  <c r="F241" i="12" s="1"/>
  <c r="F242" i="12" s="1"/>
  <c r="F243" i="12" s="1"/>
  <c r="F244" i="12" s="1"/>
  <c r="F245" i="12" s="1"/>
  <c r="F246" i="12" s="1"/>
  <c r="F247" i="12" s="1"/>
  <c r="F248" i="12" s="1"/>
  <c r="F249" i="12" s="1"/>
  <c r="F250" i="12" s="1"/>
  <c r="F251" i="12" s="1"/>
  <c r="F252" i="12" s="1"/>
  <c r="F253" i="12" s="1"/>
  <c r="F254" i="12" s="1"/>
  <c r="F255" i="12" s="1"/>
  <c r="F256" i="12" s="1"/>
  <c r="F257" i="12" s="1"/>
  <c r="F258" i="12" s="1"/>
  <c r="F259" i="12" s="1"/>
  <c r="F260" i="12" s="1"/>
  <c r="F261" i="12" s="1"/>
  <c r="F262" i="12" s="1"/>
  <c r="F263" i="12" s="1"/>
  <c r="F264" i="12" s="1"/>
  <c r="F265" i="12" s="1"/>
  <c r="F266" i="12" s="1"/>
  <c r="F267" i="12" s="1"/>
  <c r="F268" i="12" s="1"/>
  <c r="F269" i="12" s="1"/>
  <c r="F270" i="12" s="1"/>
  <c r="F271" i="12" s="1"/>
  <c r="F272" i="12" s="1"/>
  <c r="F273" i="12" s="1"/>
  <c r="F274" i="12" s="1"/>
  <c r="F275" i="12" s="1"/>
  <c r="F276" i="12" s="1"/>
  <c r="F277" i="12" s="1"/>
  <c r="F278" i="12" s="1"/>
  <c r="F279" i="12" s="1"/>
  <c r="F280" i="12" s="1"/>
  <c r="F281" i="12" s="1"/>
  <c r="F282" i="12" s="1"/>
  <c r="F283" i="12" s="1"/>
  <c r="F284" i="12" s="1"/>
  <c r="F285" i="12" s="1"/>
  <c r="F286" i="12" s="1"/>
  <c r="F287" i="12" s="1"/>
  <c r="F288" i="12" s="1"/>
  <c r="F289" i="12" s="1"/>
  <c r="F290" i="12" s="1"/>
  <c r="F291" i="12" s="1"/>
  <c r="F292" i="12" s="1"/>
  <c r="F293" i="12" s="1"/>
  <c r="F294" i="12" s="1"/>
  <c r="F295" i="12" s="1"/>
  <c r="F296" i="12" s="1"/>
  <c r="F297" i="12" s="1"/>
  <c r="F298" i="12" s="1"/>
  <c r="F299" i="12" s="1"/>
  <c r="F300" i="12" s="1"/>
  <c r="F301" i="12" s="1"/>
  <c r="F302" i="12" s="1"/>
  <c r="F303" i="12" s="1"/>
  <c r="F304" i="12" s="1"/>
  <c r="F305" i="12" s="1"/>
  <c r="F306" i="12" s="1"/>
  <c r="F307" i="12" s="1"/>
  <c r="F308" i="12" s="1"/>
  <c r="F309" i="12" s="1"/>
  <c r="F310" i="12" s="1"/>
  <c r="F311" i="12" s="1"/>
  <c r="F312" i="12" s="1"/>
  <c r="F313" i="12" s="1"/>
  <c r="F314" i="12" s="1"/>
  <c r="F315" i="12" s="1"/>
  <c r="F316" i="12" s="1"/>
  <c r="F317" i="12" s="1"/>
  <c r="F318" i="12" s="1"/>
  <c r="F319" i="12" s="1"/>
  <c r="F320" i="12" s="1"/>
  <c r="F321" i="12" s="1"/>
  <c r="F322" i="12" s="1"/>
  <c r="F323" i="12" s="1"/>
  <c r="F324" i="12" s="1"/>
  <c r="F325" i="12" s="1"/>
  <c r="F326" i="12" s="1"/>
  <c r="F327" i="12" s="1"/>
  <c r="F328" i="12" s="1"/>
  <c r="F329" i="12" s="1"/>
  <c r="F330" i="12" s="1"/>
  <c r="F331" i="12" s="1"/>
  <c r="F332" i="12" s="1"/>
  <c r="F333" i="12" s="1"/>
  <c r="F334" i="12" s="1"/>
  <c r="F335" i="12" s="1"/>
  <c r="F336" i="12" s="1"/>
  <c r="F337" i="12" s="1"/>
  <c r="F338" i="12" s="1"/>
  <c r="F339" i="12" s="1"/>
  <c r="F340" i="12" s="1"/>
  <c r="F341" i="12" s="1"/>
  <c r="F342" i="12" s="1"/>
  <c r="F343" i="12" s="1"/>
  <c r="F344" i="12" s="1"/>
  <c r="F345" i="12" s="1"/>
  <c r="F346" i="12" s="1"/>
  <c r="F347" i="12" s="1"/>
  <c r="F348" i="12" s="1"/>
  <c r="F349" i="12" s="1"/>
  <c r="F350" i="12" s="1"/>
  <c r="F351" i="12" s="1"/>
  <c r="F352" i="12" s="1"/>
  <c r="F353" i="12" s="1"/>
  <c r="F354" i="12" s="1"/>
  <c r="F355" i="12" s="1"/>
  <c r="F356" i="12" s="1"/>
  <c r="F357" i="12" s="1"/>
  <c r="F358" i="12" s="1"/>
  <c r="F359" i="12" s="1"/>
  <c r="F360" i="12" s="1"/>
  <c r="F361" i="12" s="1"/>
  <c r="F362" i="12" s="1"/>
  <c r="F363" i="12" s="1"/>
  <c r="F364" i="12" s="1"/>
  <c r="F365" i="12" s="1"/>
  <c r="F366" i="12" s="1"/>
  <c r="F367" i="12" s="1"/>
  <c r="F368" i="12" s="1"/>
  <c r="F369" i="12" s="1"/>
  <c r="F370" i="12" s="1"/>
  <c r="F371" i="12" s="1"/>
  <c r="F372" i="12" s="1"/>
  <c r="F373" i="12" s="1"/>
  <c r="F374" i="12" s="1"/>
  <c r="F375" i="12" s="1"/>
  <c r="F376" i="12" s="1"/>
  <c r="F377" i="12" s="1"/>
  <c r="F378" i="12" s="1"/>
  <c r="F379" i="12" s="1"/>
  <c r="F380" i="12" s="1"/>
  <c r="F381" i="12" s="1"/>
  <c r="F382" i="12" s="1"/>
  <c r="F383" i="12" s="1"/>
  <c r="F384" i="12" s="1"/>
  <c r="F385" i="12" s="1"/>
  <c r="AD18" i="12"/>
  <c r="M18" i="12"/>
  <c r="F18" i="12"/>
  <c r="AD17" i="12"/>
  <c r="M17" i="12"/>
  <c r="F17" i="12"/>
  <c r="AD16" i="12"/>
  <c r="M16" i="12"/>
  <c r="F16" i="12"/>
  <c r="AD15" i="12"/>
  <c r="M15" i="12"/>
  <c r="F15" i="12"/>
  <c r="AD14" i="12"/>
  <c r="M14" i="12"/>
  <c r="F14" i="12"/>
  <c r="AD13" i="12"/>
  <c r="M13" i="12"/>
  <c r="F13" i="12"/>
  <c r="AD12" i="12"/>
  <c r="M12" i="12"/>
  <c r="F12" i="12"/>
  <c r="AD11" i="12"/>
  <c r="M11" i="12"/>
  <c r="F11" i="12"/>
  <c r="AD10" i="12"/>
  <c r="M10" i="12"/>
  <c r="F10" i="12"/>
  <c r="AD9" i="12"/>
  <c r="M9" i="12"/>
  <c r="F9" i="12"/>
  <c r="AD8" i="12"/>
  <c r="M8" i="12"/>
  <c r="F8" i="12"/>
  <c r="AD7" i="12"/>
  <c r="M7" i="12"/>
  <c r="F7" i="12"/>
  <c r="K3" i="12"/>
  <c r="M3" i="12" s="1"/>
  <c r="P165" i="3"/>
  <c r="P158" i="3"/>
  <c r="P143" i="3"/>
  <c r="P144" i="3"/>
  <c r="P145" i="3"/>
  <c r="P146" i="3"/>
  <c r="P151" i="3"/>
  <c r="P139" i="3"/>
  <c r="P137" i="3"/>
  <c r="AA27" i="13" l="1"/>
  <c r="M40" i="13"/>
  <c r="K52" i="13"/>
  <c r="I55" i="13"/>
  <c r="K12" i="13"/>
  <c r="Z18" i="13"/>
  <c r="AA18" i="13" s="1"/>
  <c r="K55" i="13"/>
  <c r="M12" i="13"/>
  <c r="T18" i="13"/>
  <c r="U18" i="13" s="1"/>
  <c r="M17" i="13"/>
  <c r="E19" i="13"/>
  <c r="F18" i="13"/>
  <c r="G18" i="13" s="1"/>
  <c r="V18" i="13"/>
  <c r="W18" i="13" s="1"/>
  <c r="Y37" i="13"/>
  <c r="M38" i="13"/>
  <c r="U52" i="13"/>
  <c r="S34" i="13"/>
  <c r="U17" i="13"/>
  <c r="M32" i="13"/>
  <c r="Q34" i="13"/>
  <c r="Y8" i="13"/>
  <c r="O34" i="13"/>
  <c r="W44" i="13"/>
  <c r="AA12" i="13"/>
  <c r="I50" i="13"/>
  <c r="G53" i="13"/>
  <c r="W53" i="13"/>
  <c r="AA55" i="13"/>
  <c r="AA29" i="13"/>
  <c r="K42" i="13"/>
  <c r="Y53" i="13"/>
  <c r="I16" i="13"/>
  <c r="P18" i="13"/>
  <c r="Q18" i="13" s="1"/>
  <c r="G20" i="13"/>
  <c r="M42" i="13"/>
  <c r="AA53" i="13"/>
  <c r="AA34" i="13"/>
  <c r="K34" i="13"/>
  <c r="AA16" i="13"/>
  <c r="Y34" i="13"/>
  <c r="AA19" i="13"/>
  <c r="K8" i="13"/>
  <c r="K20" i="13"/>
  <c r="Q30" i="13"/>
  <c r="G40" i="13"/>
  <c r="M43" i="13"/>
  <c r="M47" i="13"/>
  <c r="O53" i="13"/>
  <c r="W34" i="13"/>
  <c r="G34" i="13"/>
  <c r="I32" i="13"/>
  <c r="Y44" i="13"/>
  <c r="T21" i="13"/>
  <c r="T22" i="13" s="1"/>
  <c r="AA38" i="13"/>
  <c r="M45" i="13"/>
  <c r="I53" i="13"/>
  <c r="M34" i="13"/>
  <c r="K16" i="13"/>
  <c r="R18" i="13"/>
  <c r="S18" i="13" s="1"/>
  <c r="M30" i="13"/>
  <c r="I35" i="13"/>
  <c r="M53" i="13"/>
  <c r="I34" i="13"/>
  <c r="M19" i="13"/>
  <c r="M8" i="13"/>
  <c r="AA8" i="13"/>
  <c r="I40" i="13"/>
  <c r="U34" i="13"/>
  <c r="E34" i="13"/>
  <c r="AC8" i="13"/>
  <c r="AF8" i="13" s="1"/>
  <c r="S55" i="13"/>
  <c r="W50" i="13"/>
  <c r="Y20" i="13"/>
  <c r="S32" i="13"/>
  <c r="I36" i="13"/>
  <c r="G48" i="13"/>
  <c r="Y50" i="13"/>
  <c r="X18" i="13"/>
  <c r="Y18" i="13" s="1"/>
  <c r="W20" i="13"/>
  <c r="U28" i="13"/>
  <c r="R21" i="13"/>
  <c r="R22" i="13" s="1"/>
  <c r="Z58" i="13"/>
  <c r="Z59" i="13" s="1"/>
  <c r="S12" i="13"/>
  <c r="D14" i="13"/>
  <c r="E14" i="13" s="1"/>
  <c r="M16" i="13"/>
  <c r="E17" i="13"/>
  <c r="S17" i="13"/>
  <c r="M36" i="13"/>
  <c r="M41" i="13"/>
  <c r="I48" i="13"/>
  <c r="AA50" i="13"/>
  <c r="M54" i="13"/>
  <c r="AC55" i="13"/>
  <c r="Y55" i="13"/>
  <c r="W28" i="13"/>
  <c r="U8" i="13"/>
  <c r="L14" i="13"/>
  <c r="M20" i="13"/>
  <c r="U31" i="13"/>
  <c r="L58" i="13"/>
  <c r="M58" i="13" s="1"/>
  <c r="G8" i="13"/>
  <c r="W8" i="13"/>
  <c r="O20" i="13"/>
  <c r="K27" i="13"/>
  <c r="W29" i="13"/>
  <c r="Y31" i="13"/>
  <c r="Y33" i="13"/>
  <c r="G37" i="13"/>
  <c r="Y39" i="13"/>
  <c r="G42" i="13"/>
  <c r="I44" i="13"/>
  <c r="Y46" i="13"/>
  <c r="K49" i="13"/>
  <c r="M51" i="13"/>
  <c r="M52" i="13"/>
  <c r="AA54" i="13"/>
  <c r="M55" i="13"/>
  <c r="E8" i="13"/>
  <c r="N18" i="13"/>
  <c r="O18" i="13" s="1"/>
  <c r="U29" i="13"/>
  <c r="W33" i="13"/>
  <c r="U39" i="13"/>
  <c r="W46" i="13"/>
  <c r="Y52" i="13"/>
  <c r="Y54" i="13"/>
  <c r="I8" i="13"/>
  <c r="J18" i="13"/>
  <c r="K18" i="13" s="1"/>
  <c r="W17" i="13"/>
  <c r="AC20" i="13"/>
  <c r="M27" i="13"/>
  <c r="Y29" i="13"/>
  <c r="AA31" i="13"/>
  <c r="AA33" i="13"/>
  <c r="M44" i="13"/>
  <c r="AA46" i="13"/>
  <c r="M49" i="13"/>
  <c r="H18" i="13"/>
  <c r="I18" i="13" s="1"/>
  <c r="F21" i="13"/>
  <c r="F22" i="13" s="1"/>
  <c r="G19" i="13"/>
  <c r="H21" i="13"/>
  <c r="H22" i="13" s="1"/>
  <c r="I19" i="13"/>
  <c r="V21" i="13"/>
  <c r="V22" i="13" s="1"/>
  <c r="W19" i="13"/>
  <c r="X21" i="13"/>
  <c r="X22" i="13" s="1"/>
  <c r="Y19" i="13"/>
  <c r="R68" i="13"/>
  <c r="R69" i="13"/>
  <c r="S66" i="13"/>
  <c r="R66" i="13" s="1"/>
  <c r="S65" i="13"/>
  <c r="R71" i="13"/>
  <c r="R70" i="13"/>
  <c r="AC17" i="13"/>
  <c r="O51" i="13"/>
  <c r="U55" i="13"/>
  <c r="P58" i="13"/>
  <c r="Q56" i="13"/>
  <c r="Q48" i="13"/>
  <c r="Q46" i="13"/>
  <c r="Q33" i="13"/>
  <c r="Q31" i="13"/>
  <c r="Q54" i="13"/>
  <c r="Q44" i="13"/>
  <c r="Q42" i="13"/>
  <c r="Q29" i="13"/>
  <c r="Q40" i="13"/>
  <c r="Q38" i="13"/>
  <c r="P14" i="13"/>
  <c r="Q57" i="13"/>
  <c r="Q55" i="13"/>
  <c r="Q50" i="13"/>
  <c r="Q37" i="13"/>
  <c r="Q35" i="13"/>
  <c r="O8" i="13"/>
  <c r="N14" i="13"/>
  <c r="S16" i="13"/>
  <c r="AC16" i="13"/>
  <c r="K17" i="13"/>
  <c r="U20" i="13"/>
  <c r="D21" i="13"/>
  <c r="D22" i="13" s="1"/>
  <c r="U30" i="13"/>
  <c r="S37" i="13"/>
  <c r="O38" i="13"/>
  <c r="S45" i="13"/>
  <c r="U50" i="13"/>
  <c r="Q51" i="13"/>
  <c r="W52" i="13"/>
  <c r="E35" i="13"/>
  <c r="U37" i="13"/>
  <c r="E41" i="13"/>
  <c r="O43" i="13"/>
  <c r="E48" i="13"/>
  <c r="S19" i="13"/>
  <c r="Q8" i="13"/>
  <c r="E20" i="13"/>
  <c r="U56" i="13"/>
  <c r="T64" i="13"/>
  <c r="U57" i="13"/>
  <c r="T58" i="13"/>
  <c r="U58" i="13" s="1"/>
  <c r="U54" i="13"/>
  <c r="U42" i="13"/>
  <c r="U40" i="13"/>
  <c r="U51" i="13"/>
  <c r="U38" i="13"/>
  <c r="U36" i="13"/>
  <c r="U49" i="13"/>
  <c r="U47" i="13"/>
  <c r="U32" i="13"/>
  <c r="U27" i="13"/>
  <c r="U12" i="13"/>
  <c r="U46" i="13"/>
  <c r="U44" i="13"/>
  <c r="U16" i="13"/>
  <c r="E28" i="13"/>
  <c r="E33" i="13"/>
  <c r="O36" i="13"/>
  <c r="Q43" i="13"/>
  <c r="F64" i="13"/>
  <c r="G57" i="13"/>
  <c r="G51" i="13"/>
  <c r="G47" i="13"/>
  <c r="G43" i="13"/>
  <c r="G39" i="13"/>
  <c r="G35" i="13"/>
  <c r="G31" i="13"/>
  <c r="F58" i="13"/>
  <c r="F59" i="13" s="1"/>
  <c r="G59" i="13" s="1"/>
  <c r="G49" i="13"/>
  <c r="G32" i="13"/>
  <c r="G45" i="13"/>
  <c r="G30" i="13"/>
  <c r="G27" i="13"/>
  <c r="G12" i="13"/>
  <c r="G41" i="13"/>
  <c r="G38" i="13"/>
  <c r="G36" i="13"/>
  <c r="V64" i="13"/>
  <c r="W57" i="13"/>
  <c r="W51" i="13"/>
  <c r="W47" i="13"/>
  <c r="W43" i="13"/>
  <c r="W39" i="13"/>
  <c r="W35" i="13"/>
  <c r="W31" i="13"/>
  <c r="V58" i="13"/>
  <c r="W58" i="13" s="1"/>
  <c r="W38" i="13"/>
  <c r="W36" i="13"/>
  <c r="W49" i="13"/>
  <c r="W32" i="13"/>
  <c r="W27" i="13"/>
  <c r="W12" i="13"/>
  <c r="W55" i="13"/>
  <c r="W45" i="13"/>
  <c r="W30" i="13"/>
  <c r="W56" i="13"/>
  <c r="W54" i="13"/>
  <c r="W42" i="13"/>
  <c r="W40" i="13"/>
  <c r="S8" i="13"/>
  <c r="F14" i="13"/>
  <c r="T14" i="13"/>
  <c r="D18" i="13"/>
  <c r="O17" i="13"/>
  <c r="U19" i="13"/>
  <c r="G28" i="13"/>
  <c r="E29" i="13"/>
  <c r="E31" i="13"/>
  <c r="G33" i="13"/>
  <c r="S35" i="13"/>
  <c r="Q36" i="13"/>
  <c r="Q41" i="13"/>
  <c r="S43" i="13"/>
  <c r="E46" i="13"/>
  <c r="S49" i="13"/>
  <c r="AC52" i="13"/>
  <c r="O52" i="13"/>
  <c r="O55" i="13"/>
  <c r="S57" i="13"/>
  <c r="P64" i="13"/>
  <c r="H64" i="13"/>
  <c r="H58" i="13"/>
  <c r="I57" i="13"/>
  <c r="I52" i="13"/>
  <c r="I47" i="13"/>
  <c r="I45" i="13"/>
  <c r="I30" i="13"/>
  <c r="I27" i="13"/>
  <c r="I12" i="13"/>
  <c r="I43" i="13"/>
  <c r="I41" i="13"/>
  <c r="I39" i="13"/>
  <c r="I37" i="13"/>
  <c r="I28" i="13"/>
  <c r="H14" i="13"/>
  <c r="I51" i="13"/>
  <c r="I49" i="13"/>
  <c r="X64" i="13"/>
  <c r="X58" i="13"/>
  <c r="X59" i="13" s="1"/>
  <c r="Y59" i="13" s="1"/>
  <c r="Y57" i="13"/>
  <c r="Y51" i="13"/>
  <c r="Y49" i="13"/>
  <c r="Y32" i="13"/>
  <c r="Y27" i="13"/>
  <c r="Y12" i="13"/>
  <c r="Y47" i="13"/>
  <c r="Y45" i="13"/>
  <c r="Y30" i="13"/>
  <c r="Y43" i="13"/>
  <c r="Y41" i="13"/>
  <c r="Y28" i="13"/>
  <c r="X14" i="13"/>
  <c r="Y38" i="13"/>
  <c r="Y36" i="13"/>
  <c r="E16" i="13"/>
  <c r="W16" i="13"/>
  <c r="G17" i="13"/>
  <c r="Y17" i="13"/>
  <c r="Q20" i="13"/>
  <c r="O27" i="13"/>
  <c r="O28" i="13"/>
  <c r="G29" i="13"/>
  <c r="I31" i="13"/>
  <c r="I33" i="13"/>
  <c r="U35" i="13"/>
  <c r="E39" i="13"/>
  <c r="S41" i="13"/>
  <c r="Y42" i="13"/>
  <c r="U43" i="13"/>
  <c r="G46" i="13"/>
  <c r="U48" i="13"/>
  <c r="E52" i="13"/>
  <c r="Q52" i="13"/>
  <c r="E53" i="13"/>
  <c r="AC53" i="13"/>
  <c r="Q53" i="13"/>
  <c r="G54" i="13"/>
  <c r="AA57" i="13"/>
  <c r="O49" i="13"/>
  <c r="O45" i="13"/>
  <c r="O41" i="13"/>
  <c r="O37" i="13"/>
  <c r="O33" i="13"/>
  <c r="O29" i="13"/>
  <c r="N58" i="13"/>
  <c r="O58" i="13" s="1"/>
  <c r="O57" i="13"/>
  <c r="O56" i="13"/>
  <c r="O50" i="13"/>
  <c r="O35" i="13"/>
  <c r="O48" i="13"/>
  <c r="O46" i="13"/>
  <c r="O31" i="13"/>
  <c r="O54" i="13"/>
  <c r="O44" i="13"/>
  <c r="O42" i="13"/>
  <c r="N64" i="13"/>
  <c r="O39" i="13"/>
  <c r="S56" i="13"/>
  <c r="S54" i="13"/>
  <c r="S50" i="13"/>
  <c r="S46" i="13"/>
  <c r="S42" i="13"/>
  <c r="S38" i="13"/>
  <c r="S30" i="13"/>
  <c r="S44" i="13"/>
  <c r="S29" i="13"/>
  <c r="R14" i="13"/>
  <c r="S40" i="13"/>
  <c r="R58" i="13"/>
  <c r="R59" i="13" s="1"/>
  <c r="S51" i="13"/>
  <c r="S36" i="13"/>
  <c r="S52" i="13"/>
  <c r="S48" i="13"/>
  <c r="L18" i="13"/>
  <c r="M18" i="13" s="1"/>
  <c r="K48" i="13"/>
  <c r="K44" i="13"/>
  <c r="K40" i="13"/>
  <c r="K36" i="13"/>
  <c r="K32" i="13"/>
  <c r="K43" i="13"/>
  <c r="K41" i="13"/>
  <c r="J14" i="13"/>
  <c r="J64" i="13"/>
  <c r="K39" i="13"/>
  <c r="K37" i="13"/>
  <c r="K28" i="13"/>
  <c r="K57" i="13"/>
  <c r="K56" i="13"/>
  <c r="K50" i="13"/>
  <c r="K35" i="13"/>
  <c r="K33" i="13"/>
  <c r="J58" i="13"/>
  <c r="K53" i="13"/>
  <c r="K47" i="13"/>
  <c r="K45" i="13"/>
  <c r="AA48" i="13"/>
  <c r="AA44" i="13"/>
  <c r="AA40" i="13"/>
  <c r="AA36" i="13"/>
  <c r="AA32" i="13"/>
  <c r="AA52" i="13"/>
  <c r="AA47" i="13"/>
  <c r="AA45" i="13"/>
  <c r="AA30" i="13"/>
  <c r="Z14" i="13"/>
  <c r="AA43" i="13"/>
  <c r="AA41" i="13"/>
  <c r="AA28" i="13"/>
  <c r="AA39" i="13"/>
  <c r="AA37" i="13"/>
  <c r="AA51" i="13"/>
  <c r="AA49" i="13"/>
  <c r="O12" i="13"/>
  <c r="V14" i="13"/>
  <c r="O16" i="13"/>
  <c r="Y16" i="13"/>
  <c r="Q17" i="13"/>
  <c r="I20" i="13"/>
  <c r="AA20" i="13"/>
  <c r="L21" i="13"/>
  <c r="L22" i="13" s="1"/>
  <c r="Z21" i="13"/>
  <c r="Z22" i="13" s="1"/>
  <c r="Q27" i="13"/>
  <c r="Q28" i="13"/>
  <c r="I29" i="13"/>
  <c r="K31" i="13"/>
  <c r="O32" i="13"/>
  <c r="S33" i="13"/>
  <c r="Y35" i="13"/>
  <c r="I38" i="13"/>
  <c r="Q39" i="13"/>
  <c r="O40" i="13"/>
  <c r="U41" i="13"/>
  <c r="AA42" i="13"/>
  <c r="I46" i="13"/>
  <c r="Q47" i="13"/>
  <c r="W48" i="13"/>
  <c r="K51" i="13"/>
  <c r="S53" i="13"/>
  <c r="I54" i="13"/>
  <c r="G55" i="13"/>
  <c r="G56" i="13"/>
  <c r="Z64" i="13"/>
  <c r="E56" i="13"/>
  <c r="D64" i="13"/>
  <c r="E57" i="13"/>
  <c r="E51" i="13"/>
  <c r="E38" i="13"/>
  <c r="E36" i="13"/>
  <c r="E49" i="13"/>
  <c r="E47" i="13"/>
  <c r="E32" i="13"/>
  <c r="AC7" i="13"/>
  <c r="AD31" i="13" s="1"/>
  <c r="D58" i="13"/>
  <c r="E45" i="13"/>
  <c r="E43" i="13"/>
  <c r="E30" i="13"/>
  <c r="E27" i="13"/>
  <c r="E12" i="13"/>
  <c r="E54" i="13"/>
  <c r="E42" i="13"/>
  <c r="E40" i="13"/>
  <c r="Q49" i="13"/>
  <c r="Q12" i="13"/>
  <c r="G16" i="13"/>
  <c r="Q16" i="13"/>
  <c r="I17" i="13"/>
  <c r="AA17" i="13"/>
  <c r="S20" i="13"/>
  <c r="S27" i="13"/>
  <c r="S28" i="13"/>
  <c r="K29" i="13"/>
  <c r="O30" i="13"/>
  <c r="S31" i="13"/>
  <c r="Q32" i="13"/>
  <c r="U33" i="13"/>
  <c r="AA35" i="13"/>
  <c r="E37" i="13"/>
  <c r="K38" i="13"/>
  <c r="S39" i="13"/>
  <c r="Y40" i="13"/>
  <c r="W41" i="13"/>
  <c r="E44" i="13"/>
  <c r="K46" i="13"/>
  <c r="S47" i="13"/>
  <c r="Y48" i="13"/>
  <c r="G50" i="13"/>
  <c r="K54" i="13"/>
  <c r="I56" i="13"/>
  <c r="U53" i="13"/>
  <c r="M29" i="13"/>
  <c r="M31" i="13"/>
  <c r="M46" i="13"/>
  <c r="G52" i="13"/>
  <c r="E55" i="13"/>
  <c r="M33" i="13"/>
  <c r="M35" i="13"/>
  <c r="M50" i="13"/>
  <c r="M56" i="13"/>
  <c r="M57" i="13"/>
  <c r="M28" i="13"/>
  <c r="M37" i="13"/>
  <c r="M39" i="13"/>
  <c r="L64" i="13"/>
  <c r="E3" i="12"/>
  <c r="B8" i="12" s="1"/>
  <c r="G10" i="12" s="1"/>
  <c r="G21" i="12"/>
  <c r="H3" i="12"/>
  <c r="I3" i="12" s="1"/>
  <c r="Y22" i="12"/>
  <c r="N23" i="12"/>
  <c r="Z23" i="12"/>
  <c r="G22" i="12"/>
  <c r="L27" i="9"/>
  <c r="L26" i="9"/>
  <c r="L25" i="9"/>
  <c r="L24" i="9"/>
  <c r="L23" i="9"/>
  <c r="L22" i="9"/>
  <c r="L21" i="9"/>
  <c r="L20" i="9"/>
  <c r="L19" i="9"/>
  <c r="L18" i="9"/>
  <c r="L17" i="9"/>
  <c r="L16" i="9"/>
  <c r="L15" i="9"/>
  <c r="L14" i="9"/>
  <c r="L13" i="9"/>
  <c r="L12" i="9"/>
  <c r="L11" i="9"/>
  <c r="L10" i="9"/>
  <c r="L9" i="9"/>
  <c r="L8" i="9"/>
  <c r="L7" i="9"/>
  <c r="L6" i="9"/>
  <c r="L5" i="9"/>
  <c r="L4" i="9"/>
  <c r="E21" i="13" l="1"/>
  <c r="AD45" i="13"/>
  <c r="M21" i="13"/>
  <c r="G17" i="12"/>
  <c r="I17" i="12" s="1"/>
  <c r="G15" i="12"/>
  <c r="I15" i="12" s="1"/>
  <c r="K15" i="12" s="1"/>
  <c r="L267" i="12" s="1"/>
  <c r="T59" i="13"/>
  <c r="U59" i="13" s="1"/>
  <c r="AD38" i="13"/>
  <c r="AD46" i="13"/>
  <c r="W21" i="13"/>
  <c r="G8" i="12"/>
  <c r="P8" i="12" s="1"/>
  <c r="G13" i="12"/>
  <c r="P13" i="12" s="1"/>
  <c r="G14" i="12"/>
  <c r="I14" i="12" s="1"/>
  <c r="K14" i="12" s="1"/>
  <c r="L238" i="12" s="1"/>
  <c r="L9" i="13"/>
  <c r="L10" i="13" s="1"/>
  <c r="G9" i="12"/>
  <c r="I9" i="12" s="1"/>
  <c r="G7" i="12"/>
  <c r="I7" i="12" s="1"/>
  <c r="G18" i="12"/>
  <c r="I18" i="12" s="1"/>
  <c r="G16" i="12"/>
  <c r="I16" i="12" s="1"/>
  <c r="K16" i="12" s="1"/>
  <c r="L311" i="12" s="1"/>
  <c r="G12" i="12"/>
  <c r="I12" i="12" s="1"/>
  <c r="K12" i="12" s="1"/>
  <c r="L185" i="12" s="1"/>
  <c r="G11" i="12"/>
  <c r="P11" i="12" s="1"/>
  <c r="D2" i="13"/>
  <c r="Z9" i="13"/>
  <c r="AA9" i="13" s="1"/>
  <c r="E15" i="13"/>
  <c r="AA58" i="13"/>
  <c r="T9" i="13"/>
  <c r="T10" i="13" s="1"/>
  <c r="AD35" i="13"/>
  <c r="AD34" i="13"/>
  <c r="U21" i="13"/>
  <c r="AA21" i="13"/>
  <c r="AD49" i="13"/>
  <c r="AD44" i="13"/>
  <c r="G21" i="13"/>
  <c r="S59" i="13"/>
  <c r="R60" i="13"/>
  <c r="S60" i="13" s="1"/>
  <c r="AA59" i="13"/>
  <c r="Z60" i="13"/>
  <c r="AA60" i="13" s="1"/>
  <c r="S67" i="13"/>
  <c r="AD40" i="13"/>
  <c r="M15" i="13"/>
  <c r="M14" i="13"/>
  <c r="L2" i="13"/>
  <c r="AD53" i="13"/>
  <c r="L59" i="13"/>
  <c r="AD16" i="13"/>
  <c r="AD17" i="13"/>
  <c r="AD36" i="13"/>
  <c r="AD12" i="13"/>
  <c r="AD37" i="13"/>
  <c r="AD33" i="13"/>
  <c r="AD41" i="13"/>
  <c r="N9" i="13"/>
  <c r="N59" i="13"/>
  <c r="O59" i="13" s="1"/>
  <c r="AD57" i="13"/>
  <c r="R65" i="13"/>
  <c r="R67" i="13" s="1"/>
  <c r="Y21" i="13"/>
  <c r="AD55" i="13"/>
  <c r="W14" i="13"/>
  <c r="V2" i="13"/>
  <c r="W15" i="13"/>
  <c r="D69" i="13"/>
  <c r="E66" i="13"/>
  <c r="E65" i="13"/>
  <c r="D65" i="13" s="1"/>
  <c r="D68" i="13"/>
  <c r="D71" i="13"/>
  <c r="D70" i="13"/>
  <c r="AC64" i="13"/>
  <c r="S15" i="13"/>
  <c r="S14" i="13"/>
  <c r="R2" i="13"/>
  <c r="Y65" i="13"/>
  <c r="X65" i="13" s="1"/>
  <c r="X70" i="13"/>
  <c r="X71" i="13"/>
  <c r="X69" i="13"/>
  <c r="Y66" i="13"/>
  <c r="X66" i="13" s="1"/>
  <c r="X68" i="13"/>
  <c r="AD54" i="13"/>
  <c r="F60" i="13"/>
  <c r="G60" i="13" s="1"/>
  <c r="S21" i="13"/>
  <c r="AC14" i="13"/>
  <c r="AD14" i="13" s="1"/>
  <c r="V9" i="13"/>
  <c r="J9" i="13"/>
  <c r="J59" i="13"/>
  <c r="K58" i="13"/>
  <c r="N71" i="13"/>
  <c r="O66" i="13"/>
  <c r="N66" i="13" s="1"/>
  <c r="N68" i="13"/>
  <c r="O65" i="13"/>
  <c r="N69" i="13"/>
  <c r="N70" i="13"/>
  <c r="I14" i="13"/>
  <c r="H2" i="13"/>
  <c r="I15" i="13"/>
  <c r="I65" i="13"/>
  <c r="H70" i="13"/>
  <c r="H69" i="13"/>
  <c r="H68" i="13"/>
  <c r="I66" i="13"/>
  <c r="H66" i="13" s="1"/>
  <c r="H71" i="13"/>
  <c r="AD52" i="13"/>
  <c r="E18" i="13"/>
  <c r="AC18" i="13"/>
  <c r="AD18" i="13" s="1"/>
  <c r="V59" i="13"/>
  <c r="O2" i="13"/>
  <c r="N19" i="13" s="1"/>
  <c r="O15" i="13"/>
  <c r="O14" i="13"/>
  <c r="AD48" i="13"/>
  <c r="AD30" i="13"/>
  <c r="AD20" i="13"/>
  <c r="P59" i="13"/>
  <c r="Q58" i="13"/>
  <c r="P9" i="13"/>
  <c r="Z70" i="13"/>
  <c r="Z71" i="13"/>
  <c r="Z69" i="13"/>
  <c r="Z68" i="13"/>
  <c r="AA66" i="13"/>
  <c r="Z66" i="13" s="1"/>
  <c r="AA65" i="13"/>
  <c r="Z65" i="13" s="1"/>
  <c r="Q14" i="13"/>
  <c r="Q15" i="13"/>
  <c r="Q2" i="13"/>
  <c r="P19" i="13" s="1"/>
  <c r="E58" i="13"/>
  <c r="AC58" i="13"/>
  <c r="D9" i="13"/>
  <c r="J70" i="13"/>
  <c r="J71" i="13"/>
  <c r="J69" i="13"/>
  <c r="J68" i="13"/>
  <c r="K66" i="13"/>
  <c r="J66" i="13" s="1"/>
  <c r="K65" i="13"/>
  <c r="J65" i="13" s="1"/>
  <c r="S58" i="13"/>
  <c r="R9" i="13"/>
  <c r="D59" i="13"/>
  <c r="U14" i="13"/>
  <c r="T2" i="13"/>
  <c r="U15" i="13"/>
  <c r="I21" i="13"/>
  <c r="V69" i="13"/>
  <c r="W66" i="13"/>
  <c r="V66" i="13" s="1"/>
  <c r="V70" i="13"/>
  <c r="W65" i="13"/>
  <c r="V71" i="13"/>
  <c r="V68" i="13"/>
  <c r="I58" i="13"/>
  <c r="H9" i="13"/>
  <c r="L71" i="13"/>
  <c r="M66" i="13"/>
  <c r="L66" i="13" s="1"/>
  <c r="L69" i="13"/>
  <c r="M65" i="13"/>
  <c r="L65" i="13" s="1"/>
  <c r="L70" i="13"/>
  <c r="L68" i="13"/>
  <c r="H59" i="13"/>
  <c r="AD39" i="13"/>
  <c r="AD43" i="13"/>
  <c r="AD28" i="13"/>
  <c r="AD56" i="13"/>
  <c r="AD51" i="13"/>
  <c r="AD15" i="13"/>
  <c r="AD32" i="13"/>
  <c r="AD27" i="13"/>
  <c r="AD47" i="13"/>
  <c r="AD13" i="13"/>
  <c r="AD42" i="13"/>
  <c r="AA15" i="13"/>
  <c r="Z2" i="13"/>
  <c r="AA14" i="13"/>
  <c r="K15" i="13"/>
  <c r="K14" i="13"/>
  <c r="K2" i="13"/>
  <c r="J19" i="13" s="1"/>
  <c r="X60" i="13"/>
  <c r="Y60" i="13" s="1"/>
  <c r="AD50" i="13"/>
  <c r="Y14" i="13"/>
  <c r="X2" i="13"/>
  <c r="Y15" i="13"/>
  <c r="Y58" i="13"/>
  <c r="X9" i="13"/>
  <c r="Q65" i="13"/>
  <c r="P68" i="13"/>
  <c r="Q66" i="13"/>
  <c r="P66" i="13" s="1"/>
  <c r="P71" i="13"/>
  <c r="P69" i="13"/>
  <c r="P70" i="13"/>
  <c r="AD29" i="13"/>
  <c r="F2" i="13"/>
  <c r="G14" i="13"/>
  <c r="G15" i="13"/>
  <c r="G58" i="13"/>
  <c r="F9" i="13"/>
  <c r="F69" i="13"/>
  <c r="G66" i="13"/>
  <c r="F66" i="13" s="1"/>
  <c r="F70" i="13"/>
  <c r="G65" i="13"/>
  <c r="F65" i="13" s="1"/>
  <c r="F68" i="13"/>
  <c r="F71" i="13"/>
  <c r="T69" i="13"/>
  <c r="U66" i="13"/>
  <c r="T66" i="13" s="1"/>
  <c r="T71" i="13"/>
  <c r="T70" i="13"/>
  <c r="U65" i="13"/>
  <c r="T65" i="13" s="1"/>
  <c r="T68" i="13"/>
  <c r="AD8" i="13"/>
  <c r="E22" i="12"/>
  <c r="Y23" i="12"/>
  <c r="Z24" i="12"/>
  <c r="G23" i="12"/>
  <c r="I10" i="12"/>
  <c r="P10" i="12"/>
  <c r="D374" i="7"/>
  <c r="M374" i="7" s="1"/>
  <c r="D375" i="7"/>
  <c r="M375" i="7" s="1"/>
  <c r="D376" i="7"/>
  <c r="H376" i="7" s="1"/>
  <c r="D377" i="7"/>
  <c r="H377" i="7" s="1"/>
  <c r="D378" i="7"/>
  <c r="M378" i="7" s="1"/>
  <c r="Q378" i="7" s="1"/>
  <c r="D379" i="7"/>
  <c r="R379" i="7" s="1"/>
  <c r="D380" i="7"/>
  <c r="D381" i="7"/>
  <c r="M381" i="7" s="1"/>
  <c r="D382" i="7"/>
  <c r="H382" i="7" s="1"/>
  <c r="D383" i="7"/>
  <c r="M383" i="7" s="1"/>
  <c r="D384" i="7"/>
  <c r="M384" i="7" s="1"/>
  <c r="D385" i="7"/>
  <c r="H385" i="7" s="1"/>
  <c r="D386" i="7"/>
  <c r="F386" i="7" s="1"/>
  <c r="D387" i="7"/>
  <c r="H387" i="7" s="1"/>
  <c r="D388" i="7"/>
  <c r="D389" i="7"/>
  <c r="H389" i="7" s="1"/>
  <c r="D390" i="7"/>
  <c r="H390" i="7" s="1"/>
  <c r="D391" i="7"/>
  <c r="H391" i="7" s="1"/>
  <c r="D392" i="7"/>
  <c r="H392" i="7" s="1"/>
  <c r="D393" i="7"/>
  <c r="H393" i="7" s="1"/>
  <c r="D394" i="7"/>
  <c r="M394" i="7" s="1"/>
  <c r="D395" i="7"/>
  <c r="H395" i="7" s="1"/>
  <c r="D396" i="7"/>
  <c r="D397" i="7"/>
  <c r="H397" i="7" s="1"/>
  <c r="D398" i="7"/>
  <c r="M398" i="7" s="1"/>
  <c r="Q398" i="7" s="1"/>
  <c r="D399" i="7"/>
  <c r="M399" i="7" s="1"/>
  <c r="D400" i="7"/>
  <c r="R400" i="7" s="1"/>
  <c r="D401" i="7"/>
  <c r="H401" i="7" s="1"/>
  <c r="D402" i="7"/>
  <c r="F402" i="7" s="1"/>
  <c r="D403" i="7"/>
  <c r="M403" i="7" s="1"/>
  <c r="N403" i="7" s="1"/>
  <c r="D373" i="7"/>
  <c r="H373" i="7" s="1"/>
  <c r="D341" i="7"/>
  <c r="M341" i="7" s="1"/>
  <c r="Q341" i="7" s="1"/>
  <c r="D342" i="7"/>
  <c r="H342" i="7" s="1"/>
  <c r="D343" i="7"/>
  <c r="D344" i="7"/>
  <c r="M344" i="7" s="1"/>
  <c r="Q344" i="7" s="1"/>
  <c r="D345" i="7"/>
  <c r="M345" i="7" s="1"/>
  <c r="D346" i="7"/>
  <c r="M346" i="7" s="1"/>
  <c r="D347" i="7"/>
  <c r="M347" i="7" s="1"/>
  <c r="D348" i="7"/>
  <c r="M348" i="7" s="1"/>
  <c r="D349" i="7"/>
  <c r="M349" i="7" s="1"/>
  <c r="D350" i="7"/>
  <c r="H350" i="7" s="1"/>
  <c r="D351" i="7"/>
  <c r="H351" i="7" s="1"/>
  <c r="D352" i="7"/>
  <c r="M352" i="7" s="1"/>
  <c r="Q352" i="7" s="1"/>
  <c r="D353" i="7"/>
  <c r="H353" i="7" s="1"/>
  <c r="D354" i="7"/>
  <c r="M354" i="7" s="1"/>
  <c r="D355" i="7"/>
  <c r="R355" i="7" s="1"/>
  <c r="D356" i="7"/>
  <c r="D357" i="7"/>
  <c r="H357" i="7" s="1"/>
  <c r="D358" i="7"/>
  <c r="D359" i="7"/>
  <c r="H359" i="7" s="1"/>
  <c r="D360" i="7"/>
  <c r="H360" i="7" s="1"/>
  <c r="D361" i="7"/>
  <c r="H361" i="7" s="1"/>
  <c r="D362" i="7"/>
  <c r="M362" i="7" s="1"/>
  <c r="D363" i="7"/>
  <c r="E363" i="7" s="1"/>
  <c r="D364" i="7"/>
  <c r="D365" i="7"/>
  <c r="D366" i="7"/>
  <c r="H366" i="7" s="1"/>
  <c r="D367" i="7"/>
  <c r="M367" i="7" s="1"/>
  <c r="Q367" i="7" s="1"/>
  <c r="D368" i="7"/>
  <c r="H368" i="7" s="1"/>
  <c r="D369" i="7"/>
  <c r="H369" i="7" s="1"/>
  <c r="D340" i="7"/>
  <c r="M340" i="7" s="1"/>
  <c r="D307" i="7"/>
  <c r="M307" i="7" s="1"/>
  <c r="Q307" i="7" s="1"/>
  <c r="D308" i="7"/>
  <c r="H308" i="7" s="1"/>
  <c r="D309" i="7"/>
  <c r="H309" i="7" s="1"/>
  <c r="D310" i="7"/>
  <c r="M310" i="7" s="1"/>
  <c r="N310" i="7" s="1"/>
  <c r="D311" i="7"/>
  <c r="H311" i="7" s="1"/>
  <c r="D312" i="7"/>
  <c r="H312" i="7" s="1"/>
  <c r="D313" i="7"/>
  <c r="H313" i="7" s="1"/>
  <c r="D314" i="7"/>
  <c r="M314" i="7" s="1"/>
  <c r="D315" i="7"/>
  <c r="M315" i="7" s="1"/>
  <c r="D316" i="7"/>
  <c r="M316" i="7" s="1"/>
  <c r="Q316" i="7" s="1"/>
  <c r="D317" i="7"/>
  <c r="E317" i="7" s="1"/>
  <c r="D318" i="7"/>
  <c r="D319" i="7"/>
  <c r="H319" i="7" s="1"/>
  <c r="D320" i="7"/>
  <c r="H320" i="7" s="1"/>
  <c r="D321" i="7"/>
  <c r="D322" i="7"/>
  <c r="M322" i="7" s="1"/>
  <c r="D323" i="7"/>
  <c r="H323" i="7" s="1"/>
  <c r="D324" i="7"/>
  <c r="E324" i="7" s="1"/>
  <c r="D325" i="7"/>
  <c r="H325" i="7" s="1"/>
  <c r="D326" i="7"/>
  <c r="H326" i="7" s="1"/>
  <c r="D327" i="7"/>
  <c r="H327" i="7" s="1"/>
  <c r="D328" i="7"/>
  <c r="H328" i="7" s="1"/>
  <c r="D329" i="7"/>
  <c r="D330" i="7"/>
  <c r="M330" i="7" s="1"/>
  <c r="D331" i="7"/>
  <c r="E331" i="7" s="1"/>
  <c r="D332" i="7"/>
  <c r="H332" i="7" s="1"/>
  <c r="D333" i="7"/>
  <c r="M333" i="7" s="1"/>
  <c r="D334" i="7"/>
  <c r="D335" i="7"/>
  <c r="H335" i="7" s="1"/>
  <c r="D336" i="7"/>
  <c r="H336" i="7" s="1"/>
  <c r="D306" i="7"/>
  <c r="M306" i="7" s="1"/>
  <c r="D274" i="7"/>
  <c r="M274" i="7" s="1"/>
  <c r="Q274" i="7" s="1"/>
  <c r="D275" i="7"/>
  <c r="M275" i="7" s="1"/>
  <c r="Q275" i="7" s="1"/>
  <c r="D276" i="7"/>
  <c r="H276" i="7" s="1"/>
  <c r="D277" i="7"/>
  <c r="H277" i="7" s="1"/>
  <c r="D278" i="7"/>
  <c r="M278" i="7" s="1"/>
  <c r="D279" i="7"/>
  <c r="E279" i="7" s="1"/>
  <c r="D280" i="7"/>
  <c r="M280" i="7" s="1"/>
  <c r="Q280" i="7" s="1"/>
  <c r="D281" i="7"/>
  <c r="H281" i="7" s="1"/>
  <c r="D282" i="7"/>
  <c r="H282" i="7" s="1"/>
  <c r="D283" i="7"/>
  <c r="M283" i="7" s="1"/>
  <c r="Q283" i="7" s="1"/>
  <c r="D284" i="7"/>
  <c r="H284" i="7" s="1"/>
  <c r="D285" i="7"/>
  <c r="H285" i="7" s="1"/>
  <c r="D286" i="7"/>
  <c r="D287" i="7"/>
  <c r="I287" i="7" s="1"/>
  <c r="D288" i="7"/>
  <c r="M288" i="7" s="1"/>
  <c r="D289" i="7"/>
  <c r="M289" i="7" s="1"/>
  <c r="D290" i="7"/>
  <c r="H290" i="7" s="1"/>
  <c r="D291" i="7"/>
  <c r="H291" i="7" s="1"/>
  <c r="D292" i="7"/>
  <c r="H292" i="7" s="1"/>
  <c r="D293" i="7"/>
  <c r="R293" i="7" s="1"/>
  <c r="D294" i="7"/>
  <c r="H294" i="7" s="1"/>
  <c r="D295" i="7"/>
  <c r="D296" i="7"/>
  <c r="H296" i="7" s="1"/>
  <c r="D297" i="7"/>
  <c r="M297" i="7" s="1"/>
  <c r="D298" i="7"/>
  <c r="H298" i="7" s="1"/>
  <c r="D299" i="7"/>
  <c r="M299" i="7" s="1"/>
  <c r="D300" i="7"/>
  <c r="E300" i="7" s="1"/>
  <c r="D301" i="7"/>
  <c r="M301" i="7" s="1"/>
  <c r="Q301" i="7" s="1"/>
  <c r="D302" i="7"/>
  <c r="H302" i="7" s="1"/>
  <c r="D273" i="7"/>
  <c r="H273" i="7" s="1"/>
  <c r="D240" i="7"/>
  <c r="H240" i="7" s="1"/>
  <c r="D241" i="7"/>
  <c r="M241" i="7" s="1"/>
  <c r="N241" i="7" s="1"/>
  <c r="D242" i="7"/>
  <c r="H242" i="7" s="1"/>
  <c r="D243" i="7"/>
  <c r="H243" i="7" s="1"/>
  <c r="D244" i="7"/>
  <c r="M244" i="7" s="1"/>
  <c r="D245" i="7"/>
  <c r="M245" i="7" s="1"/>
  <c r="Q245" i="7" s="1"/>
  <c r="D246" i="7"/>
  <c r="M246" i="7" s="1"/>
  <c r="D247" i="7"/>
  <c r="M247" i="7" s="1"/>
  <c r="D248" i="7"/>
  <c r="D249" i="7"/>
  <c r="H249" i="7" s="1"/>
  <c r="D250" i="7"/>
  <c r="I250" i="7" s="1"/>
  <c r="D251" i="7"/>
  <c r="F251" i="7" s="1"/>
  <c r="D252" i="7"/>
  <c r="M252" i="7" s="1"/>
  <c r="D253" i="7"/>
  <c r="I253" i="7" s="1"/>
  <c r="D254" i="7"/>
  <c r="E254" i="7" s="1"/>
  <c r="D255" i="7"/>
  <c r="F255" i="7" s="1"/>
  <c r="D256" i="7"/>
  <c r="M256" i="7" s="1"/>
  <c r="D257" i="7"/>
  <c r="H257" i="7" s="1"/>
  <c r="D258" i="7"/>
  <c r="H258" i="7" s="1"/>
  <c r="D259" i="7"/>
  <c r="M259" i="7" s="1"/>
  <c r="D260" i="7"/>
  <c r="M260" i="7" s="1"/>
  <c r="D261" i="7"/>
  <c r="M261" i="7" s="1"/>
  <c r="Q261" i="7" s="1"/>
  <c r="D262" i="7"/>
  <c r="E262" i="7" s="1"/>
  <c r="D263" i="7"/>
  <c r="H263" i="7" s="1"/>
  <c r="D264" i="7"/>
  <c r="D265" i="7"/>
  <c r="M265" i="7" s="1"/>
  <c r="D266" i="7"/>
  <c r="H266" i="7" s="1"/>
  <c r="D267" i="7"/>
  <c r="M267" i="7" s="1"/>
  <c r="D268" i="7"/>
  <c r="M268" i="7" s="1"/>
  <c r="D269" i="7"/>
  <c r="I269" i="7" s="1"/>
  <c r="D239" i="7"/>
  <c r="H239" i="7" s="1"/>
  <c r="D218" i="7"/>
  <c r="H218" i="7" s="1"/>
  <c r="D219" i="7"/>
  <c r="H219" i="7" s="1"/>
  <c r="D220" i="7"/>
  <c r="D221" i="7"/>
  <c r="H221" i="7" s="1"/>
  <c r="D222" i="7"/>
  <c r="M222" i="7" s="1"/>
  <c r="Q222" i="7" s="1"/>
  <c r="D223" i="7"/>
  <c r="M223" i="7" s="1"/>
  <c r="D224" i="7"/>
  <c r="F224" i="7" s="1"/>
  <c r="D225" i="7"/>
  <c r="H225" i="7" s="1"/>
  <c r="D226" i="7"/>
  <c r="M226" i="7" s="1"/>
  <c r="D227" i="7"/>
  <c r="H227" i="7" s="1"/>
  <c r="D228" i="7"/>
  <c r="H228" i="7" s="1"/>
  <c r="D229" i="7"/>
  <c r="H229" i="7" s="1"/>
  <c r="D230" i="7"/>
  <c r="M230" i="7" s="1"/>
  <c r="Q230" i="7" s="1"/>
  <c r="D231" i="7"/>
  <c r="F231" i="7" s="1"/>
  <c r="D232" i="7"/>
  <c r="D233" i="7"/>
  <c r="H233" i="7" s="1"/>
  <c r="D234" i="7"/>
  <c r="D235" i="7"/>
  <c r="M235" i="7" s="1"/>
  <c r="Q235" i="7" s="1"/>
  <c r="D206" i="7"/>
  <c r="H206" i="7" s="1"/>
  <c r="D207" i="7"/>
  <c r="H207" i="7" s="1"/>
  <c r="D208" i="7"/>
  <c r="M208" i="7" s="1"/>
  <c r="Q208" i="7" s="1"/>
  <c r="D209" i="7"/>
  <c r="H209" i="7" s="1"/>
  <c r="D210" i="7"/>
  <c r="E210" i="7" s="1"/>
  <c r="D211" i="7"/>
  <c r="M211" i="7" s="1"/>
  <c r="D212" i="7"/>
  <c r="H212" i="7" s="1"/>
  <c r="D213" i="7"/>
  <c r="D214" i="7"/>
  <c r="D215" i="7"/>
  <c r="M215" i="7" s="1"/>
  <c r="D216" i="7"/>
  <c r="H216" i="7" s="1"/>
  <c r="D217" i="7"/>
  <c r="H217" i="7" s="1"/>
  <c r="D205" i="7"/>
  <c r="H205" i="7" s="1"/>
  <c r="D173" i="7"/>
  <c r="D174" i="7"/>
  <c r="H174" i="7" s="1"/>
  <c r="D175" i="7"/>
  <c r="M175" i="7" s="1"/>
  <c r="D176" i="7"/>
  <c r="M176" i="7" s="1"/>
  <c r="D177" i="7"/>
  <c r="H177" i="7" s="1"/>
  <c r="D178" i="7"/>
  <c r="D179" i="7"/>
  <c r="M179" i="7" s="1"/>
  <c r="D180" i="7"/>
  <c r="H180" i="7" s="1"/>
  <c r="D181" i="7"/>
  <c r="D182" i="7"/>
  <c r="M182" i="7" s="1"/>
  <c r="Q182" i="7" s="1"/>
  <c r="D183" i="7"/>
  <c r="M183" i="7" s="1"/>
  <c r="D184" i="7"/>
  <c r="H184" i="7" s="1"/>
  <c r="D185" i="7"/>
  <c r="D186" i="7"/>
  <c r="M186" i="7" s="1"/>
  <c r="D187" i="7"/>
  <c r="M187" i="7" s="1"/>
  <c r="D188" i="7"/>
  <c r="M188" i="7" s="1"/>
  <c r="Q188" i="7" s="1"/>
  <c r="D189" i="7"/>
  <c r="H189" i="7" s="1"/>
  <c r="D190" i="7"/>
  <c r="H190" i="7" s="1"/>
  <c r="D191" i="7"/>
  <c r="H191" i="7" s="1"/>
  <c r="D192" i="7"/>
  <c r="M192" i="7" s="1"/>
  <c r="D193" i="7"/>
  <c r="R193" i="7" s="1"/>
  <c r="D194" i="7"/>
  <c r="M194" i="7" s="1"/>
  <c r="D195" i="7"/>
  <c r="M195" i="7" s="1"/>
  <c r="D196" i="7"/>
  <c r="M196" i="7" s="1"/>
  <c r="Q196" i="7" s="1"/>
  <c r="D197" i="7"/>
  <c r="H197" i="7" s="1"/>
  <c r="D198" i="7"/>
  <c r="D199" i="7"/>
  <c r="D200" i="7"/>
  <c r="I200" i="7" s="1"/>
  <c r="D201" i="7"/>
  <c r="D172" i="7"/>
  <c r="F172" i="7" s="1"/>
  <c r="I172" i="7" s="1"/>
  <c r="D155" i="7"/>
  <c r="H155" i="7" s="1"/>
  <c r="D156" i="7"/>
  <c r="H156" i="7" s="1"/>
  <c r="D157" i="7"/>
  <c r="H157" i="7" s="1"/>
  <c r="D158" i="7"/>
  <c r="D159" i="7"/>
  <c r="H159" i="7" s="1"/>
  <c r="D160" i="7"/>
  <c r="H160" i="7" s="1"/>
  <c r="D161" i="7"/>
  <c r="D162" i="7"/>
  <c r="E162" i="7" s="1"/>
  <c r="D163" i="7"/>
  <c r="H163" i="7" s="1"/>
  <c r="D164" i="7"/>
  <c r="H164" i="7" s="1"/>
  <c r="D165" i="7"/>
  <c r="H165" i="7" s="1"/>
  <c r="D166" i="7"/>
  <c r="D167" i="7"/>
  <c r="H167" i="7" s="1"/>
  <c r="D168" i="7"/>
  <c r="H168" i="7" s="1"/>
  <c r="D139" i="7"/>
  <c r="H139" i="7" s="1"/>
  <c r="D140" i="7"/>
  <c r="H140" i="7" s="1"/>
  <c r="D141" i="7"/>
  <c r="E141" i="7" s="1"/>
  <c r="D142" i="7"/>
  <c r="E142" i="7" s="1"/>
  <c r="D143" i="7"/>
  <c r="H143" i="7" s="1"/>
  <c r="D144" i="7"/>
  <c r="H144" i="7" s="1"/>
  <c r="D145" i="7"/>
  <c r="H145" i="7" s="1"/>
  <c r="D146" i="7"/>
  <c r="H146" i="7" s="1"/>
  <c r="D147" i="7"/>
  <c r="H147" i="7" s="1"/>
  <c r="D148" i="7"/>
  <c r="H148" i="7" s="1"/>
  <c r="D149" i="7"/>
  <c r="H149" i="7" s="1"/>
  <c r="D150" i="7"/>
  <c r="D151" i="7"/>
  <c r="D152" i="7"/>
  <c r="H152" i="7" s="1"/>
  <c r="D153" i="7"/>
  <c r="D154" i="7"/>
  <c r="H154" i="7" s="1"/>
  <c r="D138" i="7"/>
  <c r="H138" i="7" s="1"/>
  <c r="D106" i="7"/>
  <c r="H106" i="7" s="1"/>
  <c r="D107" i="7"/>
  <c r="M107" i="7" s="1"/>
  <c r="D108" i="7"/>
  <c r="D109" i="7"/>
  <c r="H109" i="7" s="1"/>
  <c r="D110" i="7"/>
  <c r="E110" i="7" s="1"/>
  <c r="D111" i="7"/>
  <c r="H111" i="7" s="1"/>
  <c r="D112" i="7"/>
  <c r="H112" i="7" s="1"/>
  <c r="D113" i="7"/>
  <c r="M113" i="7" s="1"/>
  <c r="D114" i="7"/>
  <c r="H114" i="7" s="1"/>
  <c r="D115" i="7"/>
  <c r="H115" i="7" s="1"/>
  <c r="D116" i="7"/>
  <c r="D117" i="7"/>
  <c r="I117" i="7" s="1"/>
  <c r="D118" i="7"/>
  <c r="D119" i="7"/>
  <c r="H119" i="7" s="1"/>
  <c r="D120" i="7"/>
  <c r="D121" i="7"/>
  <c r="M121" i="7" s="1"/>
  <c r="D122" i="7"/>
  <c r="H122" i="7" s="1"/>
  <c r="D123" i="7"/>
  <c r="M123" i="7" s="1"/>
  <c r="D124" i="7"/>
  <c r="E124" i="7" s="1"/>
  <c r="D125" i="7"/>
  <c r="D126" i="7"/>
  <c r="D127" i="7"/>
  <c r="H127" i="7" s="1"/>
  <c r="D128" i="7"/>
  <c r="D129" i="7"/>
  <c r="M129" i="7" s="1"/>
  <c r="D130" i="7"/>
  <c r="M130" i="7" s="1"/>
  <c r="Q130" i="7" s="1"/>
  <c r="D131" i="7"/>
  <c r="F131" i="7" s="1"/>
  <c r="D132" i="7"/>
  <c r="D133" i="7"/>
  <c r="I133" i="7" s="1"/>
  <c r="D134" i="7"/>
  <c r="D105" i="7"/>
  <c r="D83" i="7"/>
  <c r="H83" i="7" s="1"/>
  <c r="D84" i="7"/>
  <c r="H84" i="7" s="1"/>
  <c r="D85" i="7"/>
  <c r="H85" i="7" s="1"/>
  <c r="D86" i="7"/>
  <c r="H86" i="7" s="1"/>
  <c r="D87" i="7"/>
  <c r="H87" i="7" s="1"/>
  <c r="D88" i="7"/>
  <c r="D89" i="7"/>
  <c r="D90" i="7"/>
  <c r="H90" i="7" s="1"/>
  <c r="D91" i="7"/>
  <c r="M91" i="7" s="1"/>
  <c r="Q91" i="7" s="1"/>
  <c r="D92" i="7"/>
  <c r="H92" i="7" s="1"/>
  <c r="D93" i="7"/>
  <c r="E93" i="7" s="1"/>
  <c r="D94" i="7"/>
  <c r="H94" i="7" s="1"/>
  <c r="D95" i="7"/>
  <c r="H95" i="7" s="1"/>
  <c r="D96" i="7"/>
  <c r="D97" i="7"/>
  <c r="D98" i="7"/>
  <c r="H98" i="7" s="1"/>
  <c r="D99" i="7"/>
  <c r="M99" i="7" s="1"/>
  <c r="D100" i="7"/>
  <c r="H100" i="7" s="1"/>
  <c r="D101" i="7"/>
  <c r="H101" i="7" s="1"/>
  <c r="D72" i="7"/>
  <c r="H72" i="7" s="1"/>
  <c r="D73" i="7"/>
  <c r="M73" i="7" s="1"/>
  <c r="Q73" i="7" s="1"/>
  <c r="D74" i="7"/>
  <c r="M74" i="7" s="1"/>
  <c r="D75" i="7"/>
  <c r="M75" i="7" s="1"/>
  <c r="D76" i="7"/>
  <c r="H76" i="7" s="1"/>
  <c r="D77" i="7"/>
  <c r="D78" i="7"/>
  <c r="M78" i="7" s="1"/>
  <c r="D79" i="7"/>
  <c r="H79" i="7" s="1"/>
  <c r="D80" i="7"/>
  <c r="M80" i="7" s="1"/>
  <c r="D81" i="7"/>
  <c r="H81" i="7" s="1"/>
  <c r="D82" i="7"/>
  <c r="H82" i="7" s="1"/>
  <c r="D71" i="7"/>
  <c r="M71" i="7" s="1"/>
  <c r="Q71" i="7" s="1"/>
  <c r="D39" i="7"/>
  <c r="I39" i="7" s="1"/>
  <c r="D40" i="7"/>
  <c r="M40" i="7" s="1"/>
  <c r="D41" i="7"/>
  <c r="H41" i="7" s="1"/>
  <c r="D42" i="7"/>
  <c r="M42" i="7" s="1"/>
  <c r="D43" i="7"/>
  <c r="D44" i="7"/>
  <c r="M44" i="7" s="1"/>
  <c r="D45" i="7"/>
  <c r="D46" i="7"/>
  <c r="M46" i="7" s="1"/>
  <c r="N46" i="7" s="1"/>
  <c r="D47" i="7"/>
  <c r="H47" i="7" s="1"/>
  <c r="D48" i="7"/>
  <c r="D49" i="7"/>
  <c r="H49" i="7" s="1"/>
  <c r="D50" i="7"/>
  <c r="M50" i="7" s="1"/>
  <c r="Q50" i="7" s="1"/>
  <c r="D51" i="7"/>
  <c r="H51" i="7" s="1"/>
  <c r="D52" i="7"/>
  <c r="H52" i="7" s="1"/>
  <c r="D53" i="7"/>
  <c r="E53" i="7" s="1"/>
  <c r="D54" i="7"/>
  <c r="M54" i="7" s="1"/>
  <c r="Q54" i="7" s="1"/>
  <c r="D55" i="7"/>
  <c r="M55" i="7" s="1"/>
  <c r="D56" i="7"/>
  <c r="D57" i="7"/>
  <c r="M57" i="7" s="1"/>
  <c r="D58" i="7"/>
  <c r="M58" i="7" s="1"/>
  <c r="Q58" i="7" s="1"/>
  <c r="D59" i="7"/>
  <c r="H59" i="7" s="1"/>
  <c r="D60" i="7"/>
  <c r="I60" i="7" s="1"/>
  <c r="D61" i="7"/>
  <c r="F61" i="7" s="1"/>
  <c r="D62" i="7"/>
  <c r="D63" i="7"/>
  <c r="H63" i="7" s="1"/>
  <c r="D64" i="7"/>
  <c r="M64" i="7" s="1"/>
  <c r="D65" i="7"/>
  <c r="H65" i="7" s="1"/>
  <c r="D38" i="7"/>
  <c r="H38" i="7" s="1"/>
  <c r="D5" i="7"/>
  <c r="E5" i="7" s="1"/>
  <c r="D6" i="7"/>
  <c r="M6" i="7" s="1"/>
  <c r="N6" i="7" s="1"/>
  <c r="D7" i="7"/>
  <c r="D8" i="7"/>
  <c r="D9" i="7"/>
  <c r="H9" i="7" s="1"/>
  <c r="D10" i="7"/>
  <c r="H10" i="7" s="1"/>
  <c r="D11" i="7"/>
  <c r="H11" i="7" s="1"/>
  <c r="D12" i="7"/>
  <c r="H12" i="7" s="1"/>
  <c r="D13" i="7"/>
  <c r="H13" i="7" s="1"/>
  <c r="D14" i="7"/>
  <c r="H14" i="7" s="1"/>
  <c r="D15" i="7"/>
  <c r="D16" i="7"/>
  <c r="M16" i="7" s="1"/>
  <c r="N16" i="7" s="1"/>
  <c r="D17" i="7"/>
  <c r="D18" i="7"/>
  <c r="D19" i="7"/>
  <c r="H19" i="7" s="1"/>
  <c r="D20" i="7"/>
  <c r="H20" i="7" s="1"/>
  <c r="D21" i="7"/>
  <c r="H21" i="7" s="1"/>
  <c r="D22" i="7"/>
  <c r="E22" i="7" s="1"/>
  <c r="D23" i="7"/>
  <c r="H23" i="7" s="1"/>
  <c r="D24" i="7"/>
  <c r="D25" i="7"/>
  <c r="D26" i="7"/>
  <c r="D27" i="7"/>
  <c r="H27" i="7" s="1"/>
  <c r="D28" i="7"/>
  <c r="H28" i="7" s="1"/>
  <c r="D29" i="7"/>
  <c r="E29" i="7" s="1"/>
  <c r="D30" i="7"/>
  <c r="H30" i="7" s="1"/>
  <c r="D31" i="7"/>
  <c r="D32" i="7"/>
  <c r="H32" i="7" s="1"/>
  <c r="D33" i="7"/>
  <c r="H33" i="7" s="1"/>
  <c r="D34" i="7"/>
  <c r="H34" i="7" s="1"/>
  <c r="D4" i="7"/>
  <c r="H4" i="7" s="1"/>
  <c r="E403" i="7"/>
  <c r="F403" i="7" s="1"/>
  <c r="I403" i="7" s="1"/>
  <c r="B4" i="7"/>
  <c r="C4" i="7" s="1"/>
  <c r="L4" i="7" s="1"/>
  <c r="T4" i="7"/>
  <c r="T5" i="7" s="1"/>
  <c r="T6" i="7" s="1"/>
  <c r="T7" i="7" s="1"/>
  <c r="T8" i="7" s="1"/>
  <c r="T9" i="7" s="1"/>
  <c r="T10" i="7" s="1"/>
  <c r="T11" i="7" s="1"/>
  <c r="T12" i="7" s="1"/>
  <c r="T13" i="7" s="1"/>
  <c r="T14" i="7" s="1"/>
  <c r="T15" i="7" s="1"/>
  <c r="T16" i="7" s="1"/>
  <c r="T17" i="7" s="1"/>
  <c r="T18" i="7" s="1"/>
  <c r="T19" i="7" s="1"/>
  <c r="T20" i="7" s="1"/>
  <c r="T21" i="7" s="1"/>
  <c r="T22" i="7" s="1"/>
  <c r="T23" i="7" s="1"/>
  <c r="T24" i="7" s="1"/>
  <c r="T25" i="7" s="1"/>
  <c r="T26" i="7" s="1"/>
  <c r="T27" i="7" s="1"/>
  <c r="T28" i="7" s="1"/>
  <c r="T29" i="7" s="1"/>
  <c r="T30" i="7" s="1"/>
  <c r="T31" i="7" s="1"/>
  <c r="T32" i="7" s="1"/>
  <c r="T33" i="7" s="1"/>
  <c r="T34" i="7" s="1"/>
  <c r="T38" i="7" s="1"/>
  <c r="T39" i="7" s="1"/>
  <c r="T40" i="7" s="1"/>
  <c r="T41" i="7" s="1"/>
  <c r="T42" i="7" s="1"/>
  <c r="T43" i="7" s="1"/>
  <c r="T44" i="7" s="1"/>
  <c r="T45" i="7" s="1"/>
  <c r="T46" i="7" s="1"/>
  <c r="T47" i="7" s="1"/>
  <c r="T48" i="7" s="1"/>
  <c r="T49" i="7" s="1"/>
  <c r="T50" i="7" s="1"/>
  <c r="T51" i="7" s="1"/>
  <c r="T52" i="7" s="1"/>
  <c r="T53" i="7" s="1"/>
  <c r="T54" i="7" s="1"/>
  <c r="T55" i="7" s="1"/>
  <c r="T56" i="7" s="1"/>
  <c r="T57" i="7" s="1"/>
  <c r="T58" i="7" s="1"/>
  <c r="T59" i="7" s="1"/>
  <c r="T60" i="7" s="1"/>
  <c r="T61" i="7" s="1"/>
  <c r="T62" i="7" s="1"/>
  <c r="T63" i="7" s="1"/>
  <c r="T64" i="7" s="1"/>
  <c r="T65" i="7" s="1"/>
  <c r="T71" i="7" s="1"/>
  <c r="T72" i="7" s="1"/>
  <c r="T73" i="7" s="1"/>
  <c r="T74" i="7" s="1"/>
  <c r="T75" i="7" s="1"/>
  <c r="T76" i="7" s="1"/>
  <c r="T77" i="7" s="1"/>
  <c r="T78" i="7" s="1"/>
  <c r="T79" i="7" s="1"/>
  <c r="T80" i="7" s="1"/>
  <c r="T81" i="7" s="1"/>
  <c r="T82" i="7" s="1"/>
  <c r="T83" i="7" s="1"/>
  <c r="T84" i="7" s="1"/>
  <c r="T85" i="7" s="1"/>
  <c r="T86" i="7" s="1"/>
  <c r="T87" i="7" s="1"/>
  <c r="T88" i="7" s="1"/>
  <c r="T89" i="7" s="1"/>
  <c r="T90" i="7" s="1"/>
  <c r="T91" i="7" s="1"/>
  <c r="T92" i="7" s="1"/>
  <c r="T93" i="7" s="1"/>
  <c r="T94" i="7" s="1"/>
  <c r="T95" i="7" s="1"/>
  <c r="T96" i="7" s="1"/>
  <c r="T97" i="7" s="1"/>
  <c r="T98" i="7" s="1"/>
  <c r="T99" i="7" s="1"/>
  <c r="T100" i="7" s="1"/>
  <c r="T101" i="7" s="1"/>
  <c r="T105" i="7" s="1"/>
  <c r="T106" i="7" s="1"/>
  <c r="T107" i="7" s="1"/>
  <c r="T108" i="7" s="1"/>
  <c r="T109" i="7" s="1"/>
  <c r="T110" i="7" s="1"/>
  <c r="T111" i="7" s="1"/>
  <c r="T112" i="7" s="1"/>
  <c r="T113" i="7" s="1"/>
  <c r="T114" i="7" s="1"/>
  <c r="T115" i="7" s="1"/>
  <c r="T116" i="7" s="1"/>
  <c r="T117" i="7" s="1"/>
  <c r="T118" i="7" s="1"/>
  <c r="T119" i="7" s="1"/>
  <c r="T120" i="7" s="1"/>
  <c r="T121" i="7" s="1"/>
  <c r="T122" i="7" s="1"/>
  <c r="T123" i="7" s="1"/>
  <c r="T124" i="7" s="1"/>
  <c r="T125" i="7" s="1"/>
  <c r="T126" i="7" s="1"/>
  <c r="T127" i="7" s="1"/>
  <c r="T128" i="7" s="1"/>
  <c r="T129" i="7" s="1"/>
  <c r="T130" i="7" s="1"/>
  <c r="T131" i="7" s="1"/>
  <c r="T132" i="7" s="1"/>
  <c r="T133" i="7" s="1"/>
  <c r="T134" i="7" s="1"/>
  <c r="T138" i="7" s="1"/>
  <c r="T139" i="7" s="1"/>
  <c r="T140" i="7" s="1"/>
  <c r="T141" i="7" s="1"/>
  <c r="T142" i="7" s="1"/>
  <c r="T143" i="7" s="1"/>
  <c r="T144" i="7" s="1"/>
  <c r="T145" i="7" s="1"/>
  <c r="T146" i="7" s="1"/>
  <c r="T147" i="7" s="1"/>
  <c r="T148" i="7" s="1"/>
  <c r="T149" i="7" s="1"/>
  <c r="T150" i="7" s="1"/>
  <c r="T151" i="7" s="1"/>
  <c r="T152" i="7" s="1"/>
  <c r="T153" i="7" s="1"/>
  <c r="T154" i="7" s="1"/>
  <c r="T155" i="7" s="1"/>
  <c r="T156" i="7" s="1"/>
  <c r="T157" i="7" s="1"/>
  <c r="T158" i="7" s="1"/>
  <c r="T159" i="7" s="1"/>
  <c r="T160" i="7" s="1"/>
  <c r="T161" i="7" s="1"/>
  <c r="T162" i="7" s="1"/>
  <c r="T163" i="7" s="1"/>
  <c r="T164" i="7" s="1"/>
  <c r="T165" i="7" s="1"/>
  <c r="T166" i="7" s="1"/>
  <c r="T167" i="7" s="1"/>
  <c r="T168" i="7" s="1"/>
  <c r="T172" i="7" s="1"/>
  <c r="T173" i="7" s="1"/>
  <c r="T174" i="7" s="1"/>
  <c r="T175" i="7" s="1"/>
  <c r="T176" i="7" s="1"/>
  <c r="T177" i="7" s="1"/>
  <c r="T178" i="7" s="1"/>
  <c r="T179" i="7" s="1"/>
  <c r="T180" i="7" s="1"/>
  <c r="T181" i="7" s="1"/>
  <c r="T182" i="7" s="1"/>
  <c r="T183" i="7" s="1"/>
  <c r="T184" i="7" s="1"/>
  <c r="T185" i="7" s="1"/>
  <c r="T186" i="7" s="1"/>
  <c r="T187" i="7" s="1"/>
  <c r="T188" i="7" s="1"/>
  <c r="T189" i="7" s="1"/>
  <c r="T190" i="7" s="1"/>
  <c r="T191" i="7" s="1"/>
  <c r="T192" i="7" s="1"/>
  <c r="T193" i="7" s="1"/>
  <c r="T194" i="7" s="1"/>
  <c r="T195" i="7" s="1"/>
  <c r="T196" i="7" s="1"/>
  <c r="T197" i="7" s="1"/>
  <c r="T198" i="7" s="1"/>
  <c r="T199" i="7" s="1"/>
  <c r="T200" i="7" s="1"/>
  <c r="T201" i="7" s="1"/>
  <c r="T205" i="7" s="1"/>
  <c r="T206" i="7" s="1"/>
  <c r="T207" i="7" s="1"/>
  <c r="T208" i="7" s="1"/>
  <c r="T209" i="7" s="1"/>
  <c r="T210" i="7" s="1"/>
  <c r="T211" i="7" s="1"/>
  <c r="T212" i="7" s="1"/>
  <c r="T213" i="7" s="1"/>
  <c r="T214" i="7" s="1"/>
  <c r="T215" i="7" s="1"/>
  <c r="T216" i="7" s="1"/>
  <c r="T217" i="7" s="1"/>
  <c r="T218" i="7" s="1"/>
  <c r="T219" i="7" s="1"/>
  <c r="T220" i="7" s="1"/>
  <c r="T221" i="7" s="1"/>
  <c r="T222" i="7" s="1"/>
  <c r="T223" i="7" s="1"/>
  <c r="T224" i="7" s="1"/>
  <c r="T225" i="7" s="1"/>
  <c r="T226" i="7" s="1"/>
  <c r="T227" i="7" s="1"/>
  <c r="T228" i="7" s="1"/>
  <c r="T229" i="7" s="1"/>
  <c r="T230" i="7" s="1"/>
  <c r="T231" i="7" s="1"/>
  <c r="T232" i="7" s="1"/>
  <c r="T233" i="7" s="1"/>
  <c r="T234" i="7" s="1"/>
  <c r="T235" i="7" s="1"/>
  <c r="T239" i="7" s="1"/>
  <c r="T240" i="7" s="1"/>
  <c r="T241" i="7" s="1"/>
  <c r="T242" i="7" s="1"/>
  <c r="T243" i="7" s="1"/>
  <c r="T244" i="7" s="1"/>
  <c r="T245" i="7" s="1"/>
  <c r="T246" i="7" s="1"/>
  <c r="T247" i="7" s="1"/>
  <c r="T248" i="7" s="1"/>
  <c r="T249" i="7" s="1"/>
  <c r="T250" i="7" s="1"/>
  <c r="T251" i="7" s="1"/>
  <c r="T252" i="7" s="1"/>
  <c r="T253" i="7" s="1"/>
  <c r="T254" i="7" s="1"/>
  <c r="T255" i="7" s="1"/>
  <c r="T256" i="7" s="1"/>
  <c r="T257" i="7" s="1"/>
  <c r="T258" i="7" s="1"/>
  <c r="T259" i="7" s="1"/>
  <c r="T260" i="7" s="1"/>
  <c r="T261" i="7" s="1"/>
  <c r="T262" i="7" s="1"/>
  <c r="T263" i="7" s="1"/>
  <c r="T264" i="7" s="1"/>
  <c r="T265" i="7" s="1"/>
  <c r="T266" i="7" s="1"/>
  <c r="T267" i="7" s="1"/>
  <c r="T268" i="7" s="1"/>
  <c r="T269" i="7" s="1"/>
  <c r="T273" i="7" s="1"/>
  <c r="T274" i="7" s="1"/>
  <c r="T275" i="7" s="1"/>
  <c r="T276" i="7" s="1"/>
  <c r="T277" i="7" s="1"/>
  <c r="T278" i="7" s="1"/>
  <c r="T279" i="7" s="1"/>
  <c r="T280" i="7" s="1"/>
  <c r="T281" i="7" s="1"/>
  <c r="T282" i="7" s="1"/>
  <c r="T283" i="7" s="1"/>
  <c r="T284" i="7" s="1"/>
  <c r="T285" i="7" s="1"/>
  <c r="T286" i="7" s="1"/>
  <c r="T287" i="7" s="1"/>
  <c r="T288" i="7" s="1"/>
  <c r="T289" i="7" s="1"/>
  <c r="T290" i="7" s="1"/>
  <c r="T291" i="7" s="1"/>
  <c r="T292" i="7" s="1"/>
  <c r="T293" i="7" s="1"/>
  <c r="T294" i="7" s="1"/>
  <c r="T295" i="7" s="1"/>
  <c r="T296" i="7" s="1"/>
  <c r="T297" i="7" s="1"/>
  <c r="T298" i="7" s="1"/>
  <c r="T299" i="7" s="1"/>
  <c r="T300" i="7" s="1"/>
  <c r="T301" i="7" s="1"/>
  <c r="T302" i="7" s="1"/>
  <c r="T306" i="7" s="1"/>
  <c r="T307" i="7" s="1"/>
  <c r="T308" i="7" s="1"/>
  <c r="T309" i="7" s="1"/>
  <c r="T310" i="7" s="1"/>
  <c r="T311" i="7" s="1"/>
  <c r="T312" i="7" s="1"/>
  <c r="T313" i="7" s="1"/>
  <c r="T314" i="7" s="1"/>
  <c r="T315" i="7" s="1"/>
  <c r="T316" i="7" s="1"/>
  <c r="T317" i="7" s="1"/>
  <c r="T318" i="7" s="1"/>
  <c r="T319" i="7" s="1"/>
  <c r="T320" i="7" s="1"/>
  <c r="T321" i="7" s="1"/>
  <c r="T322" i="7" s="1"/>
  <c r="T323" i="7" s="1"/>
  <c r="T324" i="7" s="1"/>
  <c r="T325" i="7" s="1"/>
  <c r="T326" i="7" s="1"/>
  <c r="T327" i="7" s="1"/>
  <c r="T328" i="7" s="1"/>
  <c r="T329" i="7" s="1"/>
  <c r="T330" i="7" s="1"/>
  <c r="T331" i="7" s="1"/>
  <c r="T332" i="7" s="1"/>
  <c r="T333" i="7" s="1"/>
  <c r="T334" i="7" s="1"/>
  <c r="T335" i="7" s="1"/>
  <c r="T336" i="7" s="1"/>
  <c r="T340" i="7" s="1"/>
  <c r="T341" i="7" s="1"/>
  <c r="T342" i="7" s="1"/>
  <c r="T343" i="7" s="1"/>
  <c r="T344" i="7" s="1"/>
  <c r="T345" i="7" s="1"/>
  <c r="T346" i="7" s="1"/>
  <c r="T347" i="7" s="1"/>
  <c r="T348" i="7" s="1"/>
  <c r="T349" i="7" s="1"/>
  <c r="T350" i="7" s="1"/>
  <c r="T351" i="7" s="1"/>
  <c r="T352" i="7" s="1"/>
  <c r="T353" i="7" s="1"/>
  <c r="T354" i="7" s="1"/>
  <c r="T355" i="7" s="1"/>
  <c r="T356" i="7" s="1"/>
  <c r="T357" i="7" s="1"/>
  <c r="T358" i="7" s="1"/>
  <c r="T359" i="7" s="1"/>
  <c r="T360" i="7" s="1"/>
  <c r="T361" i="7" s="1"/>
  <c r="T362" i="7" s="1"/>
  <c r="T363" i="7" s="1"/>
  <c r="T364" i="7" s="1"/>
  <c r="T365" i="7" s="1"/>
  <c r="T366" i="7" s="1"/>
  <c r="T367" i="7" s="1"/>
  <c r="T368" i="7" s="1"/>
  <c r="T369" i="7" s="1"/>
  <c r="T373" i="7" s="1"/>
  <c r="T374" i="7" s="1"/>
  <c r="T375" i="7" s="1"/>
  <c r="T376" i="7" s="1"/>
  <c r="T377" i="7" s="1"/>
  <c r="T378" i="7" s="1"/>
  <c r="T379" i="7" s="1"/>
  <c r="T380" i="7" s="1"/>
  <c r="T381" i="7" s="1"/>
  <c r="T382" i="7" s="1"/>
  <c r="T383" i="7" s="1"/>
  <c r="T384" i="7" s="1"/>
  <c r="T385" i="7" s="1"/>
  <c r="T386" i="7" s="1"/>
  <c r="T387" i="7" s="1"/>
  <c r="T388" i="7" s="1"/>
  <c r="T389" i="7" s="1"/>
  <c r="T390" i="7" s="1"/>
  <c r="T391" i="7" s="1"/>
  <c r="T392" i="7" s="1"/>
  <c r="T393" i="7" s="1"/>
  <c r="T394" i="7" s="1"/>
  <c r="T395" i="7" s="1"/>
  <c r="T396" i="7" s="1"/>
  <c r="T397" i="7" s="1"/>
  <c r="T398" i="7" s="1"/>
  <c r="T399" i="7" s="1"/>
  <c r="T400" i="7" s="1"/>
  <c r="T401" i="7" s="1"/>
  <c r="T402" i="7" s="1"/>
  <c r="T403" i="7" s="1"/>
  <c r="K372" i="7"/>
  <c r="K339" i="7"/>
  <c r="K305" i="7"/>
  <c r="K272" i="7"/>
  <c r="K238" i="7"/>
  <c r="K204" i="7"/>
  <c r="K171" i="7"/>
  <c r="K104" i="7"/>
  <c r="K70" i="7"/>
  <c r="K37" i="7"/>
  <c r="K3" i="7"/>
  <c r="G33" i="10"/>
  <c r="G32" i="10"/>
  <c r="G31" i="10"/>
  <c r="G30" i="10"/>
  <c r="E131" i="7" l="1"/>
  <c r="Q15" i="12"/>
  <c r="Q12" i="12"/>
  <c r="L250" i="12"/>
  <c r="M250" i="12" s="1"/>
  <c r="L239" i="12"/>
  <c r="M239" i="12" s="1"/>
  <c r="M258" i="7"/>
  <c r="Q258" i="7" s="1"/>
  <c r="M290" i="7"/>
  <c r="Q290" i="7" s="1"/>
  <c r="H340" i="7"/>
  <c r="L254" i="12"/>
  <c r="N254" i="12" s="1"/>
  <c r="L251" i="12"/>
  <c r="M251" i="12" s="1"/>
  <c r="L234" i="12"/>
  <c r="M234" i="12" s="1"/>
  <c r="M207" i="7"/>
  <c r="Q207" i="7" s="1"/>
  <c r="P15" i="12"/>
  <c r="L261" i="12"/>
  <c r="M261" i="12" s="1"/>
  <c r="H208" i="7"/>
  <c r="I13" i="12"/>
  <c r="Q13" i="12" s="1"/>
  <c r="P14" i="12"/>
  <c r="L276" i="12"/>
  <c r="M276" i="12" s="1"/>
  <c r="L266" i="12"/>
  <c r="M266" i="12" s="1"/>
  <c r="L281" i="12"/>
  <c r="N281" i="12" s="1"/>
  <c r="L292" i="12"/>
  <c r="N292" i="12" s="1"/>
  <c r="L280" i="12"/>
  <c r="N280" i="12" s="1"/>
  <c r="N15" i="12"/>
  <c r="M376" i="7"/>
  <c r="Q376" i="7" s="1"/>
  <c r="L264" i="12"/>
  <c r="P264" i="12" s="1"/>
  <c r="L268" i="12"/>
  <c r="M268" i="12" s="1"/>
  <c r="AA15" i="12"/>
  <c r="L273" i="12"/>
  <c r="N273" i="12" s="1"/>
  <c r="L275" i="12"/>
  <c r="M275" i="12" s="1"/>
  <c r="L293" i="12"/>
  <c r="M293" i="12" s="1"/>
  <c r="L282" i="12"/>
  <c r="N282" i="12" s="1"/>
  <c r="L289" i="12"/>
  <c r="N289" i="12" s="1"/>
  <c r="L285" i="12"/>
  <c r="M285" i="12" s="1"/>
  <c r="L290" i="12"/>
  <c r="M290" i="12" s="1"/>
  <c r="L274" i="12"/>
  <c r="M274" i="12" s="1"/>
  <c r="H50" i="7"/>
  <c r="L279" i="12"/>
  <c r="M279" i="12" s="1"/>
  <c r="M38" i="7"/>
  <c r="Q38" i="7" s="1"/>
  <c r="L283" i="12"/>
  <c r="N283" i="12" s="1"/>
  <c r="L288" i="12"/>
  <c r="M288" i="12" s="1"/>
  <c r="L255" i="12"/>
  <c r="M255" i="12" s="1"/>
  <c r="M5" i="7"/>
  <c r="Q5" i="7" s="1"/>
  <c r="L257" i="12"/>
  <c r="M257" i="12" s="1"/>
  <c r="M131" i="7"/>
  <c r="N131" i="7" s="1"/>
  <c r="AA12" i="12"/>
  <c r="L178" i="12"/>
  <c r="N178" i="12" s="1"/>
  <c r="L199" i="12"/>
  <c r="M199" i="12" s="1"/>
  <c r="L180" i="12"/>
  <c r="N180" i="12" s="1"/>
  <c r="M276" i="7"/>
  <c r="Q276" i="7" s="1"/>
  <c r="M373" i="7"/>
  <c r="Q373" i="7" s="1"/>
  <c r="L187" i="12"/>
  <c r="N187" i="12" s="1"/>
  <c r="L262" i="12"/>
  <c r="N262" i="12" s="1"/>
  <c r="P17" i="12"/>
  <c r="L258" i="12"/>
  <c r="N258" i="12" s="1"/>
  <c r="L259" i="12"/>
  <c r="N259" i="12" s="1"/>
  <c r="L237" i="12"/>
  <c r="N237" i="12" s="1"/>
  <c r="L240" i="12"/>
  <c r="M240" i="12" s="1"/>
  <c r="L253" i="12"/>
  <c r="N253" i="12" s="1"/>
  <c r="L236" i="12"/>
  <c r="N236" i="12" s="1"/>
  <c r="N14" i="12"/>
  <c r="L188" i="12"/>
  <c r="M188" i="12" s="1"/>
  <c r="P12" i="12"/>
  <c r="L201" i="12"/>
  <c r="M201" i="12" s="1"/>
  <c r="L177" i="12"/>
  <c r="M177" i="12" s="1"/>
  <c r="L195" i="12"/>
  <c r="M195" i="12" s="1"/>
  <c r="T60" i="13"/>
  <c r="U60" i="13" s="1"/>
  <c r="L197" i="12"/>
  <c r="N197" i="12" s="1"/>
  <c r="L297" i="12"/>
  <c r="N297" i="12" s="1"/>
  <c r="L196" i="12"/>
  <c r="N196" i="12" s="1"/>
  <c r="L181" i="12"/>
  <c r="M181" i="12" s="1"/>
  <c r="L324" i="12"/>
  <c r="N324" i="12" s="1"/>
  <c r="I8" i="12"/>
  <c r="N8" i="12" s="1"/>
  <c r="N12" i="12"/>
  <c r="M382" i="7"/>
  <c r="Q382" i="7" s="1"/>
  <c r="L194" i="12"/>
  <c r="M194" i="12" s="1"/>
  <c r="L182" i="12"/>
  <c r="M182" i="12" s="1"/>
  <c r="L265" i="12"/>
  <c r="M265" i="12" s="1"/>
  <c r="L271" i="12"/>
  <c r="N271" i="12" s="1"/>
  <c r="L287" i="12"/>
  <c r="N287" i="12" s="1"/>
  <c r="L314" i="12"/>
  <c r="M314" i="12" s="1"/>
  <c r="L192" i="12"/>
  <c r="M192" i="12" s="1"/>
  <c r="L184" i="12"/>
  <c r="N184" i="12" s="1"/>
  <c r="L269" i="12"/>
  <c r="M269" i="12" s="1"/>
  <c r="L272" i="12"/>
  <c r="N272" i="12" s="1"/>
  <c r="L316" i="12"/>
  <c r="N316" i="12" s="1"/>
  <c r="M360" i="7"/>
  <c r="Q360" i="7" s="1"/>
  <c r="H130" i="7"/>
  <c r="L295" i="12"/>
  <c r="N295" i="12" s="1"/>
  <c r="H275" i="7"/>
  <c r="L318" i="12"/>
  <c r="N318" i="12" s="1"/>
  <c r="L304" i="12"/>
  <c r="N304" i="12" s="1"/>
  <c r="L320" i="12"/>
  <c r="N320" i="12" s="1"/>
  <c r="I11" i="12"/>
  <c r="N11" i="12" s="1"/>
  <c r="E148" i="7"/>
  <c r="L300" i="12"/>
  <c r="M300" i="12" s="1"/>
  <c r="M227" i="7"/>
  <c r="Q227" i="7" s="1"/>
  <c r="H222" i="7"/>
  <c r="P18" i="12"/>
  <c r="P7" i="12"/>
  <c r="M243" i="7"/>
  <c r="Q243" i="7" s="1"/>
  <c r="F217" i="7"/>
  <c r="M284" i="7"/>
  <c r="Q284" i="7" s="1"/>
  <c r="H274" i="7"/>
  <c r="L189" i="12"/>
  <c r="M189" i="12" s="1"/>
  <c r="L322" i="12"/>
  <c r="N322" i="12" s="1"/>
  <c r="I67" i="13"/>
  <c r="L191" i="12"/>
  <c r="M191" i="12" s="1"/>
  <c r="L294" i="12"/>
  <c r="M294" i="12" s="1"/>
  <c r="M323" i="7"/>
  <c r="Q323" i="7" s="1"/>
  <c r="M326" i="7"/>
  <c r="Q326" i="7" s="1"/>
  <c r="I355" i="7"/>
  <c r="L173" i="12"/>
  <c r="N173" i="12" s="1"/>
  <c r="L309" i="12"/>
  <c r="M309" i="12" s="1"/>
  <c r="M242" i="7"/>
  <c r="Q242" i="7" s="1"/>
  <c r="L302" i="12"/>
  <c r="N302" i="12" s="1"/>
  <c r="H355" i="7"/>
  <c r="L175" i="12"/>
  <c r="N175" i="12" s="1"/>
  <c r="L310" i="12"/>
  <c r="M310" i="12" s="1"/>
  <c r="R386" i="7"/>
  <c r="L313" i="12"/>
  <c r="N313" i="12" s="1"/>
  <c r="M9" i="13"/>
  <c r="H300" i="7"/>
  <c r="M93" i="7"/>
  <c r="N93" i="7" s="1"/>
  <c r="I162" i="7"/>
  <c r="H299" i="7"/>
  <c r="M95" i="7"/>
  <c r="Q95" i="7" s="1"/>
  <c r="M209" i="7"/>
  <c r="Q209" i="7" s="1"/>
  <c r="M292" i="7"/>
  <c r="Q292" i="7" s="1"/>
  <c r="M386" i="7"/>
  <c r="O386" i="7" s="1"/>
  <c r="H93" i="7"/>
  <c r="H260" i="7"/>
  <c r="I293" i="7"/>
  <c r="H333" i="7"/>
  <c r="H403" i="7"/>
  <c r="P9" i="12"/>
  <c r="M106" i="7"/>
  <c r="Q106" i="7" s="1"/>
  <c r="M216" i="7"/>
  <c r="Q216" i="7" s="1"/>
  <c r="M266" i="7"/>
  <c r="Q266" i="7" s="1"/>
  <c r="M298" i="7"/>
  <c r="Q298" i="7" s="1"/>
  <c r="M355" i="7"/>
  <c r="Q355" i="7" s="1"/>
  <c r="M402" i="7"/>
  <c r="Q402" i="7" s="1"/>
  <c r="H172" i="7"/>
  <c r="H253" i="7"/>
  <c r="H293" i="7"/>
  <c r="F324" i="7"/>
  <c r="L190" i="12"/>
  <c r="M190" i="12" s="1"/>
  <c r="L174" i="12"/>
  <c r="M174" i="12" s="1"/>
  <c r="L183" i="12"/>
  <c r="N183" i="12" s="1"/>
  <c r="L241" i="12"/>
  <c r="L260" i="12"/>
  <c r="L296" i="12"/>
  <c r="L301" i="12"/>
  <c r="Q14" i="12"/>
  <c r="R124" i="7"/>
  <c r="L233" i="12"/>
  <c r="P233" i="12" s="1"/>
  <c r="M325" i="7"/>
  <c r="Q325" i="7" s="1"/>
  <c r="R300" i="7"/>
  <c r="M291" i="7"/>
  <c r="Q291" i="7" s="1"/>
  <c r="I93" i="7"/>
  <c r="H307" i="7"/>
  <c r="M114" i="7"/>
  <c r="Q114" i="7" s="1"/>
  <c r="M221" i="7"/>
  <c r="Q221" i="7" s="1"/>
  <c r="M357" i="7"/>
  <c r="Q357" i="7" s="1"/>
  <c r="M4" i="7"/>
  <c r="N4" i="7" s="1"/>
  <c r="H80" i="7"/>
  <c r="H187" i="7"/>
  <c r="F253" i="7"/>
  <c r="M115" i="7"/>
  <c r="Q115" i="7" s="1"/>
  <c r="M309" i="7"/>
  <c r="Q309" i="7" s="1"/>
  <c r="R93" i="7"/>
  <c r="R224" i="7"/>
  <c r="H244" i="7"/>
  <c r="H317" i="7"/>
  <c r="E100" i="7"/>
  <c r="L198" i="12"/>
  <c r="M198" i="12" s="1"/>
  <c r="L176" i="12"/>
  <c r="AA14" i="12"/>
  <c r="L252" i="12"/>
  <c r="N252" i="12" s="1"/>
  <c r="Z10" i="13"/>
  <c r="Z23" i="13" s="1"/>
  <c r="AA23" i="13" s="1"/>
  <c r="M39" i="7"/>
  <c r="Q39" i="7" s="1"/>
  <c r="M269" i="7"/>
  <c r="Q269" i="7" s="1"/>
  <c r="M296" i="7"/>
  <c r="Q296" i="7" s="1"/>
  <c r="F72" i="7"/>
  <c r="I72" i="7" s="1"/>
  <c r="R86" i="7"/>
  <c r="I402" i="7"/>
  <c r="L308" i="12"/>
  <c r="M308" i="12" s="1"/>
  <c r="L307" i="12"/>
  <c r="N307" i="12" s="1"/>
  <c r="L315" i="12"/>
  <c r="N315" i="12" s="1"/>
  <c r="Q16" i="12"/>
  <c r="M205" i="7"/>
  <c r="Q205" i="7" s="1"/>
  <c r="M240" i="7"/>
  <c r="Q240" i="7" s="1"/>
  <c r="M392" i="7"/>
  <c r="Q392" i="7" s="1"/>
  <c r="H123" i="7"/>
  <c r="R155" i="7"/>
  <c r="H301" i="7"/>
  <c r="H316" i="7"/>
  <c r="I386" i="7"/>
  <c r="AA16" i="12"/>
  <c r="L299" i="12"/>
  <c r="N299" i="12" s="1"/>
  <c r="L321" i="12"/>
  <c r="N321" i="12" s="1"/>
  <c r="L317" i="12"/>
  <c r="M317" i="12" s="1"/>
  <c r="F110" i="7"/>
  <c r="P16" i="12"/>
  <c r="H175" i="7"/>
  <c r="E72" i="7"/>
  <c r="L303" i="12"/>
  <c r="N303" i="12" s="1"/>
  <c r="L323" i="12"/>
  <c r="N323" i="12" s="1"/>
  <c r="N16" i="12"/>
  <c r="F155" i="7"/>
  <c r="H268" i="7"/>
  <c r="I300" i="7"/>
  <c r="H324" i="7"/>
  <c r="M72" i="7"/>
  <c r="Q72" i="7" s="1"/>
  <c r="M217" i="7"/>
  <c r="Q217" i="7" s="1"/>
  <c r="M281" i="7"/>
  <c r="Q281" i="7" s="1"/>
  <c r="M308" i="7"/>
  <c r="Q308" i="7" s="1"/>
  <c r="M332" i="7"/>
  <c r="Q332" i="7" s="1"/>
  <c r="F300" i="7"/>
  <c r="E86" i="7"/>
  <c r="M190" i="7"/>
  <c r="Q190" i="7" s="1"/>
  <c r="H399" i="7"/>
  <c r="M21" i="7"/>
  <c r="Q21" i="7" s="1"/>
  <c r="M94" i="7"/>
  <c r="Q94" i="7" s="1"/>
  <c r="H195" i="7"/>
  <c r="R324" i="7"/>
  <c r="H398" i="7"/>
  <c r="E155" i="7"/>
  <c r="U9" i="13"/>
  <c r="M231" i="7"/>
  <c r="N231" i="7" s="1"/>
  <c r="M324" i="7"/>
  <c r="N324" i="7" s="1"/>
  <c r="H131" i="7"/>
  <c r="H176" i="7"/>
  <c r="I324" i="7"/>
  <c r="N60" i="13"/>
  <c r="O60" i="13" s="1"/>
  <c r="L67" i="13"/>
  <c r="E67" i="13"/>
  <c r="M67" i="13"/>
  <c r="F67" i="13"/>
  <c r="K67" i="13"/>
  <c r="O67" i="13"/>
  <c r="O9" i="13"/>
  <c r="N10" i="13"/>
  <c r="M59" i="13"/>
  <c r="L60" i="13"/>
  <c r="M60" i="13" s="1"/>
  <c r="T67" i="13"/>
  <c r="Z67" i="13"/>
  <c r="N65" i="13"/>
  <c r="N67" i="13" s="1"/>
  <c r="J67" i="13"/>
  <c r="X67" i="13"/>
  <c r="Q67" i="13"/>
  <c r="AA67" i="13"/>
  <c r="I59" i="13"/>
  <c r="H60" i="13"/>
  <c r="I60" i="13" s="1"/>
  <c r="W67" i="13"/>
  <c r="L23" i="13"/>
  <c r="M23" i="13" s="1"/>
  <c r="M10" i="13"/>
  <c r="D66" i="13"/>
  <c r="G67" i="13"/>
  <c r="P21" i="13"/>
  <c r="P22" i="13" s="1"/>
  <c r="Q19" i="13"/>
  <c r="Q21" i="13" s="1"/>
  <c r="H65" i="13"/>
  <c r="H67" i="13" s="1"/>
  <c r="K59" i="13"/>
  <c r="J60" i="13"/>
  <c r="K60" i="13" s="1"/>
  <c r="P65" i="13"/>
  <c r="P67" i="13" s="1"/>
  <c r="I9" i="13"/>
  <c r="H10" i="13"/>
  <c r="E59" i="13"/>
  <c r="AC59" i="13"/>
  <c r="D60" i="13"/>
  <c r="K9" i="13"/>
  <c r="J10" i="13"/>
  <c r="S9" i="13"/>
  <c r="R10" i="13"/>
  <c r="W9" i="13"/>
  <c r="V10" i="13"/>
  <c r="AC70" i="13"/>
  <c r="AD70" i="13" s="1"/>
  <c r="AC69" i="13"/>
  <c r="AD69" i="13" s="1"/>
  <c r="K19" i="13"/>
  <c r="K21" i="13" s="1"/>
  <c r="J21" i="13"/>
  <c r="AC19" i="13"/>
  <c r="AD19" i="13" s="1"/>
  <c r="AC71" i="13"/>
  <c r="AD71" i="13" s="1"/>
  <c r="U67" i="13"/>
  <c r="Y9" i="13"/>
  <c r="X10" i="13"/>
  <c r="V65" i="13"/>
  <c r="V67" i="13" s="1"/>
  <c r="Q9" i="13"/>
  <c r="P10" i="13"/>
  <c r="N21" i="13"/>
  <c r="N22" i="13" s="1"/>
  <c r="O19" i="13"/>
  <c r="O21" i="13" s="1"/>
  <c r="U10" i="13"/>
  <c r="T23" i="13"/>
  <c r="U23" i="13" s="1"/>
  <c r="G9" i="13"/>
  <c r="F10" i="13"/>
  <c r="E9" i="13"/>
  <c r="D10" i="13"/>
  <c r="W59" i="13"/>
  <c r="V60" i="13"/>
  <c r="W60" i="13" s="1"/>
  <c r="Y67" i="13"/>
  <c r="AC68" i="13"/>
  <c r="AD68" i="13" s="1"/>
  <c r="AD58" i="13"/>
  <c r="AC9" i="13"/>
  <c r="Q59" i="13"/>
  <c r="P60" i="13"/>
  <c r="Q60" i="13" s="1"/>
  <c r="H367" i="7"/>
  <c r="M390" i="7"/>
  <c r="Q390" i="7" s="1"/>
  <c r="H71" i="7"/>
  <c r="F86" i="7"/>
  <c r="H374" i="7"/>
  <c r="H182" i="7"/>
  <c r="H107" i="7"/>
  <c r="M13" i="7"/>
  <c r="Q13" i="7" s="1"/>
  <c r="H55" i="7"/>
  <c r="I131" i="7"/>
  <c r="R131" i="7"/>
  <c r="H226" i="7"/>
  <c r="G34" i="10"/>
  <c r="G12" i="10" s="1"/>
  <c r="M29" i="7"/>
  <c r="Q29" i="7" s="1"/>
  <c r="M86" i="7"/>
  <c r="Q86" i="7" s="1"/>
  <c r="M359" i="7"/>
  <c r="Q359" i="7" s="1"/>
  <c r="M391" i="7"/>
  <c r="Q391" i="7" s="1"/>
  <c r="H375" i="7"/>
  <c r="M41" i="7"/>
  <c r="Q41" i="7" s="1"/>
  <c r="H42" i="7"/>
  <c r="H75" i="7"/>
  <c r="H315" i="7"/>
  <c r="M251" i="7"/>
  <c r="O251" i="7" s="1"/>
  <c r="M331" i="7"/>
  <c r="O331" i="7" s="1"/>
  <c r="R100" i="7"/>
  <c r="M101" i="7"/>
  <c r="Q101" i="7" s="1"/>
  <c r="R331" i="7"/>
  <c r="M218" i="7"/>
  <c r="Q218" i="7" s="1"/>
  <c r="R217" i="7"/>
  <c r="I363" i="7"/>
  <c r="H383" i="7"/>
  <c r="E172" i="7"/>
  <c r="H384" i="7"/>
  <c r="M63" i="7"/>
  <c r="Q63" i="7" s="1"/>
  <c r="M300" i="7"/>
  <c r="N300" i="7" s="1"/>
  <c r="M350" i="7"/>
  <c r="Q350" i="7" s="1"/>
  <c r="I155" i="7"/>
  <c r="H230" i="7"/>
  <c r="I252" i="7"/>
  <c r="I331" i="7"/>
  <c r="H363" i="7"/>
  <c r="E217" i="7"/>
  <c r="M65" i="7"/>
  <c r="Q65" i="7" s="1"/>
  <c r="M122" i="7"/>
  <c r="Q122" i="7" s="1"/>
  <c r="M273" i="7"/>
  <c r="Q273" i="7" s="1"/>
  <c r="M351" i="7"/>
  <c r="Q351" i="7" s="1"/>
  <c r="H252" i="7"/>
  <c r="H331" i="7"/>
  <c r="I379" i="7"/>
  <c r="E252" i="7"/>
  <c r="I251" i="7"/>
  <c r="H288" i="7"/>
  <c r="F331" i="7"/>
  <c r="H379" i="7"/>
  <c r="E251" i="7"/>
  <c r="H352" i="7"/>
  <c r="F379" i="7"/>
  <c r="E250" i="7"/>
  <c r="I86" i="7"/>
  <c r="I217" i="7"/>
  <c r="M22" i="7"/>
  <c r="N22" i="7" s="1"/>
  <c r="M172" i="7"/>
  <c r="O172" i="7" s="1"/>
  <c r="R172" i="7" s="1"/>
  <c r="H141" i="7"/>
  <c r="R252" i="7"/>
  <c r="M174" i="7"/>
  <c r="Q174" i="7" s="1"/>
  <c r="H57" i="7"/>
  <c r="I110" i="7"/>
  <c r="H283" i="7"/>
  <c r="E140" i="7"/>
  <c r="M84" i="7"/>
  <c r="Q84" i="7" s="1"/>
  <c r="M282" i="7"/>
  <c r="Q282" i="7" s="1"/>
  <c r="M363" i="7"/>
  <c r="Q363" i="7" s="1"/>
  <c r="R251" i="7"/>
  <c r="M32" i="7"/>
  <c r="Q32" i="7" s="1"/>
  <c r="M85" i="7"/>
  <c r="Q85" i="7" s="1"/>
  <c r="M189" i="7"/>
  <c r="Q189" i="7" s="1"/>
  <c r="M239" i="7"/>
  <c r="Q239" i="7" s="1"/>
  <c r="M366" i="7"/>
  <c r="Q366" i="7" s="1"/>
  <c r="H110" i="7"/>
  <c r="E4" i="7"/>
  <c r="M49" i="7"/>
  <c r="Q49" i="7" s="1"/>
  <c r="I100" i="7"/>
  <c r="M191" i="7"/>
  <c r="Q191" i="7" s="1"/>
  <c r="M229" i="7"/>
  <c r="Q229" i="7" s="1"/>
  <c r="M250" i="7"/>
  <c r="O250" i="7" s="1"/>
  <c r="M377" i="7"/>
  <c r="Q377" i="7" s="1"/>
  <c r="F100" i="7"/>
  <c r="H78" i="7"/>
  <c r="H250" i="7"/>
  <c r="R250" i="7"/>
  <c r="E342" i="7"/>
  <c r="F4" i="7"/>
  <c r="M83" i="7"/>
  <c r="Q83" i="7" s="1"/>
  <c r="M100" i="7"/>
  <c r="Q100" i="7" s="1"/>
  <c r="M219" i="7"/>
  <c r="Q219" i="7" s="1"/>
  <c r="M401" i="7"/>
  <c r="O401" i="7" s="1"/>
  <c r="H40" i="7"/>
  <c r="H99" i="7"/>
  <c r="H183" i="7"/>
  <c r="H215" i="7"/>
  <c r="H256" i="7"/>
  <c r="F250" i="7"/>
  <c r="H306" i="7"/>
  <c r="H22" i="7"/>
  <c r="M92" i="7"/>
  <c r="Q92" i="7" s="1"/>
  <c r="M184" i="7"/>
  <c r="Q184" i="7" s="1"/>
  <c r="H280" i="7"/>
  <c r="F393" i="7"/>
  <c r="M228" i="7"/>
  <c r="Q228" i="7" s="1"/>
  <c r="M393" i="7"/>
  <c r="O393" i="7" s="1"/>
  <c r="H91" i="7"/>
  <c r="F193" i="7"/>
  <c r="R402" i="7"/>
  <c r="H64" i="7"/>
  <c r="F90" i="7"/>
  <c r="H265" i="7"/>
  <c r="E39" i="7"/>
  <c r="M18" i="7"/>
  <c r="Q18" i="7" s="1"/>
  <c r="H18" i="7"/>
  <c r="E48" i="7"/>
  <c r="F48" i="7"/>
  <c r="I48" i="7" s="1"/>
  <c r="H48" i="7"/>
  <c r="E200" i="7"/>
  <c r="M200" i="7"/>
  <c r="O200" i="7" s="1"/>
  <c r="R200" i="7"/>
  <c r="F200" i="7"/>
  <c r="H200" i="7"/>
  <c r="M214" i="7"/>
  <c r="Q214" i="7" s="1"/>
  <c r="H214" i="7"/>
  <c r="H220" i="7"/>
  <c r="M220" i="7"/>
  <c r="Q220" i="7" s="1"/>
  <c r="M249" i="7"/>
  <c r="N249" i="7" s="1"/>
  <c r="E249" i="7"/>
  <c r="F241" i="7"/>
  <c r="H241" i="7"/>
  <c r="M264" i="7"/>
  <c r="Q264" i="7" s="1"/>
  <c r="H264" i="7"/>
  <c r="E248" i="7"/>
  <c r="M248" i="7"/>
  <c r="N248" i="7" s="1"/>
  <c r="F400" i="7"/>
  <c r="M400" i="7"/>
  <c r="O400" i="7" s="1"/>
  <c r="H400" i="7"/>
  <c r="E400" i="7"/>
  <c r="I400" i="7"/>
  <c r="H199" i="7"/>
  <c r="M199" i="7"/>
  <c r="Q199" i="7" s="1"/>
  <c r="M24" i="7"/>
  <c r="Q24" i="7" s="1"/>
  <c r="H24" i="7"/>
  <c r="E16" i="7"/>
  <c r="H16" i="7"/>
  <c r="M8" i="7"/>
  <c r="Q8" i="7" s="1"/>
  <c r="E8" i="7"/>
  <c r="F8" i="7" s="1"/>
  <c r="H8" i="7"/>
  <c r="H46" i="7"/>
  <c r="F46" i="7"/>
  <c r="I46" i="7" s="1"/>
  <c r="H198" i="7"/>
  <c r="M198" i="7"/>
  <c r="Q198" i="7" s="1"/>
  <c r="M234" i="7"/>
  <c r="Q234" i="7" s="1"/>
  <c r="H234" i="7"/>
  <c r="E295" i="7"/>
  <c r="R295" i="7"/>
  <c r="I295" i="7"/>
  <c r="E287" i="7"/>
  <c r="R287" i="7"/>
  <c r="M343" i="7"/>
  <c r="Q343" i="7" s="1"/>
  <c r="H343" i="7"/>
  <c r="M77" i="7"/>
  <c r="Q77" i="7" s="1"/>
  <c r="H77" i="7"/>
  <c r="M105" i="7"/>
  <c r="Q105" i="7" s="1"/>
  <c r="H105" i="7"/>
  <c r="H213" i="7"/>
  <c r="M213" i="7"/>
  <c r="Q213" i="7" s="1"/>
  <c r="M33" i="7"/>
  <c r="Q33" i="7" s="1"/>
  <c r="M10" i="7"/>
  <c r="Q10" i="7" s="1"/>
  <c r="F39" i="7"/>
  <c r="M31" i="7"/>
  <c r="Q31" i="7" s="1"/>
  <c r="H31" i="7"/>
  <c r="M15" i="7"/>
  <c r="N15" i="7" s="1"/>
  <c r="E15" i="7"/>
  <c r="H15" i="7"/>
  <c r="H125" i="7"/>
  <c r="M125" i="7"/>
  <c r="Q125" i="7" s="1"/>
  <c r="H286" i="7"/>
  <c r="F286" i="7"/>
  <c r="H334" i="7"/>
  <c r="M334" i="7"/>
  <c r="Q334" i="7" s="1"/>
  <c r="E318" i="7"/>
  <c r="H318" i="7"/>
  <c r="M318" i="7"/>
  <c r="Q318" i="7" s="1"/>
  <c r="I318" i="7"/>
  <c r="E310" i="7"/>
  <c r="H310" i="7"/>
  <c r="H358" i="7"/>
  <c r="M358" i="7"/>
  <c r="Q358" i="7" s="1"/>
  <c r="M26" i="7"/>
  <c r="Q26" i="7" s="1"/>
  <c r="H26" i="7"/>
  <c r="H56" i="7"/>
  <c r="M56" i="7"/>
  <c r="Q56" i="7" s="1"/>
  <c r="M25" i="7"/>
  <c r="Q25" i="7" s="1"/>
  <c r="H25" i="7"/>
  <c r="M17" i="7"/>
  <c r="Q17" i="7" s="1"/>
  <c r="H17" i="7"/>
  <c r="M9" i="7"/>
  <c r="Q9" i="7" s="1"/>
  <c r="M47" i="7"/>
  <c r="Q47" i="7" s="1"/>
  <c r="M206" i="7"/>
  <c r="Q206" i="7" s="1"/>
  <c r="H192" i="7"/>
  <c r="M34" i="7"/>
  <c r="Q34" i="7" s="1"/>
  <c r="M48" i="7"/>
  <c r="N48" i="7" s="1"/>
  <c r="H248" i="7"/>
  <c r="E241" i="7"/>
  <c r="E7" i="7"/>
  <c r="M7" i="7"/>
  <c r="N7" i="7" s="1"/>
  <c r="H7" i="7"/>
  <c r="M109" i="7"/>
  <c r="Q109" i="7" s="1"/>
  <c r="M257" i="7"/>
  <c r="Q257" i="7" s="1"/>
  <c r="H39" i="7"/>
  <c r="R90" i="7"/>
  <c r="H235" i="7"/>
  <c r="H6" i="7"/>
  <c r="F401" i="7"/>
  <c r="E401" i="7"/>
  <c r="H29" i="7"/>
  <c r="E393" i="7"/>
  <c r="H5" i="7"/>
  <c r="M342" i="7"/>
  <c r="N342" i="7" s="1"/>
  <c r="M385" i="7"/>
  <c r="Q385" i="7" s="1"/>
  <c r="F93" i="7"/>
  <c r="I317" i="7"/>
  <c r="F369" i="7"/>
  <c r="R369" i="7"/>
  <c r="K10" i="12"/>
  <c r="Q10" i="12"/>
  <c r="N10" i="12"/>
  <c r="K7" i="12"/>
  <c r="Q7" i="12"/>
  <c r="N7" i="12"/>
  <c r="N17" i="12"/>
  <c r="K17" i="12"/>
  <c r="Q17" i="12"/>
  <c r="K9" i="12"/>
  <c r="Q9" i="12"/>
  <c r="N9" i="12"/>
  <c r="M185" i="12"/>
  <c r="N185" i="12"/>
  <c r="M238" i="12"/>
  <c r="N238" i="12"/>
  <c r="N311" i="12"/>
  <c r="M311" i="12"/>
  <c r="Z25" i="12"/>
  <c r="G24" i="12"/>
  <c r="E23" i="12"/>
  <c r="Y24" i="12"/>
  <c r="K18" i="12"/>
  <c r="Q18" i="12"/>
  <c r="N18" i="12"/>
  <c r="M267" i="12"/>
  <c r="N267" i="12"/>
  <c r="Q349" i="7"/>
  <c r="H117" i="7"/>
  <c r="R117" i="7"/>
  <c r="I224" i="7"/>
  <c r="H245" i="7"/>
  <c r="F293" i="7"/>
  <c r="F317" i="7"/>
  <c r="H341" i="7"/>
  <c r="E293" i="7"/>
  <c r="M87" i="7"/>
  <c r="Q87" i="7" s="1"/>
  <c r="H261" i="7"/>
  <c r="H349" i="7"/>
  <c r="E269" i="7"/>
  <c r="M23" i="7"/>
  <c r="Q23" i="7" s="1"/>
  <c r="M180" i="7"/>
  <c r="Q180" i="7" s="1"/>
  <c r="M181" i="7"/>
  <c r="Q181" i="7" s="1"/>
  <c r="F117" i="7"/>
  <c r="H151" i="7"/>
  <c r="M133" i="7"/>
  <c r="Q133" i="7" s="1"/>
  <c r="M293" i="7"/>
  <c r="Q293" i="7" s="1"/>
  <c r="H60" i="7"/>
  <c r="I124" i="7"/>
  <c r="M14" i="7"/>
  <c r="Q14" i="7" s="1"/>
  <c r="M30" i="7"/>
  <c r="Q30" i="7" s="1"/>
  <c r="M53" i="7"/>
  <c r="N53" i="7" s="1"/>
  <c r="M81" i="7"/>
  <c r="M197" i="7"/>
  <c r="Q197" i="7" s="1"/>
  <c r="M253" i="7"/>
  <c r="Q253" i="7" s="1"/>
  <c r="M285" i="7"/>
  <c r="Q285" i="7" s="1"/>
  <c r="M294" i="7"/>
  <c r="Q294" i="7" s="1"/>
  <c r="F60" i="7"/>
  <c r="Q64" i="7"/>
  <c r="H132" i="7"/>
  <c r="H124" i="7"/>
  <c r="H173" i="7"/>
  <c r="H269" i="7"/>
  <c r="R317" i="7"/>
  <c r="F141" i="7"/>
  <c r="I141" i="7" s="1"/>
  <c r="F341" i="7"/>
  <c r="E341" i="7"/>
  <c r="E379" i="7"/>
  <c r="M132" i="7"/>
  <c r="Q132" i="7" s="1"/>
  <c r="H133" i="7"/>
  <c r="M117" i="7"/>
  <c r="N117" i="7" s="1"/>
  <c r="M262" i="7"/>
  <c r="N262" i="7" s="1"/>
  <c r="M317" i="7"/>
  <c r="Q317" i="7" s="1"/>
  <c r="F133" i="7"/>
  <c r="H108" i="7"/>
  <c r="M82" i="7"/>
  <c r="Q82" i="7" s="1"/>
  <c r="M173" i="7"/>
  <c r="Q173" i="7" s="1"/>
  <c r="M210" i="7"/>
  <c r="Q210" i="7" s="1"/>
  <c r="M254" i="7"/>
  <c r="N254" i="7" s="1"/>
  <c r="M277" i="7"/>
  <c r="Q277" i="7" s="1"/>
  <c r="M286" i="7"/>
  <c r="N286" i="7" s="1"/>
  <c r="M365" i="7"/>
  <c r="Q365" i="7" s="1"/>
  <c r="R61" i="7"/>
  <c r="F124" i="7"/>
  <c r="H181" i="7"/>
  <c r="H211" i="7"/>
  <c r="F269" i="7"/>
  <c r="R286" i="7"/>
  <c r="E117" i="7"/>
  <c r="E143" i="7"/>
  <c r="E286" i="7"/>
  <c r="M61" i="7"/>
  <c r="O61" i="7" s="1"/>
  <c r="M116" i="7"/>
  <c r="Q116" i="7" s="1"/>
  <c r="M302" i="7"/>
  <c r="Q302" i="7" s="1"/>
  <c r="H116" i="7"/>
  <c r="Q176" i="7"/>
  <c r="E6" i="7"/>
  <c r="M45" i="7"/>
  <c r="Q45" i="7" s="1"/>
  <c r="M108" i="7"/>
  <c r="Q108" i="7" s="1"/>
  <c r="M124" i="7"/>
  <c r="N124" i="7" s="1"/>
  <c r="H58" i="7"/>
  <c r="H74" i="7"/>
  <c r="R133" i="7"/>
  <c r="H142" i="7"/>
  <c r="H210" i="7"/>
  <c r="H365" i="7"/>
  <c r="E79" i="7"/>
  <c r="E133" i="7"/>
  <c r="E253" i="7"/>
  <c r="Q99" i="7"/>
  <c r="Q192" i="7"/>
  <c r="K4" i="7"/>
  <c r="H45" i="7"/>
  <c r="R53" i="7"/>
  <c r="H73" i="7"/>
  <c r="F225" i="7"/>
  <c r="Q265" i="7"/>
  <c r="Q226" i="7"/>
  <c r="Q374" i="7"/>
  <c r="Q381" i="7"/>
  <c r="Q384" i="7"/>
  <c r="Q394" i="7"/>
  <c r="E402" i="7"/>
  <c r="E386" i="7"/>
  <c r="M379" i="7"/>
  <c r="M387" i="7"/>
  <c r="M395" i="7"/>
  <c r="H402" i="7"/>
  <c r="H394" i="7"/>
  <c r="H386" i="7"/>
  <c r="H378" i="7"/>
  <c r="Q399" i="7"/>
  <c r="Q383" i="7"/>
  <c r="Q375" i="7"/>
  <c r="M380" i="7"/>
  <c r="M388" i="7"/>
  <c r="M396" i="7"/>
  <c r="R401" i="7"/>
  <c r="R393" i="7"/>
  <c r="H381" i="7"/>
  <c r="M389" i="7"/>
  <c r="M397" i="7"/>
  <c r="I401" i="7"/>
  <c r="H396" i="7"/>
  <c r="I393" i="7"/>
  <c r="H388" i="7"/>
  <c r="H380" i="7"/>
  <c r="N348" i="7"/>
  <c r="Q348" i="7"/>
  <c r="O362" i="7"/>
  <c r="N362" i="7"/>
  <c r="Q362" i="7"/>
  <c r="Q354" i="7"/>
  <c r="Q346" i="7"/>
  <c r="M356" i="7"/>
  <c r="H348" i="7"/>
  <c r="F363" i="7"/>
  <c r="F355" i="7"/>
  <c r="H347" i="7"/>
  <c r="R363" i="7"/>
  <c r="H354" i="7"/>
  <c r="E362" i="7"/>
  <c r="E355" i="7"/>
  <c r="M368" i="7"/>
  <c r="F362" i="7"/>
  <c r="H344" i="7"/>
  <c r="R362" i="7"/>
  <c r="E369" i="7"/>
  <c r="M364" i="7"/>
  <c r="E348" i="7"/>
  <c r="H346" i="7"/>
  <c r="H362" i="7"/>
  <c r="H345" i="7"/>
  <c r="M353" i="7"/>
  <c r="M361" i="7"/>
  <c r="M369" i="7"/>
  <c r="I369" i="7"/>
  <c r="H364" i="7"/>
  <c r="H356" i="7"/>
  <c r="N341" i="7"/>
  <c r="I362" i="7"/>
  <c r="F342" i="7"/>
  <c r="I342" i="7" s="1"/>
  <c r="Q340" i="7"/>
  <c r="F348" i="7"/>
  <c r="I348" i="7" s="1"/>
  <c r="O348" i="7"/>
  <c r="R348" i="7" s="1"/>
  <c r="Q330" i="7"/>
  <c r="Q322" i="7"/>
  <c r="M311" i="7"/>
  <c r="M319" i="7"/>
  <c r="M327" i="7"/>
  <c r="M335" i="7"/>
  <c r="Q333" i="7"/>
  <c r="M312" i="7"/>
  <c r="M320" i="7"/>
  <c r="M328" i="7"/>
  <c r="M336" i="7"/>
  <c r="H329" i="7"/>
  <c r="H321" i="7"/>
  <c r="H314" i="7"/>
  <c r="H330" i="7"/>
  <c r="M313" i="7"/>
  <c r="M321" i="7"/>
  <c r="M329" i="7"/>
  <c r="H322" i="7"/>
  <c r="R318" i="7"/>
  <c r="F318" i="7"/>
  <c r="F310" i="7"/>
  <c r="I310" i="7" s="1"/>
  <c r="Q297" i="7"/>
  <c r="Q289" i="7"/>
  <c r="H295" i="7"/>
  <c r="H287" i="7"/>
  <c r="H279" i="7"/>
  <c r="M279" i="7"/>
  <c r="N279" i="7" s="1"/>
  <c r="M287" i="7"/>
  <c r="M295" i="7"/>
  <c r="F295" i="7"/>
  <c r="F287" i="7"/>
  <c r="H278" i="7"/>
  <c r="Q299" i="7"/>
  <c r="H297" i="7"/>
  <c r="H289" i="7"/>
  <c r="I286" i="7"/>
  <c r="Q288" i="7"/>
  <c r="Q268" i="7"/>
  <c r="N252" i="7"/>
  <c r="O252" i="7"/>
  <c r="Q252" i="7"/>
  <c r="Q260" i="7"/>
  <c r="Q244" i="7"/>
  <c r="R255" i="7"/>
  <c r="R254" i="7"/>
  <c r="I262" i="7"/>
  <c r="I254" i="7"/>
  <c r="F252" i="7"/>
  <c r="I255" i="7"/>
  <c r="M263" i="7"/>
  <c r="H262" i="7"/>
  <c r="H254" i="7"/>
  <c r="H247" i="7"/>
  <c r="Q267" i="7"/>
  <c r="Q259" i="7"/>
  <c r="M255" i="7"/>
  <c r="H255" i="7"/>
  <c r="R262" i="7"/>
  <c r="H267" i="7"/>
  <c r="F262" i="7"/>
  <c r="H259" i="7"/>
  <c r="F254" i="7"/>
  <c r="H251" i="7"/>
  <c r="H246" i="7"/>
  <c r="R269" i="7"/>
  <c r="Q256" i="7"/>
  <c r="R253" i="7"/>
  <c r="E255" i="7"/>
  <c r="F249" i="7"/>
  <c r="I241" i="7"/>
  <c r="H232" i="7"/>
  <c r="M224" i="7"/>
  <c r="M232" i="7"/>
  <c r="R231" i="7"/>
  <c r="E225" i="7"/>
  <c r="M225" i="7"/>
  <c r="M233" i="7"/>
  <c r="Q223" i="7"/>
  <c r="I231" i="7"/>
  <c r="E224" i="7"/>
  <c r="R225" i="7"/>
  <c r="H231" i="7"/>
  <c r="H223" i="7"/>
  <c r="E231" i="7"/>
  <c r="H224" i="7"/>
  <c r="I225" i="7"/>
  <c r="Q211" i="7"/>
  <c r="M212" i="7"/>
  <c r="Q195" i="7"/>
  <c r="Q187" i="7"/>
  <c r="N179" i="7"/>
  <c r="Q179" i="7"/>
  <c r="Q194" i="7"/>
  <c r="O186" i="7"/>
  <c r="Q186" i="7"/>
  <c r="N186" i="7"/>
  <c r="F179" i="7"/>
  <c r="I179" i="7" s="1"/>
  <c r="E179" i="7"/>
  <c r="E186" i="7"/>
  <c r="I186" i="7"/>
  <c r="H179" i="7"/>
  <c r="H194" i="7"/>
  <c r="H186" i="7"/>
  <c r="R186" i="7"/>
  <c r="E193" i="7"/>
  <c r="M177" i="7"/>
  <c r="Q177" i="7" s="1"/>
  <c r="M185" i="7"/>
  <c r="M193" i="7"/>
  <c r="M201" i="7"/>
  <c r="F186" i="7"/>
  <c r="H178" i="7"/>
  <c r="M178" i="7"/>
  <c r="H196" i="7"/>
  <c r="I193" i="7"/>
  <c r="H188" i="7"/>
  <c r="Q183" i="7"/>
  <c r="H201" i="7"/>
  <c r="H193" i="7"/>
  <c r="H185" i="7"/>
  <c r="R162" i="7"/>
  <c r="H161" i="7"/>
  <c r="H166" i="7"/>
  <c r="H158" i="7"/>
  <c r="H162" i="7"/>
  <c r="F162" i="7"/>
  <c r="H153" i="7"/>
  <c r="H150" i="7"/>
  <c r="F143" i="7"/>
  <c r="I143" i="7" s="1"/>
  <c r="F142" i="7"/>
  <c r="I142" i="7" s="1"/>
  <c r="F140" i="7"/>
  <c r="Q129" i="7"/>
  <c r="Q121" i="7"/>
  <c r="Q113" i="7"/>
  <c r="H129" i="7"/>
  <c r="H121" i="7"/>
  <c r="M110" i="7"/>
  <c r="Q110" i="7" s="1"/>
  <c r="M118" i="7"/>
  <c r="M126" i="7"/>
  <c r="M134" i="7"/>
  <c r="H134" i="7"/>
  <c r="H126" i="7"/>
  <c r="H118" i="7"/>
  <c r="M111" i="7"/>
  <c r="M119" i="7"/>
  <c r="M127" i="7"/>
  <c r="Q123" i="7"/>
  <c r="M112" i="7"/>
  <c r="M120" i="7"/>
  <c r="M128" i="7"/>
  <c r="H128" i="7"/>
  <c r="H120" i="7"/>
  <c r="H113" i="7"/>
  <c r="H97" i="7"/>
  <c r="H89" i="7"/>
  <c r="M88" i="7"/>
  <c r="M96" i="7"/>
  <c r="H96" i="7"/>
  <c r="H88" i="7"/>
  <c r="M89" i="7"/>
  <c r="M97" i="7"/>
  <c r="I90" i="7"/>
  <c r="E90" i="7"/>
  <c r="M90" i="7"/>
  <c r="M98" i="7"/>
  <c r="Q80" i="7"/>
  <c r="Q74" i="7"/>
  <c r="M76" i="7"/>
  <c r="M79" i="7"/>
  <c r="N79" i="7" s="1"/>
  <c r="E46" i="7"/>
  <c r="H62" i="7"/>
  <c r="H44" i="7"/>
  <c r="E60" i="7"/>
  <c r="I61" i="7"/>
  <c r="I53" i="7"/>
  <c r="R60" i="7"/>
  <c r="Q55" i="7"/>
  <c r="M62" i="7"/>
  <c r="H54" i="7"/>
  <c r="H61" i="7"/>
  <c r="H53" i="7"/>
  <c r="H43" i="7"/>
  <c r="E61" i="7"/>
  <c r="M43" i="7"/>
  <c r="M51" i="7"/>
  <c r="M59" i="7"/>
  <c r="F53" i="7"/>
  <c r="Q57" i="7"/>
  <c r="M52" i="7"/>
  <c r="M60" i="7"/>
  <c r="F15" i="7"/>
  <c r="Q16" i="7"/>
  <c r="M27" i="7"/>
  <c r="M12" i="7"/>
  <c r="M20" i="7"/>
  <c r="M28" i="7"/>
  <c r="M11" i="7"/>
  <c r="F16" i="7"/>
  <c r="M19" i="7"/>
  <c r="F5" i="7"/>
  <c r="F6" i="7"/>
  <c r="O403" i="7"/>
  <c r="Q403" i="7"/>
  <c r="I341" i="7"/>
  <c r="O310" i="7"/>
  <c r="F279" i="7"/>
  <c r="I279" i="7" s="1"/>
  <c r="I249" i="7"/>
  <c r="F248" i="7"/>
  <c r="I248" i="7" s="1"/>
  <c r="F210" i="7"/>
  <c r="I210" i="7" s="1"/>
  <c r="O179" i="7"/>
  <c r="R179" i="7" s="1"/>
  <c r="F148" i="7"/>
  <c r="I140" i="7"/>
  <c r="I148" i="7"/>
  <c r="F79" i="7"/>
  <c r="I79" i="7" s="1"/>
  <c r="O46" i="7"/>
  <c r="Q345" i="7"/>
  <c r="O341" i="7"/>
  <c r="R341" i="7" s="1"/>
  <c r="Q347" i="7"/>
  <c r="Q306" i="7"/>
  <c r="Q314" i="7"/>
  <c r="Q310" i="7"/>
  <c r="Q315" i="7"/>
  <c r="Q278" i="7"/>
  <c r="Q247" i="7"/>
  <c r="Q241" i="7"/>
  <c r="Q246" i="7"/>
  <c r="Q215" i="7"/>
  <c r="Q175" i="7"/>
  <c r="Q107" i="7"/>
  <c r="Q78" i="7"/>
  <c r="Q75" i="7"/>
  <c r="Q46" i="7"/>
  <c r="Q44" i="7"/>
  <c r="Q42" i="7"/>
  <c r="Q40" i="7"/>
  <c r="Q6" i="7"/>
  <c r="I4" i="7"/>
  <c r="F7" i="7"/>
  <c r="B5" i="7"/>
  <c r="AC57" i="11"/>
  <c r="AC56" i="11"/>
  <c r="Z55" i="11"/>
  <c r="X55" i="11"/>
  <c r="V55" i="11"/>
  <c r="T55" i="11"/>
  <c r="R55" i="11"/>
  <c r="P55" i="11"/>
  <c r="N55" i="11"/>
  <c r="L55" i="11"/>
  <c r="J55" i="11"/>
  <c r="H55" i="11"/>
  <c r="F55" i="11"/>
  <c r="D55" i="11"/>
  <c r="AC54" i="11"/>
  <c r="Z53" i="11"/>
  <c r="X53" i="11"/>
  <c r="V53" i="11"/>
  <c r="T53" i="11"/>
  <c r="R53" i="11"/>
  <c r="P53" i="11"/>
  <c r="N53" i="11"/>
  <c r="L53" i="11"/>
  <c r="J53" i="11"/>
  <c r="H53" i="11"/>
  <c r="F53" i="11"/>
  <c r="D53" i="11"/>
  <c r="Z52" i="11"/>
  <c r="X52" i="11"/>
  <c r="V52" i="11"/>
  <c r="T52" i="11"/>
  <c r="R52" i="11"/>
  <c r="P52" i="11"/>
  <c r="N52" i="11"/>
  <c r="L52" i="11"/>
  <c r="J52" i="11"/>
  <c r="H52" i="11"/>
  <c r="F52" i="11"/>
  <c r="D52" i="11"/>
  <c r="AC51" i="11"/>
  <c r="AC50" i="11"/>
  <c r="AC49" i="11"/>
  <c r="AC48" i="11"/>
  <c r="AC47" i="11"/>
  <c r="AC46" i="11"/>
  <c r="AC45" i="11"/>
  <c r="AC44" i="11"/>
  <c r="AC43" i="11"/>
  <c r="AC42" i="11"/>
  <c r="AC41" i="11"/>
  <c r="AC40" i="11"/>
  <c r="AC39" i="11"/>
  <c r="AC38" i="11"/>
  <c r="AC37" i="11"/>
  <c r="AC36" i="11"/>
  <c r="AC35" i="11"/>
  <c r="AC34" i="11"/>
  <c r="AC33" i="11"/>
  <c r="AC32" i="11"/>
  <c r="AC31" i="11"/>
  <c r="AC30" i="11"/>
  <c r="AC29" i="11"/>
  <c r="AC28" i="11"/>
  <c r="AC27" i="11"/>
  <c r="AC25" i="11"/>
  <c r="Z20" i="11"/>
  <c r="X20" i="11"/>
  <c r="V20" i="11"/>
  <c r="T20" i="11"/>
  <c r="R20" i="11"/>
  <c r="P20" i="11"/>
  <c r="N20" i="11"/>
  <c r="L20" i="11"/>
  <c r="J20" i="11"/>
  <c r="H20" i="11"/>
  <c r="F20" i="11"/>
  <c r="D20" i="11"/>
  <c r="D19" i="11"/>
  <c r="Z17" i="11"/>
  <c r="X17" i="11"/>
  <c r="V17" i="11"/>
  <c r="T17" i="11"/>
  <c r="R17" i="11"/>
  <c r="P17" i="11"/>
  <c r="N17" i="11"/>
  <c r="L17" i="11"/>
  <c r="J17" i="11"/>
  <c r="H17" i="11"/>
  <c r="F17" i="11"/>
  <c r="D17" i="11"/>
  <c r="Z16" i="11"/>
  <c r="X16" i="11"/>
  <c r="V16" i="11"/>
  <c r="T16" i="11"/>
  <c r="R16" i="11"/>
  <c r="P16" i="11"/>
  <c r="N16" i="11"/>
  <c r="L16" i="11"/>
  <c r="J16" i="11"/>
  <c r="H16" i="11"/>
  <c r="F16" i="11"/>
  <c r="D16" i="11"/>
  <c r="AC15" i="11"/>
  <c r="AC13" i="11"/>
  <c r="AA13" i="11"/>
  <c r="Y13" i="11"/>
  <c r="W13" i="11"/>
  <c r="U13" i="11"/>
  <c r="S13" i="11"/>
  <c r="Q13" i="11"/>
  <c r="O13" i="11"/>
  <c r="M13" i="11"/>
  <c r="K13" i="11"/>
  <c r="I13" i="11"/>
  <c r="G13" i="11"/>
  <c r="E13" i="11"/>
  <c r="AC12" i="11"/>
  <c r="Z8" i="11"/>
  <c r="X8" i="11"/>
  <c r="V8" i="11"/>
  <c r="T8" i="11"/>
  <c r="R8" i="11"/>
  <c r="P8" i="11"/>
  <c r="N8" i="11"/>
  <c r="L8" i="11"/>
  <c r="J8" i="11"/>
  <c r="H8" i="11"/>
  <c r="F8" i="11"/>
  <c r="D8" i="11"/>
  <c r="Z7" i="11"/>
  <c r="AA57" i="11" s="1"/>
  <c r="X7" i="11"/>
  <c r="V7" i="11"/>
  <c r="W48" i="11" s="1"/>
  <c r="T7" i="11"/>
  <c r="U48" i="11" s="1"/>
  <c r="R7" i="11"/>
  <c r="R64" i="11" s="1"/>
  <c r="P7" i="11"/>
  <c r="Q32" i="11" s="1"/>
  <c r="N7" i="11"/>
  <c r="O54" i="11" s="1"/>
  <c r="L7" i="11"/>
  <c r="M50" i="11" s="1"/>
  <c r="J7" i="11"/>
  <c r="K51" i="11" s="1"/>
  <c r="H7" i="11"/>
  <c r="I54" i="11" s="1"/>
  <c r="F7" i="11"/>
  <c r="G54" i="11" s="1"/>
  <c r="D7" i="11"/>
  <c r="E33" i="11" s="1"/>
  <c r="AA2" i="11"/>
  <c r="Z19" i="11" s="1"/>
  <c r="Y2" i="11"/>
  <c r="X19" i="11" s="1"/>
  <c r="W2" i="11"/>
  <c r="V19" i="11" s="1"/>
  <c r="U2" i="11"/>
  <c r="T19" i="11" s="1"/>
  <c r="S2" i="11"/>
  <c r="R19" i="11" s="1"/>
  <c r="P2" i="11"/>
  <c r="N2" i="11"/>
  <c r="M2" i="11"/>
  <c r="L19" i="11" s="1"/>
  <c r="J2" i="11"/>
  <c r="I2" i="11"/>
  <c r="H19" i="11" s="1"/>
  <c r="G2" i="11"/>
  <c r="F19" i="11" s="1"/>
  <c r="E2" i="11"/>
  <c r="B33" i="10"/>
  <c r="J30" i="8"/>
  <c r="I30" i="8"/>
  <c r="H30" i="8"/>
  <c r="E28" i="4" s="1"/>
  <c r="G28" i="4" s="1"/>
  <c r="G30" i="8"/>
  <c r="E27" i="4" s="1"/>
  <c r="G27" i="4" s="1"/>
  <c r="F30" i="8"/>
  <c r="E30" i="8"/>
  <c r="D30" i="8"/>
  <c r="C30" i="8"/>
  <c r="M163" i="7"/>
  <c r="A1" i="6"/>
  <c r="W385" i="5"/>
  <c r="V385" i="5"/>
  <c r="U385" i="5"/>
  <c r="R385" i="5"/>
  <c r="Q385" i="5"/>
  <c r="P385" i="5"/>
  <c r="M385" i="5"/>
  <c r="L385" i="5"/>
  <c r="N385" i="5" s="1"/>
  <c r="W384" i="5"/>
  <c r="V384" i="5"/>
  <c r="U384" i="5"/>
  <c r="R384" i="5"/>
  <c r="Q384" i="5"/>
  <c r="P384" i="5"/>
  <c r="M384" i="5"/>
  <c r="L384" i="5"/>
  <c r="N384" i="5" s="1"/>
  <c r="W383" i="5"/>
  <c r="V383" i="5"/>
  <c r="U383" i="5"/>
  <c r="R383" i="5"/>
  <c r="Q383" i="5"/>
  <c r="P383" i="5"/>
  <c r="M383" i="5"/>
  <c r="L383" i="5"/>
  <c r="N383" i="5" s="1"/>
  <c r="V382" i="5"/>
  <c r="Q382" i="5"/>
  <c r="V381" i="5"/>
  <c r="Q381" i="5"/>
  <c r="V380" i="5"/>
  <c r="Q380" i="5"/>
  <c r="V379" i="5"/>
  <c r="Q379" i="5"/>
  <c r="V378" i="5"/>
  <c r="Q378" i="5"/>
  <c r="V377" i="5"/>
  <c r="Q377" i="5"/>
  <c r="W376" i="5"/>
  <c r="V376" i="5"/>
  <c r="U376" i="5"/>
  <c r="R376" i="5"/>
  <c r="Q376" i="5"/>
  <c r="P376" i="5"/>
  <c r="M376" i="5"/>
  <c r="L376" i="5"/>
  <c r="N376" i="5" s="1"/>
  <c r="V375" i="5"/>
  <c r="Q375" i="5"/>
  <c r="V374" i="5"/>
  <c r="Q374" i="5"/>
  <c r="V373" i="5"/>
  <c r="Q373" i="5"/>
  <c r="V372" i="5"/>
  <c r="Q372" i="5"/>
  <c r="V371" i="5"/>
  <c r="Q371" i="5"/>
  <c r="V370" i="5"/>
  <c r="Q370" i="5"/>
  <c r="W369" i="5"/>
  <c r="V369" i="5"/>
  <c r="U369" i="5"/>
  <c r="R369" i="5"/>
  <c r="Q369" i="5"/>
  <c r="P369" i="5"/>
  <c r="M369" i="5"/>
  <c r="L369" i="5"/>
  <c r="N369" i="5" s="1"/>
  <c r="V368" i="5"/>
  <c r="Q368" i="5"/>
  <c r="V367" i="5"/>
  <c r="Q367" i="5"/>
  <c r="V366" i="5"/>
  <c r="Q366" i="5"/>
  <c r="V365" i="5"/>
  <c r="Q365" i="5"/>
  <c r="V364" i="5"/>
  <c r="Q364" i="5"/>
  <c r="V363" i="5"/>
  <c r="Q363" i="5"/>
  <c r="W362" i="5"/>
  <c r="V362" i="5"/>
  <c r="U362" i="5"/>
  <c r="R362" i="5"/>
  <c r="Q362" i="5"/>
  <c r="P362" i="5"/>
  <c r="M362" i="5"/>
  <c r="L362" i="5"/>
  <c r="N362" i="5" s="1"/>
  <c r="V361" i="5"/>
  <c r="Q361" i="5"/>
  <c r="V360" i="5"/>
  <c r="Q360" i="5"/>
  <c r="V359" i="5"/>
  <c r="Q359" i="5"/>
  <c r="V358" i="5"/>
  <c r="Q358" i="5"/>
  <c r="V357" i="5"/>
  <c r="Q357" i="5"/>
  <c r="V356" i="5"/>
  <c r="Q356" i="5"/>
  <c r="W355" i="5"/>
  <c r="V355" i="5"/>
  <c r="U355" i="5"/>
  <c r="R355" i="5"/>
  <c r="Q355" i="5"/>
  <c r="P355" i="5"/>
  <c r="M355" i="5"/>
  <c r="L355" i="5"/>
  <c r="V354" i="5"/>
  <c r="Q354" i="5"/>
  <c r="V353" i="5"/>
  <c r="Q353" i="5"/>
  <c r="V352" i="5"/>
  <c r="Q352" i="5"/>
  <c r="V351" i="5"/>
  <c r="Q351" i="5"/>
  <c r="V350" i="5"/>
  <c r="Q350" i="5"/>
  <c r="V349" i="5"/>
  <c r="Q349" i="5"/>
  <c r="W348" i="5"/>
  <c r="V348" i="5"/>
  <c r="U348" i="5"/>
  <c r="R348" i="5"/>
  <c r="Q348" i="5"/>
  <c r="P348" i="5"/>
  <c r="M348" i="5"/>
  <c r="L348" i="5"/>
  <c r="N348" i="5" s="1"/>
  <c r="W347" i="5"/>
  <c r="V347" i="5"/>
  <c r="U347" i="5"/>
  <c r="R347" i="5"/>
  <c r="Q347" i="5"/>
  <c r="P347" i="5"/>
  <c r="M347" i="5"/>
  <c r="L347" i="5"/>
  <c r="N347" i="5" s="1"/>
  <c r="V346" i="5"/>
  <c r="Q346" i="5"/>
  <c r="V345" i="5"/>
  <c r="Q345" i="5"/>
  <c r="V344" i="5"/>
  <c r="Q344" i="5"/>
  <c r="V343" i="5"/>
  <c r="Q343" i="5"/>
  <c r="V342" i="5"/>
  <c r="Q342" i="5"/>
  <c r="W341" i="5"/>
  <c r="V341" i="5"/>
  <c r="U341" i="5"/>
  <c r="R341" i="5"/>
  <c r="Q341" i="5"/>
  <c r="P341" i="5"/>
  <c r="M341" i="5"/>
  <c r="L341" i="5"/>
  <c r="N341" i="5" s="1"/>
  <c r="V340" i="5"/>
  <c r="Q340" i="5"/>
  <c r="V339" i="5"/>
  <c r="Q339" i="5"/>
  <c r="V338" i="5"/>
  <c r="Q338" i="5"/>
  <c r="V337" i="5"/>
  <c r="Q337" i="5"/>
  <c r="V336" i="5"/>
  <c r="Q336" i="5"/>
  <c r="V335" i="5"/>
  <c r="Q335" i="5"/>
  <c r="W334" i="5"/>
  <c r="V334" i="5"/>
  <c r="U334" i="5"/>
  <c r="R334" i="5"/>
  <c r="Q334" i="5"/>
  <c r="P334" i="5"/>
  <c r="M334" i="5"/>
  <c r="L334" i="5"/>
  <c r="N334" i="5" s="1"/>
  <c r="V333" i="5"/>
  <c r="Q333" i="5"/>
  <c r="V332" i="5"/>
  <c r="Q332" i="5"/>
  <c r="V331" i="5"/>
  <c r="Q331" i="5"/>
  <c r="V330" i="5"/>
  <c r="Q330" i="5"/>
  <c r="V329" i="5"/>
  <c r="Q329" i="5"/>
  <c r="W328" i="5"/>
  <c r="V328" i="5"/>
  <c r="U328" i="5"/>
  <c r="R328" i="5"/>
  <c r="Q328" i="5"/>
  <c r="P328" i="5"/>
  <c r="M328" i="5"/>
  <c r="L328" i="5"/>
  <c r="N328" i="5" s="1"/>
  <c r="W327" i="5"/>
  <c r="V327" i="5"/>
  <c r="U327" i="5"/>
  <c r="R327" i="5"/>
  <c r="Q327" i="5"/>
  <c r="P327" i="5"/>
  <c r="M327" i="5"/>
  <c r="L327" i="5"/>
  <c r="N327" i="5" s="1"/>
  <c r="V326" i="5"/>
  <c r="Q326" i="5"/>
  <c r="V325" i="5"/>
  <c r="Q325" i="5"/>
  <c r="V324" i="5"/>
  <c r="Q324" i="5"/>
  <c r="V323" i="5"/>
  <c r="Q323" i="5"/>
  <c r="V322" i="5"/>
  <c r="Q322" i="5"/>
  <c r="V321" i="5"/>
  <c r="Q321" i="5"/>
  <c r="W320" i="5"/>
  <c r="V320" i="5"/>
  <c r="U320" i="5"/>
  <c r="R320" i="5"/>
  <c r="Q320" i="5"/>
  <c r="P320" i="5"/>
  <c r="M320" i="5"/>
  <c r="L320" i="5"/>
  <c r="N320" i="5" s="1"/>
  <c r="V319" i="5"/>
  <c r="Q319" i="5"/>
  <c r="V318" i="5"/>
  <c r="Q318" i="5"/>
  <c r="V317" i="5"/>
  <c r="Q317" i="5"/>
  <c r="V316" i="5"/>
  <c r="Q316" i="5"/>
  <c r="V315" i="5"/>
  <c r="Q315" i="5"/>
  <c r="V314" i="5"/>
  <c r="Q314" i="5"/>
  <c r="W313" i="5"/>
  <c r="V313" i="5"/>
  <c r="U313" i="5"/>
  <c r="R313" i="5"/>
  <c r="Q313" i="5"/>
  <c r="P313" i="5"/>
  <c r="M313" i="5"/>
  <c r="L313" i="5"/>
  <c r="N313" i="5" s="1"/>
  <c r="V312" i="5"/>
  <c r="Q312" i="5"/>
  <c r="V311" i="5"/>
  <c r="Q311" i="5"/>
  <c r="V310" i="5"/>
  <c r="Q310" i="5"/>
  <c r="V309" i="5"/>
  <c r="Q309" i="5"/>
  <c r="V308" i="5"/>
  <c r="Q308" i="5"/>
  <c r="W307" i="5"/>
  <c r="V307" i="5"/>
  <c r="U307" i="5"/>
  <c r="R307" i="5"/>
  <c r="Q307" i="5"/>
  <c r="P307" i="5"/>
  <c r="M307" i="5"/>
  <c r="L307" i="5"/>
  <c r="N307" i="5" s="1"/>
  <c r="W306" i="5"/>
  <c r="V306" i="5"/>
  <c r="U306" i="5"/>
  <c r="R306" i="5"/>
  <c r="Q306" i="5"/>
  <c r="P306" i="5"/>
  <c r="M306" i="5"/>
  <c r="L306" i="5"/>
  <c r="N306" i="5" s="1"/>
  <c r="V305" i="5"/>
  <c r="Q305" i="5"/>
  <c r="V304" i="5"/>
  <c r="Q304" i="5"/>
  <c r="V303" i="5"/>
  <c r="Q303" i="5"/>
  <c r="V302" i="5"/>
  <c r="Q302" i="5"/>
  <c r="V301" i="5"/>
  <c r="Q301" i="5"/>
  <c r="V300" i="5"/>
  <c r="Q300" i="5"/>
  <c r="W299" i="5"/>
  <c r="V299" i="5"/>
  <c r="U299" i="5"/>
  <c r="R299" i="5"/>
  <c r="Q299" i="5"/>
  <c r="P299" i="5"/>
  <c r="M299" i="5"/>
  <c r="L299" i="5"/>
  <c r="N299" i="5" s="1"/>
  <c r="V298" i="5"/>
  <c r="Q298" i="5"/>
  <c r="V297" i="5"/>
  <c r="Q297" i="5"/>
  <c r="V296" i="5"/>
  <c r="Q296" i="5"/>
  <c r="V295" i="5"/>
  <c r="Q295" i="5"/>
  <c r="V294" i="5"/>
  <c r="Q294" i="5"/>
  <c r="V293" i="5"/>
  <c r="Q293" i="5"/>
  <c r="W292" i="5"/>
  <c r="V292" i="5"/>
  <c r="U292" i="5"/>
  <c r="R292" i="5"/>
  <c r="Q292" i="5"/>
  <c r="P292" i="5"/>
  <c r="M292" i="5"/>
  <c r="L292" i="5"/>
  <c r="N292" i="5" s="1"/>
  <c r="V291" i="5"/>
  <c r="Q291" i="5"/>
  <c r="V290" i="5"/>
  <c r="Q290" i="5"/>
  <c r="V289" i="5"/>
  <c r="Q289" i="5"/>
  <c r="V288" i="5"/>
  <c r="Q288" i="5"/>
  <c r="V287" i="5"/>
  <c r="Q287" i="5"/>
  <c r="W286" i="5"/>
  <c r="V286" i="5"/>
  <c r="U286" i="5"/>
  <c r="R286" i="5"/>
  <c r="Q286" i="5"/>
  <c r="P286" i="5"/>
  <c r="M286" i="5"/>
  <c r="L286" i="5"/>
  <c r="N286" i="5" s="1"/>
  <c r="W285" i="5"/>
  <c r="V285" i="5"/>
  <c r="U285" i="5"/>
  <c r="R285" i="5"/>
  <c r="Q285" i="5"/>
  <c r="P285" i="5"/>
  <c r="M285" i="5"/>
  <c r="L285" i="5"/>
  <c r="N285" i="5" s="1"/>
  <c r="V284" i="5"/>
  <c r="Q284" i="5"/>
  <c r="V283" i="5"/>
  <c r="Q283" i="5"/>
  <c r="V282" i="5"/>
  <c r="Q282" i="5"/>
  <c r="V281" i="5"/>
  <c r="Q281" i="5"/>
  <c r="V280" i="5"/>
  <c r="Q280" i="5"/>
  <c r="W279" i="5"/>
  <c r="V279" i="5"/>
  <c r="U279" i="5"/>
  <c r="R279" i="5"/>
  <c r="Q279" i="5"/>
  <c r="P279" i="5"/>
  <c r="M279" i="5"/>
  <c r="L279" i="5"/>
  <c r="N279" i="5" s="1"/>
  <c r="W278" i="5"/>
  <c r="V278" i="5"/>
  <c r="U278" i="5"/>
  <c r="R278" i="5"/>
  <c r="Q278" i="5"/>
  <c r="P278" i="5"/>
  <c r="M278" i="5"/>
  <c r="L278" i="5"/>
  <c r="N278" i="5" s="1"/>
  <c r="V277" i="5"/>
  <c r="Q277" i="5"/>
  <c r="V276" i="5"/>
  <c r="Q276" i="5"/>
  <c r="V275" i="5"/>
  <c r="Q275" i="5"/>
  <c r="V274" i="5"/>
  <c r="Q274" i="5"/>
  <c r="V273" i="5"/>
  <c r="Q273" i="5"/>
  <c r="V272" i="5"/>
  <c r="Q272" i="5"/>
  <c r="W271" i="5"/>
  <c r="V271" i="5"/>
  <c r="U271" i="5"/>
  <c r="R271" i="5"/>
  <c r="Q271" i="5"/>
  <c r="P271" i="5"/>
  <c r="M271" i="5"/>
  <c r="L271" i="5"/>
  <c r="N271" i="5" s="1"/>
  <c r="V270" i="5"/>
  <c r="Q270" i="5"/>
  <c r="V269" i="5"/>
  <c r="Q269" i="5"/>
  <c r="V268" i="5"/>
  <c r="Q268" i="5"/>
  <c r="V267" i="5"/>
  <c r="Q267" i="5"/>
  <c r="V266" i="5"/>
  <c r="Q266" i="5"/>
  <c r="V265" i="5"/>
  <c r="Q265" i="5"/>
  <c r="W264" i="5"/>
  <c r="V264" i="5"/>
  <c r="U264" i="5"/>
  <c r="R264" i="5"/>
  <c r="Q264" i="5"/>
  <c r="P264" i="5"/>
  <c r="M264" i="5"/>
  <c r="L264" i="5"/>
  <c r="V263" i="5"/>
  <c r="Q263" i="5"/>
  <c r="V262" i="5"/>
  <c r="Q262" i="5"/>
  <c r="V261" i="5"/>
  <c r="Q261" i="5"/>
  <c r="V260" i="5"/>
  <c r="Q260" i="5"/>
  <c r="V259" i="5"/>
  <c r="Q259" i="5"/>
  <c r="V258" i="5"/>
  <c r="Q258" i="5"/>
  <c r="W257" i="5"/>
  <c r="V257" i="5"/>
  <c r="U257" i="5"/>
  <c r="R257" i="5"/>
  <c r="Q257" i="5"/>
  <c r="P257" i="5"/>
  <c r="M257" i="5"/>
  <c r="L257" i="5"/>
  <c r="N257" i="5" s="1"/>
  <c r="V256" i="5"/>
  <c r="Q256" i="5"/>
  <c r="V255" i="5"/>
  <c r="Q255" i="5"/>
  <c r="V254" i="5"/>
  <c r="Q254" i="5"/>
  <c r="V253" i="5"/>
  <c r="Q253" i="5"/>
  <c r="V252" i="5"/>
  <c r="Q252" i="5"/>
  <c r="V251" i="5"/>
  <c r="Q251" i="5"/>
  <c r="W250" i="5"/>
  <c r="V250" i="5"/>
  <c r="U250" i="5"/>
  <c r="R250" i="5"/>
  <c r="Q250" i="5"/>
  <c r="P250" i="5"/>
  <c r="M250" i="5"/>
  <c r="L250" i="5"/>
  <c r="N250" i="5" s="1"/>
  <c r="V249" i="5"/>
  <c r="Q249" i="5"/>
  <c r="W248" i="5"/>
  <c r="V248" i="5"/>
  <c r="U248" i="5"/>
  <c r="R248" i="5"/>
  <c r="Q248" i="5"/>
  <c r="P248" i="5"/>
  <c r="M248" i="5"/>
  <c r="L248" i="5"/>
  <c r="N248" i="5" s="1"/>
  <c r="W247" i="5"/>
  <c r="V247" i="5"/>
  <c r="U247" i="5"/>
  <c r="R247" i="5"/>
  <c r="Q247" i="5"/>
  <c r="P247" i="5"/>
  <c r="M247" i="5"/>
  <c r="L247" i="5"/>
  <c r="N247" i="5" s="1"/>
  <c r="W246" i="5"/>
  <c r="V246" i="5"/>
  <c r="U246" i="5"/>
  <c r="R246" i="5"/>
  <c r="Q246" i="5"/>
  <c r="P246" i="5"/>
  <c r="M246" i="5"/>
  <c r="L246" i="5"/>
  <c r="N246" i="5" s="1"/>
  <c r="W245" i="5"/>
  <c r="V245" i="5"/>
  <c r="U245" i="5"/>
  <c r="R245" i="5"/>
  <c r="Q245" i="5"/>
  <c r="P245" i="5"/>
  <c r="M245" i="5"/>
  <c r="L245" i="5"/>
  <c r="N245" i="5" s="1"/>
  <c r="W244" i="5"/>
  <c r="V244" i="5"/>
  <c r="U244" i="5"/>
  <c r="R244" i="5"/>
  <c r="Q244" i="5"/>
  <c r="P244" i="5"/>
  <c r="M244" i="5"/>
  <c r="L244" i="5"/>
  <c r="N244" i="5" s="1"/>
  <c r="W243" i="5"/>
  <c r="V243" i="5"/>
  <c r="U243" i="5"/>
  <c r="R243" i="5"/>
  <c r="Q243" i="5"/>
  <c r="P243" i="5"/>
  <c r="M243" i="5"/>
  <c r="L243" i="5"/>
  <c r="N243" i="5" s="1"/>
  <c r="V242" i="5"/>
  <c r="Q242" i="5"/>
  <c r="V241" i="5"/>
  <c r="Q241" i="5"/>
  <c r="V240" i="5"/>
  <c r="Q240" i="5"/>
  <c r="V239" i="5"/>
  <c r="Q239" i="5"/>
  <c r="V238" i="5"/>
  <c r="Q238" i="5"/>
  <c r="V237" i="5"/>
  <c r="Q237" i="5"/>
  <c r="W236" i="5"/>
  <c r="V236" i="5"/>
  <c r="U236" i="5"/>
  <c r="R236" i="5"/>
  <c r="Q236" i="5"/>
  <c r="P236" i="5"/>
  <c r="M236" i="5"/>
  <c r="L236" i="5"/>
  <c r="N236" i="5" s="1"/>
  <c r="V235" i="5"/>
  <c r="Q235" i="5"/>
  <c r="V234" i="5"/>
  <c r="Q234" i="5"/>
  <c r="V233" i="5"/>
  <c r="Q233" i="5"/>
  <c r="V232" i="5"/>
  <c r="Q232" i="5"/>
  <c r="V231" i="5"/>
  <c r="Q231" i="5"/>
  <c r="V230" i="5"/>
  <c r="Q230" i="5"/>
  <c r="W229" i="5"/>
  <c r="V229" i="5"/>
  <c r="U229" i="5"/>
  <c r="R229" i="5"/>
  <c r="Q229" i="5"/>
  <c r="P229" i="5"/>
  <c r="M229" i="5"/>
  <c r="L229" i="5"/>
  <c r="N229" i="5" s="1"/>
  <c r="V228" i="5"/>
  <c r="Q228" i="5"/>
  <c r="V227" i="5"/>
  <c r="Q227" i="5"/>
  <c r="V226" i="5"/>
  <c r="Q226" i="5"/>
  <c r="V225" i="5"/>
  <c r="Q225" i="5"/>
  <c r="V224" i="5"/>
  <c r="Q224" i="5"/>
  <c r="V223" i="5"/>
  <c r="Q223" i="5"/>
  <c r="W222" i="5"/>
  <c r="V222" i="5"/>
  <c r="U222" i="5"/>
  <c r="R222" i="5"/>
  <c r="Q222" i="5"/>
  <c r="P222" i="5"/>
  <c r="M222" i="5"/>
  <c r="L222" i="5"/>
  <c r="N222" i="5" s="1"/>
  <c r="V221" i="5"/>
  <c r="Q221" i="5"/>
  <c r="V220" i="5"/>
  <c r="Q220" i="5"/>
  <c r="V219" i="5"/>
  <c r="Q219" i="5"/>
  <c r="V218" i="5"/>
  <c r="Q218" i="5"/>
  <c r="V217" i="5"/>
  <c r="Q217" i="5"/>
  <c r="W216" i="5"/>
  <c r="V216" i="5"/>
  <c r="U216" i="5"/>
  <c r="R216" i="5"/>
  <c r="Q216" i="5"/>
  <c r="P216" i="5"/>
  <c r="M216" i="5"/>
  <c r="L216" i="5"/>
  <c r="N216" i="5" s="1"/>
  <c r="W215" i="5"/>
  <c r="V215" i="5"/>
  <c r="U215" i="5"/>
  <c r="R215" i="5"/>
  <c r="Q215" i="5"/>
  <c r="P215" i="5"/>
  <c r="M215" i="5"/>
  <c r="L215" i="5"/>
  <c r="N215" i="5" s="1"/>
  <c r="V214" i="5"/>
  <c r="Q214" i="5"/>
  <c r="V213" i="5"/>
  <c r="Q213" i="5"/>
  <c r="V212" i="5"/>
  <c r="Q212" i="5"/>
  <c r="V211" i="5"/>
  <c r="Q211" i="5"/>
  <c r="V210" i="5"/>
  <c r="Q210" i="5"/>
  <c r="V209" i="5"/>
  <c r="Q209" i="5"/>
  <c r="W208" i="5"/>
  <c r="V208" i="5"/>
  <c r="U208" i="5"/>
  <c r="R208" i="5"/>
  <c r="Q208" i="5"/>
  <c r="P208" i="5"/>
  <c r="M208" i="5"/>
  <c r="L208" i="5"/>
  <c r="N208" i="5" s="1"/>
  <c r="V207" i="5"/>
  <c r="Q207" i="5"/>
  <c r="V206" i="5"/>
  <c r="Q206" i="5"/>
  <c r="V205" i="5"/>
  <c r="Q205" i="5"/>
  <c r="V204" i="5"/>
  <c r="Q204" i="5"/>
  <c r="V203" i="5"/>
  <c r="Q203" i="5"/>
  <c r="V202" i="5"/>
  <c r="Q202" i="5"/>
  <c r="W201" i="5"/>
  <c r="V201" i="5"/>
  <c r="U201" i="5"/>
  <c r="R201" i="5"/>
  <c r="Q201" i="5"/>
  <c r="P201" i="5"/>
  <c r="M201" i="5"/>
  <c r="L201" i="5"/>
  <c r="N201" i="5" s="1"/>
  <c r="V200" i="5"/>
  <c r="Q200" i="5"/>
  <c r="V199" i="5"/>
  <c r="Q199" i="5"/>
  <c r="V198" i="5"/>
  <c r="Q198" i="5"/>
  <c r="V197" i="5"/>
  <c r="Q197" i="5"/>
  <c r="V196" i="5"/>
  <c r="Q196" i="5"/>
  <c r="V195" i="5"/>
  <c r="Q195" i="5"/>
  <c r="W194" i="5"/>
  <c r="V194" i="5"/>
  <c r="U194" i="5"/>
  <c r="R194" i="5"/>
  <c r="Q194" i="5"/>
  <c r="P194" i="5"/>
  <c r="M194" i="5"/>
  <c r="L194" i="5"/>
  <c r="N194" i="5" s="1"/>
  <c r="V193" i="5"/>
  <c r="Q193" i="5"/>
  <c r="V192" i="5"/>
  <c r="Q192" i="5"/>
  <c r="V191" i="5"/>
  <c r="Q191" i="5"/>
  <c r="V190" i="5"/>
  <c r="Q190" i="5"/>
  <c r="V189" i="5"/>
  <c r="Q189" i="5"/>
  <c r="V188" i="5"/>
  <c r="Q188" i="5"/>
  <c r="W187" i="5"/>
  <c r="V187" i="5"/>
  <c r="U187" i="5"/>
  <c r="R187" i="5"/>
  <c r="Q187" i="5"/>
  <c r="P187" i="5"/>
  <c r="M187" i="5"/>
  <c r="L187" i="5"/>
  <c r="N187" i="5" s="1"/>
  <c r="V186" i="5"/>
  <c r="Q186" i="5"/>
  <c r="V185" i="5"/>
  <c r="Q185" i="5"/>
  <c r="V184" i="5"/>
  <c r="Q184" i="5"/>
  <c r="V183" i="5"/>
  <c r="Q183" i="5"/>
  <c r="V182" i="5"/>
  <c r="Q182" i="5"/>
  <c r="V181" i="5"/>
  <c r="Q181" i="5"/>
  <c r="W180" i="5"/>
  <c r="V180" i="5"/>
  <c r="U180" i="5"/>
  <c r="R180" i="5"/>
  <c r="Q180" i="5"/>
  <c r="P180" i="5"/>
  <c r="M180" i="5"/>
  <c r="L180" i="5"/>
  <c r="N180" i="5" s="1"/>
  <c r="V179" i="5"/>
  <c r="Q179" i="5"/>
  <c r="V178" i="5"/>
  <c r="Q178" i="5"/>
  <c r="V177" i="5"/>
  <c r="Q177" i="5"/>
  <c r="V176" i="5"/>
  <c r="Q176" i="5"/>
  <c r="V175" i="5"/>
  <c r="Q175" i="5"/>
  <c r="V174" i="5"/>
  <c r="Q174" i="5"/>
  <c r="W173" i="5"/>
  <c r="V173" i="5"/>
  <c r="U173" i="5"/>
  <c r="R173" i="5"/>
  <c r="Q173" i="5"/>
  <c r="P173" i="5"/>
  <c r="M173" i="5"/>
  <c r="L173" i="5"/>
  <c r="N173" i="5" s="1"/>
  <c r="V172" i="5"/>
  <c r="Q172" i="5"/>
  <c r="V171" i="5"/>
  <c r="Q171" i="5"/>
  <c r="V170" i="5"/>
  <c r="Q170" i="5"/>
  <c r="V169" i="5"/>
  <c r="Q169" i="5"/>
  <c r="V168" i="5"/>
  <c r="Q168" i="5"/>
  <c r="V167" i="5"/>
  <c r="Q167" i="5"/>
  <c r="W166" i="5"/>
  <c r="V166" i="5"/>
  <c r="U166" i="5"/>
  <c r="R166" i="5"/>
  <c r="Q166" i="5"/>
  <c r="P166" i="5"/>
  <c r="M166" i="5"/>
  <c r="L166" i="5"/>
  <c r="N166" i="5" s="1"/>
  <c r="V165" i="5"/>
  <c r="Q165" i="5"/>
  <c r="V164" i="5"/>
  <c r="Q164" i="5"/>
  <c r="V163" i="5"/>
  <c r="Q163" i="5"/>
  <c r="V162" i="5"/>
  <c r="Q162" i="5"/>
  <c r="V161" i="5"/>
  <c r="Q161" i="5"/>
  <c r="V160" i="5"/>
  <c r="Q160" i="5"/>
  <c r="W159" i="5"/>
  <c r="V159" i="5"/>
  <c r="U159" i="5"/>
  <c r="R159" i="5"/>
  <c r="Q159" i="5"/>
  <c r="P159" i="5"/>
  <c r="M159" i="5"/>
  <c r="L159" i="5"/>
  <c r="N159" i="5" s="1"/>
  <c r="V158" i="5"/>
  <c r="Q158" i="5"/>
  <c r="V157" i="5"/>
  <c r="Q157" i="5"/>
  <c r="V156" i="5"/>
  <c r="Q156" i="5"/>
  <c r="V155" i="5"/>
  <c r="Q155" i="5"/>
  <c r="V154" i="5"/>
  <c r="Q154" i="5"/>
  <c r="V153" i="5"/>
  <c r="Q153" i="5"/>
  <c r="W152" i="5"/>
  <c r="V152" i="5"/>
  <c r="U152" i="5"/>
  <c r="R152" i="5"/>
  <c r="Q152" i="5"/>
  <c r="P152" i="5"/>
  <c r="M152" i="5"/>
  <c r="L152" i="5"/>
  <c r="N152" i="5" s="1"/>
  <c r="V151" i="5"/>
  <c r="Q151" i="5"/>
  <c r="V150" i="5"/>
  <c r="Q150" i="5"/>
  <c r="V149" i="5"/>
  <c r="Q149" i="5"/>
  <c r="V148" i="5"/>
  <c r="Q148" i="5"/>
  <c r="V147" i="5"/>
  <c r="Q147" i="5"/>
  <c r="W146" i="5"/>
  <c r="V146" i="5"/>
  <c r="U146" i="5"/>
  <c r="R146" i="5"/>
  <c r="Q146" i="5"/>
  <c r="P146" i="5"/>
  <c r="M146" i="5"/>
  <c r="L146" i="5"/>
  <c r="N146" i="5" s="1"/>
  <c r="W145" i="5"/>
  <c r="V145" i="5"/>
  <c r="U145" i="5"/>
  <c r="R145" i="5"/>
  <c r="Q145" i="5"/>
  <c r="P145" i="5"/>
  <c r="M145" i="5"/>
  <c r="L145" i="5"/>
  <c r="N145" i="5" s="1"/>
  <c r="W144" i="5"/>
  <c r="V144" i="5"/>
  <c r="U144" i="5"/>
  <c r="R144" i="5"/>
  <c r="Q144" i="5"/>
  <c r="P144" i="5"/>
  <c r="M144" i="5"/>
  <c r="L144" i="5"/>
  <c r="N144" i="5" s="1"/>
  <c r="W143" i="5"/>
  <c r="V143" i="5"/>
  <c r="U143" i="5"/>
  <c r="R143" i="5"/>
  <c r="Q143" i="5"/>
  <c r="P143" i="5"/>
  <c r="M143" i="5"/>
  <c r="L143" i="5"/>
  <c r="N143" i="5" s="1"/>
  <c r="V142" i="5"/>
  <c r="Q142" i="5"/>
  <c r="V141" i="5"/>
  <c r="Q141" i="5"/>
  <c r="V140" i="5"/>
  <c r="Q140" i="5"/>
  <c r="W139" i="5"/>
  <c r="V139" i="5"/>
  <c r="U139" i="5"/>
  <c r="R139" i="5"/>
  <c r="Q139" i="5"/>
  <c r="P139" i="5"/>
  <c r="M139" i="5"/>
  <c r="L139" i="5"/>
  <c r="N139" i="5" s="1"/>
  <c r="W138" i="5"/>
  <c r="V138" i="5"/>
  <c r="U138" i="5"/>
  <c r="R138" i="5"/>
  <c r="Q138" i="5"/>
  <c r="P138" i="5"/>
  <c r="M138" i="5"/>
  <c r="L138" i="5"/>
  <c r="N138" i="5" s="1"/>
  <c r="V137" i="5"/>
  <c r="Q137" i="5"/>
  <c r="V136" i="5"/>
  <c r="Q136" i="5"/>
  <c r="V135" i="5"/>
  <c r="Q135" i="5"/>
  <c r="V134" i="5"/>
  <c r="Q134" i="5"/>
  <c r="V133" i="5"/>
  <c r="Q133" i="5"/>
  <c r="V132" i="5"/>
  <c r="Q132" i="5"/>
  <c r="W131" i="5"/>
  <c r="V131" i="5"/>
  <c r="U131" i="5"/>
  <c r="R131" i="5"/>
  <c r="Q131" i="5"/>
  <c r="P131" i="5"/>
  <c r="M131" i="5"/>
  <c r="L131" i="5"/>
  <c r="N131" i="5" s="1"/>
  <c r="V130" i="5"/>
  <c r="Q130" i="5"/>
  <c r="V129" i="5"/>
  <c r="Q129" i="5"/>
  <c r="V128" i="5"/>
  <c r="Q128" i="5"/>
  <c r="V127" i="5"/>
  <c r="Q127" i="5"/>
  <c r="V126" i="5"/>
  <c r="Q126" i="5"/>
  <c r="V125" i="5"/>
  <c r="Q125" i="5"/>
  <c r="W124" i="5"/>
  <c r="V124" i="5"/>
  <c r="U124" i="5"/>
  <c r="R124" i="5"/>
  <c r="Q124" i="5"/>
  <c r="P124" i="5"/>
  <c r="M124" i="5"/>
  <c r="L124" i="5"/>
  <c r="N124" i="5" s="1"/>
  <c r="V123" i="5"/>
  <c r="Q123" i="5"/>
  <c r="V122" i="5"/>
  <c r="Q122" i="5"/>
  <c r="V121" i="5"/>
  <c r="Q121" i="5"/>
  <c r="V120" i="5"/>
  <c r="Q120" i="5"/>
  <c r="V119" i="5"/>
  <c r="Q119" i="5"/>
  <c r="V118" i="5"/>
  <c r="Q118" i="5"/>
  <c r="W117" i="5"/>
  <c r="V117" i="5"/>
  <c r="U117" i="5"/>
  <c r="R117" i="5"/>
  <c r="Q117" i="5"/>
  <c r="P117" i="5"/>
  <c r="M117" i="5"/>
  <c r="L117" i="5"/>
  <c r="N117" i="5" s="1"/>
  <c r="V116" i="5"/>
  <c r="Q116" i="5"/>
  <c r="V115" i="5"/>
  <c r="Q115" i="5"/>
  <c r="V114" i="5"/>
  <c r="Q114" i="5"/>
  <c r="V113" i="5"/>
  <c r="Q113" i="5"/>
  <c r="V112" i="5"/>
  <c r="Q112" i="5"/>
  <c r="V111" i="5"/>
  <c r="Q111" i="5"/>
  <c r="W110" i="5"/>
  <c r="V110" i="5"/>
  <c r="U110" i="5"/>
  <c r="R110" i="5"/>
  <c r="Q110" i="5"/>
  <c r="P110" i="5"/>
  <c r="M110" i="5"/>
  <c r="L110" i="5"/>
  <c r="N110" i="5" s="1"/>
  <c r="V109" i="5"/>
  <c r="Q109" i="5"/>
  <c r="V108" i="5"/>
  <c r="Q108" i="5"/>
  <c r="V107" i="5"/>
  <c r="Q107" i="5"/>
  <c r="V106" i="5"/>
  <c r="Q106" i="5"/>
  <c r="V105" i="5"/>
  <c r="Q105" i="5"/>
  <c r="V104" i="5"/>
  <c r="Q104" i="5"/>
  <c r="W103" i="5"/>
  <c r="V103" i="5"/>
  <c r="U103" i="5"/>
  <c r="R103" i="5"/>
  <c r="Q103" i="5"/>
  <c r="P103" i="5"/>
  <c r="M103" i="5"/>
  <c r="L103" i="5"/>
  <c r="N103" i="5" s="1"/>
  <c r="V102" i="5"/>
  <c r="Q102" i="5"/>
  <c r="V101" i="5"/>
  <c r="Q101" i="5"/>
  <c r="V100" i="5"/>
  <c r="Q100" i="5"/>
  <c r="W99" i="5"/>
  <c r="V99" i="5"/>
  <c r="U99" i="5"/>
  <c r="R99" i="5"/>
  <c r="Q99" i="5"/>
  <c r="P99" i="5"/>
  <c r="M99" i="5"/>
  <c r="L99" i="5"/>
  <c r="N99" i="5" s="1"/>
  <c r="V98" i="5"/>
  <c r="Q98" i="5"/>
  <c r="V97" i="5"/>
  <c r="Q97" i="5"/>
  <c r="W96" i="5"/>
  <c r="V96" i="5"/>
  <c r="U96" i="5"/>
  <c r="R96" i="5"/>
  <c r="Q96" i="5"/>
  <c r="P96" i="5"/>
  <c r="M96" i="5"/>
  <c r="L96" i="5"/>
  <c r="N96" i="5" s="1"/>
  <c r="V95" i="5"/>
  <c r="Q95" i="5"/>
  <c r="V94" i="5"/>
  <c r="Q94" i="5"/>
  <c r="V93" i="5"/>
  <c r="Q93" i="5"/>
  <c r="V92" i="5"/>
  <c r="Q92" i="5"/>
  <c r="V91" i="5"/>
  <c r="Q91" i="5"/>
  <c r="V90" i="5"/>
  <c r="Q90" i="5"/>
  <c r="W89" i="5"/>
  <c r="V89" i="5"/>
  <c r="U89" i="5"/>
  <c r="R89" i="5"/>
  <c r="Q89" i="5"/>
  <c r="P89" i="5"/>
  <c r="M89" i="5"/>
  <c r="L89" i="5"/>
  <c r="N89" i="5" s="1"/>
  <c r="V88" i="5"/>
  <c r="Q88" i="5"/>
  <c r="V87" i="5"/>
  <c r="Q87" i="5"/>
  <c r="V86" i="5"/>
  <c r="Q86" i="5"/>
  <c r="V85" i="5"/>
  <c r="Q85" i="5"/>
  <c r="V84" i="5"/>
  <c r="Q84" i="5"/>
  <c r="V83" i="5"/>
  <c r="Q83" i="5"/>
  <c r="W82" i="5"/>
  <c r="V82" i="5"/>
  <c r="U82" i="5"/>
  <c r="R82" i="5"/>
  <c r="Q82" i="5"/>
  <c r="P82" i="5"/>
  <c r="M82" i="5"/>
  <c r="L82" i="5"/>
  <c r="N82" i="5" s="1"/>
  <c r="V81" i="5"/>
  <c r="Q81" i="5"/>
  <c r="V80" i="5"/>
  <c r="Q80" i="5"/>
  <c r="V79" i="5"/>
  <c r="Q79" i="5"/>
  <c r="V78" i="5"/>
  <c r="Q78" i="5"/>
  <c r="V77" i="5"/>
  <c r="Q77" i="5"/>
  <c r="V76" i="5"/>
  <c r="Q76" i="5"/>
  <c r="W75" i="5"/>
  <c r="V75" i="5"/>
  <c r="U75" i="5"/>
  <c r="R75" i="5"/>
  <c r="Q75" i="5"/>
  <c r="P75" i="5"/>
  <c r="M75" i="5"/>
  <c r="L75" i="5"/>
  <c r="N75" i="5" s="1"/>
  <c r="V74" i="5"/>
  <c r="Q74" i="5"/>
  <c r="W73" i="5"/>
  <c r="V73" i="5"/>
  <c r="U73" i="5"/>
  <c r="R73" i="5"/>
  <c r="Q73" i="5"/>
  <c r="P73" i="5"/>
  <c r="M73" i="5"/>
  <c r="L73" i="5"/>
  <c r="N73" i="5" s="1"/>
  <c r="V72" i="5"/>
  <c r="Q72" i="5"/>
  <c r="V71" i="5"/>
  <c r="Q71" i="5"/>
  <c r="V70" i="5"/>
  <c r="Q70" i="5"/>
  <c r="V69" i="5"/>
  <c r="Q69" i="5"/>
  <c r="W68" i="5"/>
  <c r="V68" i="5"/>
  <c r="U68" i="5"/>
  <c r="R68" i="5"/>
  <c r="Q68" i="5"/>
  <c r="P68" i="5"/>
  <c r="M68" i="5"/>
  <c r="L68" i="5"/>
  <c r="N68" i="5" s="1"/>
  <c r="V67" i="5"/>
  <c r="Q67" i="5"/>
  <c r="V66" i="5"/>
  <c r="Q66" i="5"/>
  <c r="V65" i="5"/>
  <c r="Q65" i="5"/>
  <c r="V64" i="5"/>
  <c r="Q64" i="5"/>
  <c r="V63" i="5"/>
  <c r="Q63" i="5"/>
  <c r="W62" i="5"/>
  <c r="V62" i="5"/>
  <c r="U62" i="5"/>
  <c r="R62" i="5"/>
  <c r="Q62" i="5"/>
  <c r="P62" i="5"/>
  <c r="M62" i="5"/>
  <c r="L62" i="5"/>
  <c r="N62" i="5" s="1"/>
  <c r="W61" i="5"/>
  <c r="V61" i="5"/>
  <c r="U61" i="5"/>
  <c r="R61" i="5"/>
  <c r="Q61" i="5"/>
  <c r="P61" i="5"/>
  <c r="M61" i="5"/>
  <c r="L61" i="5"/>
  <c r="N61" i="5" s="1"/>
  <c r="V60" i="5"/>
  <c r="Q60" i="5"/>
  <c r="V59" i="5"/>
  <c r="Q59" i="5"/>
  <c r="V58" i="5"/>
  <c r="Q58" i="5"/>
  <c r="V57" i="5"/>
  <c r="Q57" i="5"/>
  <c r="V56" i="5"/>
  <c r="Q56" i="5"/>
  <c r="V55" i="5"/>
  <c r="Q55" i="5"/>
  <c r="W54" i="5"/>
  <c r="V54" i="5"/>
  <c r="U54" i="5"/>
  <c r="R54" i="5"/>
  <c r="Q54" i="5"/>
  <c r="P54" i="5"/>
  <c r="M54" i="5"/>
  <c r="L54" i="5"/>
  <c r="N54" i="5" s="1"/>
  <c r="V53" i="5"/>
  <c r="Q53" i="5"/>
  <c r="V52" i="5"/>
  <c r="Q52" i="5"/>
  <c r="V51" i="5"/>
  <c r="Q51" i="5"/>
  <c r="V50" i="5"/>
  <c r="Q50" i="5"/>
  <c r="V49" i="5"/>
  <c r="Q49" i="5"/>
  <c r="V48" i="5"/>
  <c r="Q48" i="5"/>
  <c r="W47" i="5"/>
  <c r="V47" i="5"/>
  <c r="U47" i="5"/>
  <c r="R47" i="5"/>
  <c r="Q47" i="5"/>
  <c r="P47" i="5"/>
  <c r="M47" i="5"/>
  <c r="L47" i="5"/>
  <c r="N47" i="5" s="1"/>
  <c r="V46" i="5"/>
  <c r="Q46" i="5"/>
  <c r="V45" i="5"/>
  <c r="Q45" i="5"/>
  <c r="V44" i="5"/>
  <c r="Q44" i="5"/>
  <c r="V43" i="5"/>
  <c r="Q43" i="5"/>
  <c r="V42" i="5"/>
  <c r="Q42" i="5"/>
  <c r="V41" i="5"/>
  <c r="Q41" i="5"/>
  <c r="W40" i="5"/>
  <c r="V40" i="5"/>
  <c r="U40" i="5"/>
  <c r="R40" i="5"/>
  <c r="Q40" i="5"/>
  <c r="P40" i="5"/>
  <c r="M40" i="5"/>
  <c r="L40" i="5"/>
  <c r="N40" i="5" s="1"/>
  <c r="V39" i="5"/>
  <c r="Q39" i="5"/>
  <c r="V38" i="5"/>
  <c r="Q38" i="5"/>
  <c r="V37" i="5"/>
  <c r="Q37" i="5"/>
  <c r="V36" i="5"/>
  <c r="Q36" i="5"/>
  <c r="V35" i="5"/>
  <c r="Q35" i="5"/>
  <c r="V34" i="5"/>
  <c r="Q34" i="5"/>
  <c r="W33" i="5"/>
  <c r="V33" i="5"/>
  <c r="U33" i="5"/>
  <c r="R33" i="5"/>
  <c r="Q33" i="5"/>
  <c r="P33" i="5"/>
  <c r="M33" i="5"/>
  <c r="L33" i="5"/>
  <c r="N33" i="5" s="1"/>
  <c r="V32" i="5"/>
  <c r="Q32" i="5"/>
  <c r="V31" i="5"/>
  <c r="Q31" i="5"/>
  <c r="V30" i="5"/>
  <c r="Q30" i="5"/>
  <c r="V29" i="5"/>
  <c r="Q29" i="5"/>
  <c r="V28" i="5"/>
  <c r="Q28" i="5"/>
  <c r="V27" i="5"/>
  <c r="Q27" i="5"/>
  <c r="W26" i="5"/>
  <c r="V26" i="5"/>
  <c r="U26" i="5"/>
  <c r="R26" i="5"/>
  <c r="Q26" i="5"/>
  <c r="P26" i="5"/>
  <c r="M26" i="5"/>
  <c r="L26" i="5"/>
  <c r="N26" i="5" s="1"/>
  <c r="W25" i="5"/>
  <c r="V25" i="5"/>
  <c r="U25" i="5"/>
  <c r="R25" i="5"/>
  <c r="Q25" i="5"/>
  <c r="P25" i="5"/>
  <c r="M25" i="5"/>
  <c r="L25" i="5"/>
  <c r="N25" i="5" s="1"/>
  <c r="V24" i="5"/>
  <c r="Q24" i="5"/>
  <c r="W23" i="5"/>
  <c r="V23" i="5"/>
  <c r="U23" i="5"/>
  <c r="R23" i="5"/>
  <c r="Q23" i="5"/>
  <c r="P23" i="5"/>
  <c r="M23" i="5"/>
  <c r="L23" i="5"/>
  <c r="N23" i="5" s="1"/>
  <c r="W22" i="5"/>
  <c r="V22" i="5"/>
  <c r="U22" i="5"/>
  <c r="R22" i="5"/>
  <c r="Q22" i="5"/>
  <c r="P22" i="5"/>
  <c r="M22" i="5"/>
  <c r="L22" i="5"/>
  <c r="N22" i="5" s="1"/>
  <c r="W21" i="5"/>
  <c r="V21" i="5"/>
  <c r="U21" i="5"/>
  <c r="R21" i="5"/>
  <c r="Q21" i="5"/>
  <c r="P21" i="5"/>
  <c r="M21" i="5"/>
  <c r="L21" i="5"/>
  <c r="C21" i="5"/>
  <c r="C22" i="5" s="1"/>
  <c r="C23" i="5" s="1"/>
  <c r="C24" i="5" s="1"/>
  <c r="C25" i="5" s="1"/>
  <c r="C26" i="5" s="1"/>
  <c r="C27" i="5" s="1"/>
  <c r="C28" i="5" s="1"/>
  <c r="C29" i="5" s="1"/>
  <c r="C30" i="5" s="1"/>
  <c r="C31" i="5" s="1"/>
  <c r="C32" i="5" s="1"/>
  <c r="C33" i="5" s="1"/>
  <c r="C34" i="5" s="1"/>
  <c r="C35" i="5" s="1"/>
  <c r="C36" i="5" s="1"/>
  <c r="C37" i="5" s="1"/>
  <c r="C38" i="5" s="1"/>
  <c r="C39" i="5" s="1"/>
  <c r="C40" i="5" s="1"/>
  <c r="C41" i="5" s="1"/>
  <c r="C42" i="5" s="1"/>
  <c r="C43" i="5" s="1"/>
  <c r="C44" i="5" s="1"/>
  <c r="C45" i="5" s="1"/>
  <c r="C46" i="5" s="1"/>
  <c r="C47" i="5" s="1"/>
  <c r="C48" i="5" s="1"/>
  <c r="C49" i="5" s="1"/>
  <c r="C50" i="5" s="1"/>
  <c r="C51" i="5" s="1"/>
  <c r="C52" i="5" s="1"/>
  <c r="C53" i="5" s="1"/>
  <c r="C54" i="5" s="1"/>
  <c r="C55" i="5" s="1"/>
  <c r="C56" i="5" s="1"/>
  <c r="C57" i="5" s="1"/>
  <c r="C58" i="5" s="1"/>
  <c r="C59" i="5" s="1"/>
  <c r="C60" i="5" s="1"/>
  <c r="C61" i="5" s="1"/>
  <c r="C62" i="5" s="1"/>
  <c r="C63" i="5" s="1"/>
  <c r="C64" i="5" s="1"/>
  <c r="C65" i="5" s="1"/>
  <c r="C66" i="5" s="1"/>
  <c r="C67" i="5" s="1"/>
  <c r="C68" i="5" s="1"/>
  <c r="C69" i="5" s="1"/>
  <c r="C70" i="5" s="1"/>
  <c r="C71" i="5" s="1"/>
  <c r="C72" i="5" s="1"/>
  <c r="C73" i="5" s="1"/>
  <c r="C74" i="5" s="1"/>
  <c r="C75" i="5" s="1"/>
  <c r="C76" i="5" s="1"/>
  <c r="C77" i="5" s="1"/>
  <c r="C78" i="5" s="1"/>
  <c r="C79" i="5" s="1"/>
  <c r="C80" i="5" s="1"/>
  <c r="C81" i="5" s="1"/>
  <c r="C82" i="5" s="1"/>
  <c r="C83" i="5" s="1"/>
  <c r="C84" i="5" s="1"/>
  <c r="C85" i="5" s="1"/>
  <c r="C86" i="5" s="1"/>
  <c r="C87" i="5" s="1"/>
  <c r="C88" i="5" s="1"/>
  <c r="C89" i="5" s="1"/>
  <c r="C90" i="5" s="1"/>
  <c r="C91" i="5" s="1"/>
  <c r="C92" i="5" s="1"/>
  <c r="C93" i="5" s="1"/>
  <c r="C94" i="5" s="1"/>
  <c r="C95" i="5" s="1"/>
  <c r="C96" i="5" s="1"/>
  <c r="C97" i="5" s="1"/>
  <c r="C98" i="5" s="1"/>
  <c r="C99" i="5" s="1"/>
  <c r="C100" i="5" s="1"/>
  <c r="C101" i="5" s="1"/>
  <c r="C102" i="5" s="1"/>
  <c r="C103" i="5" s="1"/>
  <c r="C104" i="5" s="1"/>
  <c r="C105" i="5" s="1"/>
  <c r="C106" i="5" s="1"/>
  <c r="C107" i="5" s="1"/>
  <c r="C108" i="5" s="1"/>
  <c r="C109" i="5" s="1"/>
  <c r="C110" i="5" s="1"/>
  <c r="C111" i="5" s="1"/>
  <c r="C112" i="5" s="1"/>
  <c r="C113" i="5" s="1"/>
  <c r="C114" i="5" s="1"/>
  <c r="C115" i="5" s="1"/>
  <c r="C116" i="5" s="1"/>
  <c r="C117" i="5" s="1"/>
  <c r="C118" i="5" s="1"/>
  <c r="C119" i="5" s="1"/>
  <c r="C120" i="5" s="1"/>
  <c r="C121" i="5" s="1"/>
  <c r="C122" i="5" s="1"/>
  <c r="C123" i="5" s="1"/>
  <c r="C124" i="5" s="1"/>
  <c r="C125" i="5" s="1"/>
  <c r="C126" i="5" s="1"/>
  <c r="C127" i="5" s="1"/>
  <c r="C128" i="5" s="1"/>
  <c r="C129" i="5" s="1"/>
  <c r="C130" i="5" s="1"/>
  <c r="C131" i="5" s="1"/>
  <c r="C132" i="5" s="1"/>
  <c r="C133" i="5" s="1"/>
  <c r="C134" i="5" s="1"/>
  <c r="C135" i="5" s="1"/>
  <c r="C136" i="5" s="1"/>
  <c r="C137" i="5" s="1"/>
  <c r="C138" i="5" s="1"/>
  <c r="C139" i="5" s="1"/>
  <c r="C140" i="5" s="1"/>
  <c r="C141" i="5" s="1"/>
  <c r="C142" i="5" s="1"/>
  <c r="C143" i="5" s="1"/>
  <c r="C144" i="5" s="1"/>
  <c r="C145" i="5" s="1"/>
  <c r="C146" i="5" s="1"/>
  <c r="C147" i="5" s="1"/>
  <c r="C148" i="5" s="1"/>
  <c r="C149" i="5" s="1"/>
  <c r="C150" i="5" s="1"/>
  <c r="C151" i="5" s="1"/>
  <c r="C152" i="5" s="1"/>
  <c r="C153" i="5" s="1"/>
  <c r="C154" i="5" s="1"/>
  <c r="C155" i="5" s="1"/>
  <c r="C156" i="5" s="1"/>
  <c r="C157" i="5" s="1"/>
  <c r="C158" i="5" s="1"/>
  <c r="C159" i="5" s="1"/>
  <c r="C160" i="5" s="1"/>
  <c r="C161" i="5" s="1"/>
  <c r="C162" i="5" s="1"/>
  <c r="C163" i="5" s="1"/>
  <c r="C164" i="5" s="1"/>
  <c r="C165" i="5" s="1"/>
  <c r="C166" i="5" s="1"/>
  <c r="C167" i="5" s="1"/>
  <c r="C168" i="5" s="1"/>
  <c r="C169" i="5" s="1"/>
  <c r="C170" i="5" s="1"/>
  <c r="C171" i="5" s="1"/>
  <c r="C172" i="5" s="1"/>
  <c r="C173" i="5" s="1"/>
  <c r="C174" i="5" s="1"/>
  <c r="C175" i="5" s="1"/>
  <c r="C176" i="5" s="1"/>
  <c r="C177" i="5" s="1"/>
  <c r="C178" i="5" s="1"/>
  <c r="C179" i="5" s="1"/>
  <c r="C180" i="5" s="1"/>
  <c r="C181" i="5" s="1"/>
  <c r="C182" i="5" s="1"/>
  <c r="C183" i="5" s="1"/>
  <c r="C184" i="5" s="1"/>
  <c r="C185" i="5" s="1"/>
  <c r="C186" i="5" s="1"/>
  <c r="C187" i="5" s="1"/>
  <c r="C188" i="5" s="1"/>
  <c r="C189" i="5" s="1"/>
  <c r="C190" i="5" s="1"/>
  <c r="C191" i="5" s="1"/>
  <c r="C192" i="5" s="1"/>
  <c r="C193" i="5" s="1"/>
  <c r="C194" i="5" s="1"/>
  <c r="C195" i="5" s="1"/>
  <c r="C196" i="5" s="1"/>
  <c r="C197" i="5" s="1"/>
  <c r="C198" i="5" s="1"/>
  <c r="C199" i="5" s="1"/>
  <c r="C200" i="5" s="1"/>
  <c r="C201" i="5" s="1"/>
  <c r="C202" i="5" s="1"/>
  <c r="C203" i="5" s="1"/>
  <c r="C204" i="5" s="1"/>
  <c r="C205" i="5" s="1"/>
  <c r="C206" i="5" s="1"/>
  <c r="C207" i="5" s="1"/>
  <c r="C208" i="5" s="1"/>
  <c r="C209" i="5" s="1"/>
  <c r="C210" i="5" s="1"/>
  <c r="C211" i="5" s="1"/>
  <c r="C212" i="5" s="1"/>
  <c r="C213" i="5" s="1"/>
  <c r="C214" i="5" s="1"/>
  <c r="C215" i="5" s="1"/>
  <c r="C216" i="5" s="1"/>
  <c r="C217" i="5" s="1"/>
  <c r="C218" i="5" s="1"/>
  <c r="C219" i="5" s="1"/>
  <c r="C220" i="5" s="1"/>
  <c r="C221" i="5" s="1"/>
  <c r="C222" i="5" s="1"/>
  <c r="C223" i="5" s="1"/>
  <c r="C224" i="5" s="1"/>
  <c r="C225" i="5" s="1"/>
  <c r="C226" i="5" s="1"/>
  <c r="C227" i="5" s="1"/>
  <c r="C228" i="5" s="1"/>
  <c r="C229" i="5" s="1"/>
  <c r="C230" i="5" s="1"/>
  <c r="C231" i="5" s="1"/>
  <c r="C232" i="5" s="1"/>
  <c r="C233" i="5" s="1"/>
  <c r="C234" i="5" s="1"/>
  <c r="C235" i="5" s="1"/>
  <c r="C236" i="5" s="1"/>
  <c r="C237" i="5" s="1"/>
  <c r="C238" i="5" s="1"/>
  <c r="C239" i="5" s="1"/>
  <c r="C240" i="5" s="1"/>
  <c r="C241" i="5" s="1"/>
  <c r="C242" i="5" s="1"/>
  <c r="C243" i="5" s="1"/>
  <c r="C244" i="5" s="1"/>
  <c r="C245" i="5" s="1"/>
  <c r="C246" i="5" s="1"/>
  <c r="C247" i="5" s="1"/>
  <c r="C248" i="5" s="1"/>
  <c r="C249" i="5" s="1"/>
  <c r="C250" i="5" s="1"/>
  <c r="C251" i="5" s="1"/>
  <c r="C252" i="5" s="1"/>
  <c r="C253" i="5" s="1"/>
  <c r="C254" i="5" s="1"/>
  <c r="C255" i="5" s="1"/>
  <c r="C256" i="5" s="1"/>
  <c r="C257" i="5" s="1"/>
  <c r="C258" i="5" s="1"/>
  <c r="C259" i="5" s="1"/>
  <c r="C260" i="5" s="1"/>
  <c r="C261" i="5" s="1"/>
  <c r="C262" i="5" s="1"/>
  <c r="C263" i="5" s="1"/>
  <c r="C264" i="5" s="1"/>
  <c r="C265" i="5" s="1"/>
  <c r="C266" i="5" s="1"/>
  <c r="C267" i="5" s="1"/>
  <c r="C268" i="5" s="1"/>
  <c r="C269" i="5" s="1"/>
  <c r="C270" i="5" s="1"/>
  <c r="C271" i="5" s="1"/>
  <c r="C272" i="5" s="1"/>
  <c r="C273" i="5" s="1"/>
  <c r="C274" i="5" s="1"/>
  <c r="C275" i="5" s="1"/>
  <c r="C276" i="5" s="1"/>
  <c r="C277" i="5" s="1"/>
  <c r="C278" i="5" s="1"/>
  <c r="C279" i="5" s="1"/>
  <c r="C280" i="5" s="1"/>
  <c r="C281" i="5" s="1"/>
  <c r="C282" i="5" s="1"/>
  <c r="C283" i="5" s="1"/>
  <c r="C284" i="5" s="1"/>
  <c r="C285" i="5" s="1"/>
  <c r="C286" i="5" s="1"/>
  <c r="C287" i="5" s="1"/>
  <c r="C288" i="5" s="1"/>
  <c r="C289" i="5" s="1"/>
  <c r="C290" i="5" s="1"/>
  <c r="C291" i="5" s="1"/>
  <c r="C292" i="5" s="1"/>
  <c r="C293" i="5" s="1"/>
  <c r="C294" i="5" s="1"/>
  <c r="C295" i="5" s="1"/>
  <c r="C296" i="5" s="1"/>
  <c r="C297" i="5" s="1"/>
  <c r="C298" i="5" s="1"/>
  <c r="C299" i="5" s="1"/>
  <c r="C300" i="5" s="1"/>
  <c r="C301" i="5" s="1"/>
  <c r="C302" i="5" s="1"/>
  <c r="C303" i="5" s="1"/>
  <c r="C304" i="5" s="1"/>
  <c r="C305" i="5" s="1"/>
  <c r="C306" i="5" s="1"/>
  <c r="C307" i="5" s="1"/>
  <c r="C308" i="5" s="1"/>
  <c r="C309" i="5" s="1"/>
  <c r="C310" i="5" s="1"/>
  <c r="C311" i="5" s="1"/>
  <c r="C312" i="5" s="1"/>
  <c r="C313" i="5" s="1"/>
  <c r="C314" i="5" s="1"/>
  <c r="C315" i="5" s="1"/>
  <c r="C316" i="5" s="1"/>
  <c r="C317" i="5" s="1"/>
  <c r="C318" i="5" s="1"/>
  <c r="C319" i="5" s="1"/>
  <c r="C320" i="5" s="1"/>
  <c r="C321" i="5" s="1"/>
  <c r="C322" i="5" s="1"/>
  <c r="C323" i="5" s="1"/>
  <c r="C324" i="5" s="1"/>
  <c r="C325" i="5" s="1"/>
  <c r="C326" i="5" s="1"/>
  <c r="C327" i="5" s="1"/>
  <c r="C328" i="5" s="1"/>
  <c r="C329" i="5" s="1"/>
  <c r="C330" i="5" s="1"/>
  <c r="C331" i="5" s="1"/>
  <c r="C332" i="5" s="1"/>
  <c r="C333" i="5" s="1"/>
  <c r="C334" i="5" s="1"/>
  <c r="C335" i="5" s="1"/>
  <c r="C336" i="5" s="1"/>
  <c r="C337" i="5" s="1"/>
  <c r="C338" i="5" s="1"/>
  <c r="C339" i="5" s="1"/>
  <c r="C340" i="5" s="1"/>
  <c r="C341" i="5" s="1"/>
  <c r="C342" i="5" s="1"/>
  <c r="C343" i="5" s="1"/>
  <c r="C344" i="5" s="1"/>
  <c r="C345" i="5" s="1"/>
  <c r="C346" i="5" s="1"/>
  <c r="C347" i="5" s="1"/>
  <c r="C348" i="5" s="1"/>
  <c r="C349" i="5" s="1"/>
  <c r="C350" i="5" s="1"/>
  <c r="C351" i="5" s="1"/>
  <c r="C352" i="5" s="1"/>
  <c r="C353" i="5" s="1"/>
  <c r="C354" i="5" s="1"/>
  <c r="C355" i="5" s="1"/>
  <c r="C356" i="5" s="1"/>
  <c r="C357" i="5" s="1"/>
  <c r="C358" i="5" s="1"/>
  <c r="C359" i="5" s="1"/>
  <c r="C360" i="5" s="1"/>
  <c r="C361" i="5" s="1"/>
  <c r="C362" i="5" s="1"/>
  <c r="C363" i="5" s="1"/>
  <c r="C364" i="5" s="1"/>
  <c r="C365" i="5" s="1"/>
  <c r="C366" i="5" s="1"/>
  <c r="C367" i="5" s="1"/>
  <c r="C368" i="5" s="1"/>
  <c r="C369" i="5" s="1"/>
  <c r="C370" i="5" s="1"/>
  <c r="C371" i="5" s="1"/>
  <c r="C372" i="5" s="1"/>
  <c r="C373" i="5" s="1"/>
  <c r="C374" i="5" s="1"/>
  <c r="C375" i="5" s="1"/>
  <c r="C376" i="5" s="1"/>
  <c r="C377" i="5" s="1"/>
  <c r="C378" i="5" s="1"/>
  <c r="C379" i="5" s="1"/>
  <c r="C380" i="5" s="1"/>
  <c r="C381" i="5" s="1"/>
  <c r="C382" i="5" s="1"/>
  <c r="C383" i="5" s="1"/>
  <c r="C384" i="5" s="1"/>
  <c r="C385" i="5" s="1"/>
  <c r="AA20" i="5"/>
  <c r="AA21" i="5" s="1"/>
  <c r="Z20" i="5"/>
  <c r="W20" i="5"/>
  <c r="V20" i="5"/>
  <c r="U20" i="5"/>
  <c r="R20" i="5"/>
  <c r="Q20" i="5"/>
  <c r="P20" i="5"/>
  <c r="M20" i="5"/>
  <c r="L20" i="5"/>
  <c r="N20" i="5" s="1"/>
  <c r="F20" i="5"/>
  <c r="F21" i="5" s="1"/>
  <c r="F22" i="5" s="1"/>
  <c r="F23" i="5" s="1"/>
  <c r="F24" i="5" s="1"/>
  <c r="F25" i="5" s="1"/>
  <c r="F26" i="5" s="1"/>
  <c r="F27" i="5" s="1"/>
  <c r="F28" i="5" s="1"/>
  <c r="F29" i="5" s="1"/>
  <c r="F30" i="5" s="1"/>
  <c r="F31" i="5" s="1"/>
  <c r="F32" i="5" s="1"/>
  <c r="F33" i="5" s="1"/>
  <c r="F34" i="5" s="1"/>
  <c r="F35" i="5" s="1"/>
  <c r="F36" i="5" s="1"/>
  <c r="F37" i="5" s="1"/>
  <c r="F38" i="5" s="1"/>
  <c r="F39" i="5" s="1"/>
  <c r="F40" i="5" s="1"/>
  <c r="F41" i="5" s="1"/>
  <c r="F42" i="5" s="1"/>
  <c r="F43" i="5" s="1"/>
  <c r="F44" i="5" s="1"/>
  <c r="F45" i="5" s="1"/>
  <c r="F46" i="5" s="1"/>
  <c r="F47" i="5" s="1"/>
  <c r="F48" i="5" s="1"/>
  <c r="F49" i="5" s="1"/>
  <c r="F50" i="5" s="1"/>
  <c r="F51" i="5" s="1"/>
  <c r="F52" i="5" s="1"/>
  <c r="F53" i="5" s="1"/>
  <c r="F54" i="5" s="1"/>
  <c r="F55" i="5" s="1"/>
  <c r="F56" i="5" s="1"/>
  <c r="F57" i="5" s="1"/>
  <c r="F58" i="5" s="1"/>
  <c r="F59" i="5" s="1"/>
  <c r="F60" i="5" s="1"/>
  <c r="F61" i="5" s="1"/>
  <c r="F62" i="5" s="1"/>
  <c r="F63" i="5" s="1"/>
  <c r="F64" i="5" s="1"/>
  <c r="F65" i="5" s="1"/>
  <c r="F66" i="5" s="1"/>
  <c r="F67" i="5" s="1"/>
  <c r="F68" i="5" s="1"/>
  <c r="F69" i="5" s="1"/>
  <c r="F70" i="5" s="1"/>
  <c r="F71" i="5" s="1"/>
  <c r="F72" i="5" s="1"/>
  <c r="F73" i="5" s="1"/>
  <c r="F74" i="5" s="1"/>
  <c r="F75" i="5" s="1"/>
  <c r="F76" i="5" s="1"/>
  <c r="F77" i="5" s="1"/>
  <c r="F78" i="5" s="1"/>
  <c r="F79" i="5" s="1"/>
  <c r="F80" i="5" s="1"/>
  <c r="F81" i="5" s="1"/>
  <c r="F82" i="5" s="1"/>
  <c r="F83" i="5" s="1"/>
  <c r="F84" i="5" s="1"/>
  <c r="F85" i="5" s="1"/>
  <c r="F86" i="5" s="1"/>
  <c r="F87" i="5" s="1"/>
  <c r="F88" i="5" s="1"/>
  <c r="F89" i="5" s="1"/>
  <c r="F90" i="5" s="1"/>
  <c r="F91" i="5" s="1"/>
  <c r="F92" i="5" s="1"/>
  <c r="F93" i="5" s="1"/>
  <c r="F94" i="5" s="1"/>
  <c r="F95" i="5" s="1"/>
  <c r="F96" i="5" s="1"/>
  <c r="F97" i="5" s="1"/>
  <c r="F98" i="5" s="1"/>
  <c r="F99" i="5" s="1"/>
  <c r="F100" i="5" s="1"/>
  <c r="F101" i="5" s="1"/>
  <c r="F102" i="5" s="1"/>
  <c r="F103" i="5" s="1"/>
  <c r="F104" i="5" s="1"/>
  <c r="F105" i="5" s="1"/>
  <c r="F106" i="5" s="1"/>
  <c r="F107" i="5" s="1"/>
  <c r="F108" i="5" s="1"/>
  <c r="F109" i="5" s="1"/>
  <c r="F110" i="5" s="1"/>
  <c r="F111" i="5" s="1"/>
  <c r="F112" i="5" s="1"/>
  <c r="F113" i="5" s="1"/>
  <c r="F114" i="5" s="1"/>
  <c r="F115" i="5" s="1"/>
  <c r="F116" i="5" s="1"/>
  <c r="F117" i="5" s="1"/>
  <c r="F118" i="5" s="1"/>
  <c r="F119" i="5" s="1"/>
  <c r="F120" i="5" s="1"/>
  <c r="F121" i="5" s="1"/>
  <c r="F122" i="5" s="1"/>
  <c r="F123" i="5" s="1"/>
  <c r="F124" i="5" s="1"/>
  <c r="F125" i="5" s="1"/>
  <c r="F126" i="5" s="1"/>
  <c r="F127" i="5" s="1"/>
  <c r="F128" i="5" s="1"/>
  <c r="F129" i="5" s="1"/>
  <c r="F130" i="5" s="1"/>
  <c r="F131" i="5" s="1"/>
  <c r="F132" i="5" s="1"/>
  <c r="F133" i="5" s="1"/>
  <c r="F134" i="5" s="1"/>
  <c r="F135" i="5" s="1"/>
  <c r="F136" i="5" s="1"/>
  <c r="F137" i="5" s="1"/>
  <c r="F138" i="5" s="1"/>
  <c r="F139" i="5" s="1"/>
  <c r="F140" i="5" s="1"/>
  <c r="F141" i="5" s="1"/>
  <c r="F142" i="5" s="1"/>
  <c r="F143" i="5" s="1"/>
  <c r="F144" i="5" s="1"/>
  <c r="F145" i="5" s="1"/>
  <c r="F146" i="5" s="1"/>
  <c r="F147" i="5" s="1"/>
  <c r="F148" i="5" s="1"/>
  <c r="F149" i="5" s="1"/>
  <c r="F150" i="5" s="1"/>
  <c r="F151" i="5" s="1"/>
  <c r="F152" i="5" s="1"/>
  <c r="F153" i="5" s="1"/>
  <c r="F154" i="5" s="1"/>
  <c r="F155" i="5" s="1"/>
  <c r="F156" i="5" s="1"/>
  <c r="F157" i="5" s="1"/>
  <c r="F158" i="5" s="1"/>
  <c r="F159" i="5" s="1"/>
  <c r="F160" i="5" s="1"/>
  <c r="F161" i="5" s="1"/>
  <c r="F162" i="5" s="1"/>
  <c r="F163" i="5" s="1"/>
  <c r="F164" i="5" s="1"/>
  <c r="F165" i="5" s="1"/>
  <c r="F166" i="5" s="1"/>
  <c r="F167" i="5" s="1"/>
  <c r="F168" i="5" s="1"/>
  <c r="F169" i="5" s="1"/>
  <c r="F170" i="5" s="1"/>
  <c r="F171" i="5" s="1"/>
  <c r="F172" i="5" s="1"/>
  <c r="F173" i="5" s="1"/>
  <c r="F174" i="5" s="1"/>
  <c r="F175" i="5" s="1"/>
  <c r="F176" i="5" s="1"/>
  <c r="F177" i="5" s="1"/>
  <c r="F178" i="5" s="1"/>
  <c r="F179" i="5" s="1"/>
  <c r="F180" i="5" s="1"/>
  <c r="F181" i="5" s="1"/>
  <c r="F182" i="5" s="1"/>
  <c r="F183" i="5" s="1"/>
  <c r="F184" i="5" s="1"/>
  <c r="F185" i="5" s="1"/>
  <c r="F186" i="5" s="1"/>
  <c r="F187" i="5" s="1"/>
  <c r="F188" i="5" s="1"/>
  <c r="F189" i="5" s="1"/>
  <c r="F190" i="5" s="1"/>
  <c r="F191" i="5" s="1"/>
  <c r="F192" i="5" s="1"/>
  <c r="F193" i="5" s="1"/>
  <c r="F194" i="5" s="1"/>
  <c r="F195" i="5" s="1"/>
  <c r="F196" i="5" s="1"/>
  <c r="F197" i="5" s="1"/>
  <c r="F198" i="5" s="1"/>
  <c r="F199" i="5" s="1"/>
  <c r="F200" i="5" s="1"/>
  <c r="F201" i="5" s="1"/>
  <c r="F202" i="5" s="1"/>
  <c r="F203" i="5" s="1"/>
  <c r="F204" i="5" s="1"/>
  <c r="F205" i="5" s="1"/>
  <c r="F206" i="5" s="1"/>
  <c r="F207" i="5" s="1"/>
  <c r="F208" i="5" s="1"/>
  <c r="F209" i="5" s="1"/>
  <c r="F210" i="5" s="1"/>
  <c r="F211" i="5" s="1"/>
  <c r="F212" i="5" s="1"/>
  <c r="F213" i="5" s="1"/>
  <c r="F214" i="5" s="1"/>
  <c r="F215" i="5" s="1"/>
  <c r="F216" i="5" s="1"/>
  <c r="F217" i="5" s="1"/>
  <c r="F218" i="5" s="1"/>
  <c r="F219" i="5" s="1"/>
  <c r="F220" i="5" s="1"/>
  <c r="F221" i="5" s="1"/>
  <c r="F222" i="5" s="1"/>
  <c r="F223" i="5" s="1"/>
  <c r="F224" i="5" s="1"/>
  <c r="F225" i="5" s="1"/>
  <c r="F226" i="5" s="1"/>
  <c r="F227" i="5" s="1"/>
  <c r="F228" i="5" s="1"/>
  <c r="F229" i="5" s="1"/>
  <c r="F230" i="5" s="1"/>
  <c r="F231" i="5" s="1"/>
  <c r="F232" i="5" s="1"/>
  <c r="F233" i="5" s="1"/>
  <c r="F234" i="5" s="1"/>
  <c r="F235" i="5" s="1"/>
  <c r="F236" i="5" s="1"/>
  <c r="F237" i="5" s="1"/>
  <c r="F238" i="5" s="1"/>
  <c r="F239" i="5" s="1"/>
  <c r="F240" i="5" s="1"/>
  <c r="F241" i="5" s="1"/>
  <c r="F242" i="5" s="1"/>
  <c r="F243" i="5" s="1"/>
  <c r="F244" i="5" s="1"/>
  <c r="F245" i="5" s="1"/>
  <c r="F246" i="5" s="1"/>
  <c r="F247" i="5" s="1"/>
  <c r="F248" i="5" s="1"/>
  <c r="F249" i="5" s="1"/>
  <c r="F250" i="5" s="1"/>
  <c r="F251" i="5" s="1"/>
  <c r="F252" i="5" s="1"/>
  <c r="F253" i="5" s="1"/>
  <c r="F254" i="5" s="1"/>
  <c r="F255" i="5" s="1"/>
  <c r="F256" i="5" s="1"/>
  <c r="F257" i="5" s="1"/>
  <c r="F258" i="5" s="1"/>
  <c r="F259" i="5" s="1"/>
  <c r="F260" i="5" s="1"/>
  <c r="F261" i="5" s="1"/>
  <c r="F262" i="5" s="1"/>
  <c r="F263" i="5" s="1"/>
  <c r="F264" i="5" s="1"/>
  <c r="F265" i="5" s="1"/>
  <c r="F266" i="5" s="1"/>
  <c r="F267" i="5" s="1"/>
  <c r="F268" i="5" s="1"/>
  <c r="F269" i="5" s="1"/>
  <c r="F270" i="5" s="1"/>
  <c r="F271" i="5" s="1"/>
  <c r="F272" i="5" s="1"/>
  <c r="F273" i="5" s="1"/>
  <c r="F274" i="5" s="1"/>
  <c r="F275" i="5" s="1"/>
  <c r="F276" i="5" s="1"/>
  <c r="F277" i="5" s="1"/>
  <c r="F278" i="5" s="1"/>
  <c r="F279" i="5" s="1"/>
  <c r="F280" i="5" s="1"/>
  <c r="F281" i="5" s="1"/>
  <c r="F282" i="5" s="1"/>
  <c r="F283" i="5" s="1"/>
  <c r="F284" i="5" s="1"/>
  <c r="F285" i="5" s="1"/>
  <c r="F286" i="5" s="1"/>
  <c r="F287" i="5" s="1"/>
  <c r="F288" i="5" s="1"/>
  <c r="F289" i="5" s="1"/>
  <c r="F290" i="5" s="1"/>
  <c r="F291" i="5" s="1"/>
  <c r="F292" i="5" s="1"/>
  <c r="F293" i="5" s="1"/>
  <c r="F294" i="5" s="1"/>
  <c r="F295" i="5" s="1"/>
  <c r="F296" i="5" s="1"/>
  <c r="F297" i="5" s="1"/>
  <c r="F298" i="5" s="1"/>
  <c r="F299" i="5" s="1"/>
  <c r="F300" i="5" s="1"/>
  <c r="F301" i="5" s="1"/>
  <c r="F302" i="5" s="1"/>
  <c r="F303" i="5" s="1"/>
  <c r="F304" i="5" s="1"/>
  <c r="F305" i="5" s="1"/>
  <c r="F306" i="5" s="1"/>
  <c r="F307" i="5" s="1"/>
  <c r="F308" i="5" s="1"/>
  <c r="F309" i="5" s="1"/>
  <c r="F310" i="5" s="1"/>
  <c r="F311" i="5" s="1"/>
  <c r="F312" i="5" s="1"/>
  <c r="F313" i="5" s="1"/>
  <c r="F314" i="5" s="1"/>
  <c r="F315" i="5" s="1"/>
  <c r="F316" i="5" s="1"/>
  <c r="F317" i="5" s="1"/>
  <c r="F318" i="5" s="1"/>
  <c r="F319" i="5" s="1"/>
  <c r="F320" i="5" s="1"/>
  <c r="F321" i="5" s="1"/>
  <c r="F322" i="5" s="1"/>
  <c r="F323" i="5" s="1"/>
  <c r="F324" i="5" s="1"/>
  <c r="F325" i="5" s="1"/>
  <c r="F326" i="5" s="1"/>
  <c r="F327" i="5" s="1"/>
  <c r="F328" i="5" s="1"/>
  <c r="F329" i="5" s="1"/>
  <c r="F330" i="5" s="1"/>
  <c r="F331" i="5" s="1"/>
  <c r="F332" i="5" s="1"/>
  <c r="F333" i="5" s="1"/>
  <c r="F334" i="5" s="1"/>
  <c r="F335" i="5" s="1"/>
  <c r="F336" i="5" s="1"/>
  <c r="F337" i="5" s="1"/>
  <c r="F338" i="5" s="1"/>
  <c r="F339" i="5" s="1"/>
  <c r="F340" i="5" s="1"/>
  <c r="F341" i="5" s="1"/>
  <c r="F342" i="5" s="1"/>
  <c r="F343" i="5" s="1"/>
  <c r="F344" i="5" s="1"/>
  <c r="F345" i="5" s="1"/>
  <c r="F346" i="5" s="1"/>
  <c r="F347" i="5" s="1"/>
  <c r="F348" i="5" s="1"/>
  <c r="F349" i="5" s="1"/>
  <c r="F350" i="5" s="1"/>
  <c r="F351" i="5" s="1"/>
  <c r="F352" i="5" s="1"/>
  <c r="F353" i="5" s="1"/>
  <c r="F354" i="5" s="1"/>
  <c r="F355" i="5" s="1"/>
  <c r="F356" i="5" s="1"/>
  <c r="F357" i="5" s="1"/>
  <c r="F358" i="5" s="1"/>
  <c r="F359" i="5" s="1"/>
  <c r="F360" i="5" s="1"/>
  <c r="F361" i="5" s="1"/>
  <c r="F362" i="5" s="1"/>
  <c r="F363" i="5" s="1"/>
  <c r="F364" i="5" s="1"/>
  <c r="F365" i="5" s="1"/>
  <c r="F366" i="5" s="1"/>
  <c r="F367" i="5" s="1"/>
  <c r="F368" i="5" s="1"/>
  <c r="F369" i="5" s="1"/>
  <c r="F370" i="5" s="1"/>
  <c r="F371" i="5" s="1"/>
  <c r="F372" i="5" s="1"/>
  <c r="F373" i="5" s="1"/>
  <c r="F374" i="5" s="1"/>
  <c r="F375" i="5" s="1"/>
  <c r="F376" i="5" s="1"/>
  <c r="F377" i="5" s="1"/>
  <c r="F378" i="5" s="1"/>
  <c r="F379" i="5" s="1"/>
  <c r="F380" i="5" s="1"/>
  <c r="F381" i="5" s="1"/>
  <c r="F382" i="5" s="1"/>
  <c r="F383" i="5" s="1"/>
  <c r="F384" i="5" s="1"/>
  <c r="F385" i="5" s="1"/>
  <c r="AD17" i="5"/>
  <c r="M17" i="5"/>
  <c r="F17" i="5"/>
  <c r="AD16" i="5"/>
  <c r="V16" i="5"/>
  <c r="M16" i="5"/>
  <c r="F16" i="5"/>
  <c r="AD15" i="5"/>
  <c r="V15" i="5"/>
  <c r="M15" i="5"/>
  <c r="F15" i="5"/>
  <c r="AD14" i="5"/>
  <c r="V14" i="5"/>
  <c r="M14" i="5"/>
  <c r="F14" i="5"/>
  <c r="AD13" i="5"/>
  <c r="V13" i="5"/>
  <c r="M13" i="5"/>
  <c r="F13" i="5"/>
  <c r="AD12" i="5"/>
  <c r="V12" i="5"/>
  <c r="M12" i="5"/>
  <c r="F12" i="5"/>
  <c r="AD11" i="5"/>
  <c r="V11" i="5"/>
  <c r="M11" i="5"/>
  <c r="F11" i="5"/>
  <c r="AD10" i="5"/>
  <c r="M10" i="5"/>
  <c r="F10" i="5"/>
  <c r="AD9" i="5"/>
  <c r="M9" i="5"/>
  <c r="F9" i="5"/>
  <c r="AD8" i="5"/>
  <c r="M8" i="5"/>
  <c r="F8" i="5"/>
  <c r="AD7" i="5"/>
  <c r="T7" i="5"/>
  <c r="M7" i="5"/>
  <c r="F7" i="5"/>
  <c r="AD6" i="5"/>
  <c r="M6" i="5"/>
  <c r="F6" i="5"/>
  <c r="M3" i="5"/>
  <c r="R3" i="5" s="1"/>
  <c r="G32" i="4"/>
  <c r="G31" i="4"/>
  <c r="G30" i="4"/>
  <c r="G29" i="4"/>
  <c r="X385" i="3"/>
  <c r="W385" i="3"/>
  <c r="V385" i="3"/>
  <c r="U385" i="3"/>
  <c r="S385" i="3"/>
  <c r="R385" i="3"/>
  <c r="P385" i="3"/>
  <c r="M385" i="3"/>
  <c r="N385" i="3"/>
  <c r="X384" i="3"/>
  <c r="W384" i="3"/>
  <c r="V384" i="3"/>
  <c r="U384" i="3"/>
  <c r="S384" i="3"/>
  <c r="R384" i="3"/>
  <c r="P384" i="3"/>
  <c r="M384" i="3"/>
  <c r="N384" i="3"/>
  <c r="X383" i="3"/>
  <c r="W383" i="3"/>
  <c r="V383" i="3"/>
  <c r="U383" i="3"/>
  <c r="S383" i="3"/>
  <c r="R383" i="3"/>
  <c r="P383" i="3"/>
  <c r="M383" i="3"/>
  <c r="N383" i="3"/>
  <c r="X382" i="3"/>
  <c r="W382" i="3"/>
  <c r="V382" i="3"/>
  <c r="U382" i="3"/>
  <c r="S382" i="3"/>
  <c r="R382" i="3"/>
  <c r="P382" i="3"/>
  <c r="M382" i="3"/>
  <c r="N382" i="3"/>
  <c r="V381" i="3"/>
  <c r="V380" i="3"/>
  <c r="V379" i="3"/>
  <c r="V378" i="3"/>
  <c r="V377" i="3"/>
  <c r="V376" i="3"/>
  <c r="X375" i="3"/>
  <c r="W375" i="3"/>
  <c r="V375" i="3"/>
  <c r="U375" i="3"/>
  <c r="S375" i="3"/>
  <c r="R375" i="3"/>
  <c r="P375" i="3"/>
  <c r="M375" i="3"/>
  <c r="N375" i="3"/>
  <c r="V374" i="3"/>
  <c r="V373" i="3"/>
  <c r="V372" i="3"/>
  <c r="V371" i="3"/>
  <c r="V370" i="3"/>
  <c r="V369" i="3"/>
  <c r="X368" i="3"/>
  <c r="W368" i="3"/>
  <c r="V368" i="3"/>
  <c r="U368" i="3"/>
  <c r="S368" i="3"/>
  <c r="R368" i="3"/>
  <c r="P368" i="3"/>
  <c r="M368" i="3"/>
  <c r="N368" i="3"/>
  <c r="V367" i="3"/>
  <c r="V366" i="3"/>
  <c r="V365" i="3"/>
  <c r="V364" i="3"/>
  <c r="V363" i="3"/>
  <c r="V362" i="3"/>
  <c r="X361" i="3"/>
  <c r="W361" i="3"/>
  <c r="V361" i="3"/>
  <c r="U361" i="3"/>
  <c r="S361" i="3"/>
  <c r="R361" i="3"/>
  <c r="P361" i="3"/>
  <c r="M361" i="3"/>
  <c r="N361" i="3"/>
  <c r="V360" i="3"/>
  <c r="V359" i="3"/>
  <c r="V358" i="3"/>
  <c r="V357" i="3"/>
  <c r="V356" i="3"/>
  <c r="V355" i="3"/>
  <c r="Q355" i="3"/>
  <c r="X354" i="3"/>
  <c r="W354" i="3"/>
  <c r="V354" i="3"/>
  <c r="U354" i="3"/>
  <c r="S354" i="3"/>
  <c r="R354" i="3"/>
  <c r="P354" i="3"/>
  <c r="M354" i="3"/>
  <c r="N354" i="3"/>
  <c r="V353" i="3"/>
  <c r="V352" i="3"/>
  <c r="V351" i="3"/>
  <c r="V350" i="3"/>
  <c r="V349" i="3"/>
  <c r="X348" i="3"/>
  <c r="W348" i="3"/>
  <c r="V348" i="3"/>
  <c r="U348" i="3"/>
  <c r="S348" i="3"/>
  <c r="R348" i="3"/>
  <c r="P348" i="3"/>
  <c r="M348" i="3"/>
  <c r="N348" i="3"/>
  <c r="X347" i="3"/>
  <c r="W347" i="3"/>
  <c r="V347" i="3"/>
  <c r="U347" i="3"/>
  <c r="S347" i="3"/>
  <c r="R347" i="3"/>
  <c r="P347" i="3"/>
  <c r="M347" i="3"/>
  <c r="N347" i="3"/>
  <c r="V346" i="3"/>
  <c r="V345" i="3"/>
  <c r="V344" i="3"/>
  <c r="V343" i="3"/>
  <c r="V342" i="3"/>
  <c r="V341" i="3"/>
  <c r="X340" i="3"/>
  <c r="W340" i="3"/>
  <c r="V340" i="3"/>
  <c r="U340" i="3"/>
  <c r="S340" i="3"/>
  <c r="R340" i="3"/>
  <c r="P340" i="3"/>
  <c r="M340" i="3"/>
  <c r="N340" i="3"/>
  <c r="V339" i="3"/>
  <c r="V338" i="3"/>
  <c r="V337" i="3"/>
  <c r="V336" i="3"/>
  <c r="V335" i="3"/>
  <c r="V334" i="3"/>
  <c r="X333" i="3"/>
  <c r="W333" i="3"/>
  <c r="V333" i="3"/>
  <c r="U333" i="3"/>
  <c r="S333" i="3"/>
  <c r="R333" i="3"/>
  <c r="P333" i="3"/>
  <c r="M333" i="3"/>
  <c r="N333" i="3"/>
  <c r="V332" i="3"/>
  <c r="V331" i="3"/>
  <c r="V330" i="3"/>
  <c r="V329" i="3"/>
  <c r="V328" i="3"/>
  <c r="X327" i="3"/>
  <c r="W327" i="3"/>
  <c r="V327" i="3"/>
  <c r="U327" i="3"/>
  <c r="S327" i="3"/>
  <c r="R327" i="3"/>
  <c r="P327" i="3"/>
  <c r="M327" i="3"/>
  <c r="N327" i="3"/>
  <c r="X326" i="3"/>
  <c r="W326" i="3"/>
  <c r="V326" i="3"/>
  <c r="U326" i="3"/>
  <c r="S326" i="3"/>
  <c r="R326" i="3"/>
  <c r="P326" i="3"/>
  <c r="M326" i="3"/>
  <c r="N326" i="3"/>
  <c r="V325" i="3"/>
  <c r="Q325" i="3"/>
  <c r="V324" i="3"/>
  <c r="V323" i="3"/>
  <c r="V322" i="3"/>
  <c r="V321" i="3"/>
  <c r="V320" i="3"/>
  <c r="X319" i="3"/>
  <c r="W319" i="3"/>
  <c r="V319" i="3"/>
  <c r="U319" i="3"/>
  <c r="S319" i="3"/>
  <c r="R319" i="3"/>
  <c r="P319" i="3"/>
  <c r="M319" i="3"/>
  <c r="N319" i="3"/>
  <c r="V318" i="3"/>
  <c r="V317" i="3"/>
  <c r="V316" i="3"/>
  <c r="V315" i="3"/>
  <c r="V314" i="3"/>
  <c r="V313" i="3"/>
  <c r="X312" i="3"/>
  <c r="W312" i="3"/>
  <c r="V312" i="3"/>
  <c r="U312" i="3"/>
  <c r="S312" i="3"/>
  <c r="R312" i="3"/>
  <c r="P312" i="3"/>
  <c r="M312" i="3"/>
  <c r="N312" i="3"/>
  <c r="V311" i="3"/>
  <c r="V310" i="3"/>
  <c r="V309" i="3"/>
  <c r="V308" i="3"/>
  <c r="V307" i="3"/>
  <c r="X306" i="3"/>
  <c r="W306" i="3"/>
  <c r="V306" i="3"/>
  <c r="U306" i="3"/>
  <c r="S306" i="3"/>
  <c r="R306" i="3"/>
  <c r="P306" i="3"/>
  <c r="M306" i="3"/>
  <c r="N306" i="3"/>
  <c r="X305" i="3"/>
  <c r="W305" i="3"/>
  <c r="V305" i="3"/>
  <c r="U305" i="3"/>
  <c r="S305" i="3"/>
  <c r="R305" i="3"/>
  <c r="P305" i="3"/>
  <c r="M305" i="3"/>
  <c r="N305" i="3"/>
  <c r="V304" i="3"/>
  <c r="V303" i="3"/>
  <c r="V302" i="3"/>
  <c r="V301" i="3"/>
  <c r="V300" i="3"/>
  <c r="V299" i="3"/>
  <c r="X298" i="3"/>
  <c r="W298" i="3"/>
  <c r="V298" i="3"/>
  <c r="U298" i="3"/>
  <c r="S298" i="3"/>
  <c r="R298" i="3"/>
  <c r="P298" i="3"/>
  <c r="M298" i="3"/>
  <c r="N298" i="3"/>
  <c r="V297" i="3"/>
  <c r="V296" i="3"/>
  <c r="V295" i="3"/>
  <c r="V294" i="3"/>
  <c r="Q294" i="3"/>
  <c r="V293" i="3"/>
  <c r="Q293" i="3"/>
  <c r="V292" i="3"/>
  <c r="Q292" i="3"/>
  <c r="X291" i="3"/>
  <c r="W291" i="3"/>
  <c r="V291" i="3"/>
  <c r="U291" i="3"/>
  <c r="S291" i="3"/>
  <c r="R291" i="3"/>
  <c r="Q291" i="3"/>
  <c r="P291" i="3"/>
  <c r="M291" i="3"/>
  <c r="N291" i="3"/>
  <c r="V290" i="3"/>
  <c r="Q290" i="3"/>
  <c r="V289" i="3"/>
  <c r="Q289" i="3"/>
  <c r="V288" i="3"/>
  <c r="Q288" i="3"/>
  <c r="V287" i="3"/>
  <c r="Q287" i="3"/>
  <c r="X286" i="3"/>
  <c r="W286" i="3"/>
  <c r="V286" i="3"/>
  <c r="U286" i="3"/>
  <c r="S286" i="3"/>
  <c r="R286" i="3"/>
  <c r="Q286" i="3"/>
  <c r="P286" i="3"/>
  <c r="M286" i="3"/>
  <c r="N286" i="3"/>
  <c r="V285" i="3"/>
  <c r="Q285" i="3"/>
  <c r="X284" i="3"/>
  <c r="W284" i="3"/>
  <c r="V284" i="3"/>
  <c r="U284" i="3"/>
  <c r="S284" i="3"/>
  <c r="R284" i="3"/>
  <c r="Q284" i="3"/>
  <c r="P284" i="3"/>
  <c r="M284" i="3"/>
  <c r="N284" i="3"/>
  <c r="V283" i="3"/>
  <c r="Q283" i="3"/>
  <c r="V282" i="3"/>
  <c r="Q282" i="3"/>
  <c r="V281" i="3"/>
  <c r="Q281" i="3"/>
  <c r="V280" i="3"/>
  <c r="Q280" i="3"/>
  <c r="V279" i="3"/>
  <c r="Q279" i="3"/>
  <c r="X278" i="3"/>
  <c r="W278" i="3"/>
  <c r="V278" i="3"/>
  <c r="U278" i="3"/>
  <c r="S278" i="3"/>
  <c r="R278" i="3"/>
  <c r="Q278" i="3"/>
  <c r="P278" i="3"/>
  <c r="M278" i="3"/>
  <c r="N278" i="3"/>
  <c r="X277" i="3"/>
  <c r="W277" i="3"/>
  <c r="V277" i="3"/>
  <c r="U277" i="3"/>
  <c r="S277" i="3"/>
  <c r="R277" i="3"/>
  <c r="Q277" i="3"/>
  <c r="P277" i="3"/>
  <c r="M277" i="3"/>
  <c r="N277" i="3"/>
  <c r="V276" i="3"/>
  <c r="Q276" i="3"/>
  <c r="V275" i="3"/>
  <c r="Q275" i="3"/>
  <c r="V274" i="3"/>
  <c r="Q274" i="3"/>
  <c r="V273" i="3"/>
  <c r="Q273" i="3"/>
  <c r="V272" i="3"/>
  <c r="Q272" i="3"/>
  <c r="V271" i="3"/>
  <c r="Q271" i="3"/>
  <c r="X270" i="3"/>
  <c r="W270" i="3"/>
  <c r="V270" i="3"/>
  <c r="U270" i="3"/>
  <c r="S270" i="3"/>
  <c r="R270" i="3"/>
  <c r="Q270" i="3"/>
  <c r="P270" i="3"/>
  <c r="M270" i="3"/>
  <c r="N270" i="3"/>
  <c r="V269" i="3"/>
  <c r="Q269" i="3"/>
  <c r="V268" i="3"/>
  <c r="Q268" i="3"/>
  <c r="V267" i="3"/>
  <c r="Q267" i="3"/>
  <c r="V266" i="3"/>
  <c r="Q266" i="3"/>
  <c r="V265" i="3"/>
  <c r="Q265" i="3"/>
  <c r="V264" i="3"/>
  <c r="Q264" i="3"/>
  <c r="X263" i="3"/>
  <c r="W263" i="3"/>
  <c r="V263" i="3"/>
  <c r="U263" i="3"/>
  <c r="S263" i="3"/>
  <c r="R263" i="3"/>
  <c r="Q263" i="3"/>
  <c r="P263" i="3"/>
  <c r="M263" i="3"/>
  <c r="N263" i="3"/>
  <c r="V262" i="3"/>
  <c r="Q262" i="3"/>
  <c r="V261" i="3"/>
  <c r="Q261" i="3"/>
  <c r="V260" i="3"/>
  <c r="Q260" i="3"/>
  <c r="V259" i="3"/>
  <c r="Q259" i="3"/>
  <c r="V258" i="3"/>
  <c r="Q258" i="3"/>
  <c r="V257" i="3"/>
  <c r="Q257" i="3"/>
  <c r="X256" i="3"/>
  <c r="W256" i="3"/>
  <c r="V256" i="3"/>
  <c r="U256" i="3"/>
  <c r="S256" i="3"/>
  <c r="R256" i="3"/>
  <c r="Q256" i="3"/>
  <c r="P256" i="3"/>
  <c r="M256" i="3"/>
  <c r="N256" i="3"/>
  <c r="V255" i="3"/>
  <c r="Q255" i="3"/>
  <c r="V254" i="3"/>
  <c r="Q254" i="3"/>
  <c r="V253" i="3"/>
  <c r="Q253" i="3"/>
  <c r="V252" i="3"/>
  <c r="Q252" i="3"/>
  <c r="V251" i="3"/>
  <c r="Q251" i="3"/>
  <c r="V250" i="3"/>
  <c r="Q250" i="3"/>
  <c r="X249" i="3"/>
  <c r="W249" i="3"/>
  <c r="V249" i="3"/>
  <c r="U249" i="3"/>
  <c r="S249" i="3"/>
  <c r="R249" i="3"/>
  <c r="Q249" i="3"/>
  <c r="P249" i="3"/>
  <c r="M249" i="3"/>
  <c r="N249" i="3"/>
  <c r="X248" i="3"/>
  <c r="W248" i="3"/>
  <c r="V248" i="3"/>
  <c r="U248" i="3"/>
  <c r="S248" i="3"/>
  <c r="R248" i="3"/>
  <c r="Q248" i="3"/>
  <c r="P248" i="3"/>
  <c r="M248" i="3"/>
  <c r="N248" i="3"/>
  <c r="X247" i="3"/>
  <c r="W247" i="3"/>
  <c r="V247" i="3"/>
  <c r="U247" i="3"/>
  <c r="S247" i="3"/>
  <c r="R247" i="3"/>
  <c r="Q247" i="3"/>
  <c r="P247" i="3"/>
  <c r="M247" i="3"/>
  <c r="N247" i="3"/>
  <c r="X246" i="3"/>
  <c r="W246" i="3"/>
  <c r="V246" i="3"/>
  <c r="U246" i="3"/>
  <c r="S246" i="3"/>
  <c r="R246" i="3"/>
  <c r="Q246" i="3"/>
  <c r="P246" i="3"/>
  <c r="M246" i="3"/>
  <c r="N246" i="3"/>
  <c r="X245" i="3"/>
  <c r="W245" i="3"/>
  <c r="V245" i="3"/>
  <c r="U245" i="3"/>
  <c r="S245" i="3"/>
  <c r="R245" i="3"/>
  <c r="Q245" i="3"/>
  <c r="P245" i="3"/>
  <c r="M245" i="3"/>
  <c r="N245" i="3"/>
  <c r="X244" i="3"/>
  <c r="W244" i="3"/>
  <c r="V244" i="3"/>
  <c r="U244" i="3"/>
  <c r="S244" i="3"/>
  <c r="R244" i="3"/>
  <c r="Q244" i="3"/>
  <c r="P244" i="3"/>
  <c r="M244" i="3"/>
  <c r="N244" i="3"/>
  <c r="X243" i="3"/>
  <c r="W243" i="3"/>
  <c r="V243" i="3"/>
  <c r="U243" i="3"/>
  <c r="S243" i="3"/>
  <c r="R243" i="3"/>
  <c r="Q243" i="3"/>
  <c r="P243" i="3"/>
  <c r="M243" i="3"/>
  <c r="N243" i="3"/>
  <c r="X242" i="3"/>
  <c r="W242" i="3"/>
  <c r="V242" i="3"/>
  <c r="U242" i="3"/>
  <c r="S242" i="3"/>
  <c r="R242" i="3"/>
  <c r="Q242" i="3"/>
  <c r="P242" i="3"/>
  <c r="M242" i="3"/>
  <c r="N242" i="3"/>
  <c r="V241" i="3"/>
  <c r="Q241" i="3"/>
  <c r="V240" i="3"/>
  <c r="Q240" i="3"/>
  <c r="V239" i="3"/>
  <c r="Q239" i="3"/>
  <c r="V238" i="3"/>
  <c r="Q238" i="3"/>
  <c r="V237" i="3"/>
  <c r="Q237" i="3"/>
  <c r="V236" i="3"/>
  <c r="Q236" i="3"/>
  <c r="X235" i="3"/>
  <c r="W235" i="3"/>
  <c r="V235" i="3"/>
  <c r="U235" i="3"/>
  <c r="S235" i="3"/>
  <c r="R235" i="3"/>
  <c r="Q235" i="3"/>
  <c r="P235" i="3"/>
  <c r="M235" i="3"/>
  <c r="N235" i="3"/>
  <c r="V234" i="3"/>
  <c r="Q234" i="3"/>
  <c r="V233" i="3"/>
  <c r="Q233" i="3"/>
  <c r="V232" i="3"/>
  <c r="Q232" i="3"/>
  <c r="V231" i="3"/>
  <c r="Q231" i="3"/>
  <c r="V230" i="3"/>
  <c r="Q230" i="3"/>
  <c r="V229" i="3"/>
  <c r="Q229" i="3"/>
  <c r="X228" i="3"/>
  <c r="W228" i="3"/>
  <c r="V228" i="3"/>
  <c r="U228" i="3"/>
  <c r="S228" i="3"/>
  <c r="R228" i="3"/>
  <c r="Q228" i="3"/>
  <c r="P228" i="3"/>
  <c r="M228" i="3"/>
  <c r="N228" i="3"/>
  <c r="V227" i="3"/>
  <c r="Q227" i="3"/>
  <c r="V226" i="3"/>
  <c r="Q226" i="3"/>
  <c r="V225" i="3"/>
  <c r="Q225" i="3"/>
  <c r="V224" i="3"/>
  <c r="Q224" i="3"/>
  <c r="V223" i="3"/>
  <c r="Q223" i="3"/>
  <c r="X222" i="3"/>
  <c r="W222" i="3"/>
  <c r="V222" i="3"/>
  <c r="U222" i="3"/>
  <c r="S222" i="3"/>
  <c r="R222" i="3"/>
  <c r="Q222" i="3"/>
  <c r="P222" i="3"/>
  <c r="M222" i="3"/>
  <c r="N222" i="3"/>
  <c r="X221" i="3"/>
  <c r="W221" i="3"/>
  <c r="V221" i="3"/>
  <c r="U221" i="3"/>
  <c r="S221" i="3"/>
  <c r="R221" i="3"/>
  <c r="Q221" i="3"/>
  <c r="P221" i="3"/>
  <c r="M221" i="3"/>
  <c r="N221" i="3"/>
  <c r="V220" i="3"/>
  <c r="Q220" i="3"/>
  <c r="V219" i="3"/>
  <c r="Q219" i="3"/>
  <c r="V218" i="3"/>
  <c r="Q218" i="3"/>
  <c r="V217" i="3"/>
  <c r="Q217" i="3"/>
  <c r="V216" i="3"/>
  <c r="Q216" i="3"/>
  <c r="V215" i="3"/>
  <c r="Q215" i="3"/>
  <c r="X214" i="3"/>
  <c r="W214" i="3"/>
  <c r="V214" i="3"/>
  <c r="U214" i="3"/>
  <c r="S214" i="3"/>
  <c r="R214" i="3"/>
  <c r="Q214" i="3"/>
  <c r="P214" i="3"/>
  <c r="M214" i="3"/>
  <c r="N214" i="3"/>
  <c r="V213" i="3"/>
  <c r="Q213" i="3"/>
  <c r="V212" i="3"/>
  <c r="Q212" i="3"/>
  <c r="V211" i="3"/>
  <c r="Q211" i="3"/>
  <c r="V210" i="3"/>
  <c r="Q210" i="3"/>
  <c r="V209" i="3"/>
  <c r="Q209" i="3"/>
  <c r="V208" i="3"/>
  <c r="Q208" i="3"/>
  <c r="X207" i="3"/>
  <c r="W207" i="3"/>
  <c r="V207" i="3"/>
  <c r="U207" i="3"/>
  <c r="S207" i="3"/>
  <c r="R207" i="3"/>
  <c r="Q207" i="3"/>
  <c r="P207" i="3"/>
  <c r="M207" i="3"/>
  <c r="N207" i="3"/>
  <c r="V206" i="3"/>
  <c r="Q206" i="3"/>
  <c r="V205" i="3"/>
  <c r="Q205" i="3"/>
  <c r="V204" i="3"/>
  <c r="Q204" i="3"/>
  <c r="V203" i="3"/>
  <c r="Q203" i="3"/>
  <c r="V202" i="3"/>
  <c r="Q202" i="3"/>
  <c r="V201" i="3"/>
  <c r="Q201" i="3"/>
  <c r="X200" i="3"/>
  <c r="W200" i="3"/>
  <c r="V200" i="3"/>
  <c r="U200" i="3"/>
  <c r="S200" i="3"/>
  <c r="R200" i="3"/>
  <c r="Q200" i="3"/>
  <c r="P200" i="3"/>
  <c r="M200" i="3"/>
  <c r="N200" i="3"/>
  <c r="V199" i="3"/>
  <c r="Q199" i="3"/>
  <c r="V198" i="3"/>
  <c r="Q198" i="3"/>
  <c r="V197" i="3"/>
  <c r="Q197" i="3"/>
  <c r="V196" i="3"/>
  <c r="Q196" i="3"/>
  <c r="V195" i="3"/>
  <c r="Q195" i="3"/>
  <c r="V194" i="3"/>
  <c r="Q194" i="3"/>
  <c r="X193" i="3"/>
  <c r="W193" i="3"/>
  <c r="V193" i="3"/>
  <c r="U193" i="3"/>
  <c r="S193" i="3"/>
  <c r="R193" i="3"/>
  <c r="Q193" i="3"/>
  <c r="P193" i="3"/>
  <c r="M193" i="3"/>
  <c r="N193" i="3"/>
  <c r="V192" i="3"/>
  <c r="Q192" i="3"/>
  <c r="V191" i="3"/>
  <c r="Q191" i="3"/>
  <c r="V190" i="3"/>
  <c r="Q190" i="3"/>
  <c r="V189" i="3"/>
  <c r="Q189" i="3"/>
  <c r="V188" i="3"/>
  <c r="Q188" i="3"/>
  <c r="V187" i="3"/>
  <c r="Q187" i="3"/>
  <c r="X186" i="3"/>
  <c r="W186" i="3"/>
  <c r="V186" i="3"/>
  <c r="U186" i="3"/>
  <c r="S186" i="3"/>
  <c r="R186" i="3"/>
  <c r="Q186" i="3"/>
  <c r="P186" i="3"/>
  <c r="M186" i="3"/>
  <c r="N186" i="3"/>
  <c r="V185" i="3"/>
  <c r="Q185" i="3"/>
  <c r="V184" i="3"/>
  <c r="Q184" i="3"/>
  <c r="V183" i="3"/>
  <c r="Q183" i="3"/>
  <c r="V182" i="3"/>
  <c r="Q182" i="3"/>
  <c r="V181" i="3"/>
  <c r="Q181" i="3"/>
  <c r="V180" i="3"/>
  <c r="Q180" i="3"/>
  <c r="X179" i="3"/>
  <c r="W179" i="3"/>
  <c r="V179" i="3"/>
  <c r="U179" i="3"/>
  <c r="S179" i="3"/>
  <c r="R179" i="3"/>
  <c r="Q179" i="3"/>
  <c r="P179" i="3"/>
  <c r="M179" i="3"/>
  <c r="N179" i="3"/>
  <c r="V178" i="3"/>
  <c r="Q178" i="3"/>
  <c r="V177" i="3"/>
  <c r="Q177" i="3"/>
  <c r="V176" i="3"/>
  <c r="Q176" i="3"/>
  <c r="V175" i="3"/>
  <c r="Q175" i="3"/>
  <c r="V174" i="3"/>
  <c r="Q174" i="3"/>
  <c r="V173" i="3"/>
  <c r="Q173" i="3"/>
  <c r="X172" i="3"/>
  <c r="W172" i="3"/>
  <c r="V172" i="3"/>
  <c r="U172" i="3"/>
  <c r="S172" i="3"/>
  <c r="R172" i="3"/>
  <c r="Q172" i="3"/>
  <c r="P172" i="3"/>
  <c r="M172" i="3"/>
  <c r="N172" i="3"/>
  <c r="V171" i="3"/>
  <c r="Q171" i="3"/>
  <c r="V170" i="3"/>
  <c r="Q170" i="3"/>
  <c r="V169" i="3"/>
  <c r="Q169" i="3"/>
  <c r="V168" i="3"/>
  <c r="Q168" i="3"/>
  <c r="V167" i="3"/>
  <c r="Q167" i="3"/>
  <c r="V166" i="3"/>
  <c r="Q166" i="3"/>
  <c r="X165" i="3"/>
  <c r="W165" i="3"/>
  <c r="V165" i="3"/>
  <c r="U165" i="3"/>
  <c r="S165" i="3"/>
  <c r="R165" i="3"/>
  <c r="Q165" i="3"/>
  <c r="M165" i="3"/>
  <c r="N165" i="3"/>
  <c r="V164" i="3"/>
  <c r="Q164" i="3"/>
  <c r="V163" i="3"/>
  <c r="Q163" i="3"/>
  <c r="V162" i="3"/>
  <c r="Q162" i="3"/>
  <c r="V161" i="3"/>
  <c r="Q161" i="3"/>
  <c r="V160" i="3"/>
  <c r="Q160" i="3"/>
  <c r="V159" i="3"/>
  <c r="Q159" i="3"/>
  <c r="X158" i="3"/>
  <c r="W158" i="3"/>
  <c r="V158" i="3"/>
  <c r="U158" i="3"/>
  <c r="S158" i="3"/>
  <c r="R158" i="3"/>
  <c r="Q158" i="3"/>
  <c r="M158" i="3"/>
  <c r="N158" i="3"/>
  <c r="V157" i="3"/>
  <c r="Q157" i="3"/>
  <c r="V156" i="3"/>
  <c r="Q156" i="3"/>
  <c r="V155" i="3"/>
  <c r="Q155" i="3"/>
  <c r="V154" i="3"/>
  <c r="Q154" i="3"/>
  <c r="V153" i="3"/>
  <c r="Q153" i="3"/>
  <c r="V152" i="3"/>
  <c r="Q152" i="3"/>
  <c r="X151" i="3"/>
  <c r="W151" i="3"/>
  <c r="V151" i="3"/>
  <c r="U151" i="3"/>
  <c r="S151" i="3"/>
  <c r="R151" i="3"/>
  <c r="Q151" i="3"/>
  <c r="M151" i="3"/>
  <c r="N151" i="3"/>
  <c r="V150" i="3"/>
  <c r="Q150" i="3"/>
  <c r="V149" i="3"/>
  <c r="Q149" i="3"/>
  <c r="V148" i="3"/>
  <c r="Q148" i="3"/>
  <c r="V147" i="3"/>
  <c r="Q147" i="3"/>
  <c r="X146" i="3"/>
  <c r="W146" i="3"/>
  <c r="V146" i="3"/>
  <c r="U146" i="3"/>
  <c r="S146" i="3"/>
  <c r="R146" i="3"/>
  <c r="Q146" i="3"/>
  <c r="M146" i="3"/>
  <c r="N146" i="3"/>
  <c r="X145" i="3"/>
  <c r="W145" i="3"/>
  <c r="V145" i="3"/>
  <c r="U145" i="3"/>
  <c r="S145" i="3"/>
  <c r="R145" i="3"/>
  <c r="Q145" i="3"/>
  <c r="M145" i="3"/>
  <c r="N145" i="3"/>
  <c r="X144" i="3"/>
  <c r="W144" i="3"/>
  <c r="V144" i="3"/>
  <c r="U144" i="3"/>
  <c r="S144" i="3"/>
  <c r="R144" i="3"/>
  <c r="Q144" i="3"/>
  <c r="M144" i="3"/>
  <c r="N144" i="3"/>
  <c r="X143" i="3"/>
  <c r="W143" i="3"/>
  <c r="V143" i="3"/>
  <c r="U143" i="3"/>
  <c r="S143" i="3"/>
  <c r="R143" i="3"/>
  <c r="Q143" i="3"/>
  <c r="M143" i="3"/>
  <c r="N143" i="3"/>
  <c r="V142" i="3"/>
  <c r="Q142" i="3"/>
  <c r="V141" i="3"/>
  <c r="Q141" i="3"/>
  <c r="V140" i="3"/>
  <c r="Q140" i="3"/>
  <c r="X139" i="3"/>
  <c r="W139" i="3"/>
  <c r="V139" i="3"/>
  <c r="U139" i="3"/>
  <c r="S139" i="3"/>
  <c r="R139" i="3"/>
  <c r="Q139" i="3"/>
  <c r="M139" i="3"/>
  <c r="N139" i="3"/>
  <c r="V138" i="3"/>
  <c r="Q138" i="3"/>
  <c r="X137" i="3"/>
  <c r="W137" i="3"/>
  <c r="V137" i="3"/>
  <c r="U137" i="3"/>
  <c r="S137" i="3"/>
  <c r="R137" i="3"/>
  <c r="Q137" i="3"/>
  <c r="M137" i="3"/>
  <c r="N137" i="3"/>
  <c r="V136" i="3"/>
  <c r="Q136" i="3"/>
  <c r="V135" i="3"/>
  <c r="Q135" i="3"/>
  <c r="V134" i="3"/>
  <c r="Q134" i="3"/>
  <c r="V133" i="3"/>
  <c r="Q133" i="3"/>
  <c r="V132" i="3"/>
  <c r="Q132" i="3"/>
  <c r="V131" i="3"/>
  <c r="Q131" i="3"/>
  <c r="X130" i="3"/>
  <c r="W130" i="3"/>
  <c r="V130" i="3"/>
  <c r="U130" i="3"/>
  <c r="S130" i="3"/>
  <c r="R130" i="3"/>
  <c r="Q130" i="3"/>
  <c r="P130" i="3"/>
  <c r="M130" i="3"/>
  <c r="N130" i="3"/>
  <c r="V129" i="3"/>
  <c r="Q129" i="3"/>
  <c r="V128" i="3"/>
  <c r="Q128" i="3"/>
  <c r="V127" i="3"/>
  <c r="Q127" i="3"/>
  <c r="V126" i="3"/>
  <c r="Q126" i="3"/>
  <c r="V125" i="3"/>
  <c r="Q125" i="3"/>
  <c r="V124" i="3"/>
  <c r="Q124" i="3"/>
  <c r="X123" i="3"/>
  <c r="W123" i="3"/>
  <c r="V123" i="3"/>
  <c r="U123" i="3"/>
  <c r="S123" i="3"/>
  <c r="R123" i="3"/>
  <c r="Q123" i="3"/>
  <c r="P123" i="3"/>
  <c r="M123" i="3"/>
  <c r="N123" i="3"/>
  <c r="V122" i="3"/>
  <c r="Q122" i="3"/>
  <c r="V121" i="3"/>
  <c r="Q121" i="3"/>
  <c r="V120" i="3"/>
  <c r="Q120" i="3"/>
  <c r="V119" i="3"/>
  <c r="Q119" i="3"/>
  <c r="V118" i="3"/>
  <c r="Q118" i="3"/>
  <c r="V117" i="3"/>
  <c r="Q117" i="3"/>
  <c r="X116" i="3"/>
  <c r="W116" i="3"/>
  <c r="V116" i="3"/>
  <c r="U116" i="3"/>
  <c r="S116" i="3"/>
  <c r="R116" i="3"/>
  <c r="Q116" i="3"/>
  <c r="P116" i="3"/>
  <c r="M116" i="3"/>
  <c r="N116" i="3"/>
  <c r="V115" i="3"/>
  <c r="Q115" i="3"/>
  <c r="V114" i="3"/>
  <c r="Q114" i="3"/>
  <c r="V113" i="3"/>
  <c r="Q113" i="3"/>
  <c r="V112" i="3"/>
  <c r="Q112" i="3"/>
  <c r="V111" i="3"/>
  <c r="Q111" i="3"/>
  <c r="V110" i="3"/>
  <c r="Q110" i="3"/>
  <c r="X109" i="3"/>
  <c r="W109" i="3"/>
  <c r="V109" i="3"/>
  <c r="U109" i="3"/>
  <c r="S109" i="3"/>
  <c r="R109" i="3"/>
  <c r="Q109" i="3"/>
  <c r="P109" i="3"/>
  <c r="M109" i="3"/>
  <c r="N109" i="3"/>
  <c r="V108" i="3"/>
  <c r="Q108" i="3"/>
  <c r="V107" i="3"/>
  <c r="Q107" i="3"/>
  <c r="V106" i="3"/>
  <c r="Q106" i="3"/>
  <c r="V105" i="3"/>
  <c r="Q105" i="3"/>
  <c r="V104" i="3"/>
  <c r="Q104" i="3"/>
  <c r="V103" i="3"/>
  <c r="Q103" i="3"/>
  <c r="X102" i="3"/>
  <c r="W102" i="3"/>
  <c r="V102" i="3"/>
  <c r="U102" i="3"/>
  <c r="S102" i="3"/>
  <c r="R102" i="3"/>
  <c r="Q102" i="3"/>
  <c r="P102" i="3"/>
  <c r="M102" i="3"/>
  <c r="N102" i="3"/>
  <c r="V101" i="3"/>
  <c r="Q101" i="3"/>
  <c r="V100" i="3"/>
  <c r="Q100" i="3"/>
  <c r="X99" i="3"/>
  <c r="W99" i="3"/>
  <c r="V99" i="3"/>
  <c r="U99" i="3"/>
  <c r="S99" i="3"/>
  <c r="R99" i="3"/>
  <c r="Q99" i="3"/>
  <c r="P99" i="3"/>
  <c r="M99" i="3"/>
  <c r="N99" i="3"/>
  <c r="V98" i="3"/>
  <c r="Q98" i="3"/>
  <c r="V97" i="3"/>
  <c r="Q97" i="3"/>
  <c r="V96" i="3"/>
  <c r="Q96" i="3"/>
  <c r="X95" i="3"/>
  <c r="W95" i="3"/>
  <c r="V95" i="3"/>
  <c r="U95" i="3"/>
  <c r="S95" i="3"/>
  <c r="R95" i="3"/>
  <c r="Q95" i="3"/>
  <c r="P95" i="3"/>
  <c r="M95" i="3"/>
  <c r="N95" i="3"/>
  <c r="V94" i="3"/>
  <c r="Q94" i="3"/>
  <c r="V93" i="3"/>
  <c r="Q93" i="3"/>
  <c r="V92" i="3"/>
  <c r="Q92" i="3"/>
  <c r="V91" i="3"/>
  <c r="Q91" i="3"/>
  <c r="V90" i="3"/>
  <c r="Q90" i="3"/>
  <c r="V89" i="3"/>
  <c r="Q89" i="3"/>
  <c r="X88" i="3"/>
  <c r="W88" i="3"/>
  <c r="V88" i="3"/>
  <c r="U88" i="3"/>
  <c r="S88" i="3"/>
  <c r="R88" i="3"/>
  <c r="Q88" i="3"/>
  <c r="P88" i="3"/>
  <c r="M88" i="3"/>
  <c r="N88" i="3"/>
  <c r="V87" i="3"/>
  <c r="Q87" i="3"/>
  <c r="V86" i="3"/>
  <c r="Q86" i="3"/>
  <c r="V85" i="3"/>
  <c r="Q85" i="3"/>
  <c r="V84" i="3"/>
  <c r="Q84" i="3"/>
  <c r="V83" i="3"/>
  <c r="Q83" i="3"/>
  <c r="V82" i="3"/>
  <c r="Q82" i="3"/>
  <c r="X81" i="3"/>
  <c r="W81" i="3"/>
  <c r="V81" i="3"/>
  <c r="U81" i="3"/>
  <c r="S81" i="3"/>
  <c r="R81" i="3"/>
  <c r="Q81" i="3"/>
  <c r="P81" i="3"/>
  <c r="M81" i="3"/>
  <c r="N81" i="3"/>
  <c r="V80" i="3"/>
  <c r="Q80" i="3"/>
  <c r="V79" i="3"/>
  <c r="Q79" i="3"/>
  <c r="V78" i="3"/>
  <c r="Q78" i="3"/>
  <c r="V77" i="3"/>
  <c r="Q77" i="3"/>
  <c r="V76" i="3"/>
  <c r="Q76" i="3"/>
  <c r="X75" i="3"/>
  <c r="W75" i="3"/>
  <c r="V75" i="3"/>
  <c r="U75" i="3"/>
  <c r="S75" i="3"/>
  <c r="R75" i="3"/>
  <c r="Q75" i="3"/>
  <c r="P75" i="3"/>
  <c r="M75" i="3"/>
  <c r="N75" i="3"/>
  <c r="X74" i="3"/>
  <c r="W74" i="3"/>
  <c r="V74" i="3"/>
  <c r="U74" i="3"/>
  <c r="S74" i="3"/>
  <c r="R74" i="3"/>
  <c r="Q74" i="3"/>
  <c r="P74" i="3"/>
  <c r="M74" i="3"/>
  <c r="N74" i="3"/>
  <c r="V73" i="3"/>
  <c r="Q73" i="3"/>
  <c r="V72" i="3"/>
  <c r="Q72" i="3"/>
  <c r="V71" i="3"/>
  <c r="Q71" i="3"/>
  <c r="V70" i="3"/>
  <c r="Q70" i="3"/>
  <c r="V69" i="3"/>
  <c r="Q69" i="3"/>
  <c r="V68" i="3"/>
  <c r="Q68" i="3"/>
  <c r="X67" i="3"/>
  <c r="W67" i="3"/>
  <c r="V67" i="3"/>
  <c r="U67" i="3"/>
  <c r="S67" i="3"/>
  <c r="R67" i="3"/>
  <c r="Q67" i="3"/>
  <c r="P67" i="3"/>
  <c r="M67" i="3"/>
  <c r="N67" i="3"/>
  <c r="V66" i="3"/>
  <c r="Q66" i="3"/>
  <c r="V65" i="3"/>
  <c r="Q65" i="3"/>
  <c r="V64" i="3"/>
  <c r="Q64" i="3"/>
  <c r="V63" i="3"/>
  <c r="Q63" i="3"/>
  <c r="X62" i="3"/>
  <c r="W62" i="3"/>
  <c r="V62" i="3"/>
  <c r="U62" i="3"/>
  <c r="S62" i="3"/>
  <c r="R62" i="3"/>
  <c r="Q62" i="3"/>
  <c r="P62" i="3"/>
  <c r="M62" i="3"/>
  <c r="N62" i="3"/>
  <c r="V61" i="3"/>
  <c r="Q61" i="3"/>
  <c r="X60" i="3"/>
  <c r="W60" i="3"/>
  <c r="V60" i="3"/>
  <c r="U60" i="3"/>
  <c r="S60" i="3"/>
  <c r="R60" i="3"/>
  <c r="Q60" i="3"/>
  <c r="P60" i="3"/>
  <c r="M60" i="3"/>
  <c r="N60" i="3"/>
  <c r="V59" i="3"/>
  <c r="Q59" i="3"/>
  <c r="V58" i="3"/>
  <c r="Q58" i="3"/>
  <c r="V57" i="3"/>
  <c r="Q57" i="3"/>
  <c r="V56" i="3"/>
  <c r="Q56" i="3"/>
  <c r="V55" i="3"/>
  <c r="Q55" i="3"/>
  <c r="V54" i="3"/>
  <c r="Q54" i="3"/>
  <c r="X53" i="3"/>
  <c r="W53" i="3"/>
  <c r="V53" i="3"/>
  <c r="U53" i="3"/>
  <c r="S53" i="3"/>
  <c r="R53" i="3"/>
  <c r="Q53" i="3"/>
  <c r="P53" i="3"/>
  <c r="M53" i="3"/>
  <c r="N53" i="3"/>
  <c r="V52" i="3"/>
  <c r="Q52" i="3"/>
  <c r="V51" i="3"/>
  <c r="Q51" i="3"/>
  <c r="V50" i="3"/>
  <c r="Q50" i="3"/>
  <c r="V49" i="3"/>
  <c r="Q49" i="3"/>
  <c r="V48" i="3"/>
  <c r="Q48" i="3"/>
  <c r="V47" i="3"/>
  <c r="Q47" i="3"/>
  <c r="X46" i="3"/>
  <c r="W46" i="3"/>
  <c r="V46" i="3"/>
  <c r="U46" i="3"/>
  <c r="S46" i="3"/>
  <c r="R46" i="3"/>
  <c r="Q46" i="3"/>
  <c r="P46" i="3"/>
  <c r="M46" i="3"/>
  <c r="N46" i="3"/>
  <c r="V45" i="3"/>
  <c r="Q45" i="3"/>
  <c r="V44" i="3"/>
  <c r="Q44" i="3"/>
  <c r="V43" i="3"/>
  <c r="Q43" i="3"/>
  <c r="V42" i="3"/>
  <c r="Q42" i="3"/>
  <c r="V41" i="3"/>
  <c r="Q41" i="3"/>
  <c r="V40" i="3"/>
  <c r="Q40" i="3"/>
  <c r="X39" i="3"/>
  <c r="W39" i="3"/>
  <c r="V39" i="3"/>
  <c r="U39" i="3"/>
  <c r="S39" i="3"/>
  <c r="R39" i="3"/>
  <c r="Q39" i="3"/>
  <c r="P39" i="3"/>
  <c r="M39" i="3"/>
  <c r="N39" i="3"/>
  <c r="V38" i="3"/>
  <c r="Q38" i="3"/>
  <c r="V37" i="3"/>
  <c r="Q37" i="3"/>
  <c r="V36" i="3"/>
  <c r="Q36" i="3"/>
  <c r="V35" i="3"/>
  <c r="Q35" i="3"/>
  <c r="V34" i="3"/>
  <c r="Q34" i="3"/>
  <c r="X33" i="3"/>
  <c r="W33" i="3"/>
  <c r="V33" i="3"/>
  <c r="U33" i="3"/>
  <c r="S33" i="3"/>
  <c r="R33" i="3"/>
  <c r="Q33" i="3"/>
  <c r="P33" i="3"/>
  <c r="M33" i="3"/>
  <c r="N33" i="3"/>
  <c r="X32" i="3"/>
  <c r="W32" i="3"/>
  <c r="V32" i="3"/>
  <c r="U32" i="3"/>
  <c r="S32" i="3"/>
  <c r="R32" i="3"/>
  <c r="Q32" i="3"/>
  <c r="P32" i="3"/>
  <c r="M32" i="3"/>
  <c r="N32" i="3"/>
  <c r="V31" i="3"/>
  <c r="Q31" i="3"/>
  <c r="V30" i="3"/>
  <c r="Q30" i="3"/>
  <c r="V29" i="3"/>
  <c r="Q29" i="3"/>
  <c r="V28" i="3"/>
  <c r="Q28" i="3"/>
  <c r="V27" i="3"/>
  <c r="Q27" i="3"/>
  <c r="V26" i="3"/>
  <c r="Q26" i="3"/>
  <c r="X25" i="3"/>
  <c r="W25" i="3"/>
  <c r="V25" i="3"/>
  <c r="U25" i="3"/>
  <c r="S25" i="3"/>
  <c r="R25" i="3"/>
  <c r="Q25" i="3"/>
  <c r="P25" i="3"/>
  <c r="M25" i="3"/>
  <c r="N25" i="3"/>
  <c r="X24" i="3"/>
  <c r="W24" i="3"/>
  <c r="V24" i="3"/>
  <c r="U24" i="3"/>
  <c r="S24" i="3"/>
  <c r="R24" i="3"/>
  <c r="Q24" i="3"/>
  <c r="P24" i="3"/>
  <c r="M24" i="3"/>
  <c r="N24" i="3"/>
  <c r="X23" i="3"/>
  <c r="W23" i="3"/>
  <c r="V23" i="3"/>
  <c r="U23" i="3"/>
  <c r="S23" i="3"/>
  <c r="R23" i="3"/>
  <c r="Q23" i="3"/>
  <c r="P23" i="3"/>
  <c r="M23" i="3"/>
  <c r="N23" i="3"/>
  <c r="X22" i="3"/>
  <c r="W22" i="3"/>
  <c r="V22" i="3"/>
  <c r="U22" i="3"/>
  <c r="S22" i="3"/>
  <c r="R22" i="3"/>
  <c r="Q22" i="3"/>
  <c r="P22" i="3"/>
  <c r="M22" i="3"/>
  <c r="N22" i="3"/>
  <c r="G21" i="3"/>
  <c r="E21" i="3"/>
  <c r="X21" i="3"/>
  <c r="W21" i="3"/>
  <c r="V21" i="3"/>
  <c r="U21" i="3"/>
  <c r="S21" i="3"/>
  <c r="R21" i="3"/>
  <c r="Q21" i="3"/>
  <c r="P21" i="3"/>
  <c r="M21" i="3"/>
  <c r="N21" i="3"/>
  <c r="F21" i="3"/>
  <c r="M18" i="3"/>
  <c r="F18" i="3"/>
  <c r="M17" i="3"/>
  <c r="F17" i="3"/>
  <c r="M16" i="3"/>
  <c r="F16" i="3"/>
  <c r="M15" i="3"/>
  <c r="F15" i="3"/>
  <c r="M14" i="3"/>
  <c r="F14" i="3"/>
  <c r="M13" i="3"/>
  <c r="F13" i="3"/>
  <c r="M12" i="3"/>
  <c r="F12" i="3"/>
  <c r="M11" i="3"/>
  <c r="F11" i="3"/>
  <c r="M10" i="3"/>
  <c r="F10" i="3"/>
  <c r="M9" i="3"/>
  <c r="F9" i="3"/>
  <c r="M8" i="3"/>
  <c r="F8" i="3"/>
  <c r="M7" i="3"/>
  <c r="F7" i="3"/>
  <c r="K3" i="3"/>
  <c r="M3" i="3" s="1"/>
  <c r="Z21" i="5" l="1"/>
  <c r="G20" i="5"/>
  <c r="N5" i="7"/>
  <c r="O6" i="7" s="1"/>
  <c r="R6" i="7" s="1"/>
  <c r="N239" i="12"/>
  <c r="N250" i="12"/>
  <c r="M273" i="12"/>
  <c r="M4" i="3"/>
  <c r="N293" i="12"/>
  <c r="N261" i="12"/>
  <c r="O131" i="7"/>
  <c r="Q131" i="7"/>
  <c r="M281" i="12"/>
  <c r="M259" i="12"/>
  <c r="M292" i="12"/>
  <c r="M262" i="12"/>
  <c r="M178" i="12"/>
  <c r="N182" i="12"/>
  <c r="M254" i="12"/>
  <c r="N290" i="12"/>
  <c r="N264" i="12"/>
  <c r="N234" i="12"/>
  <c r="M302" i="12"/>
  <c r="M264" i="12"/>
  <c r="N266" i="12"/>
  <c r="N13" i="12"/>
  <c r="K13" i="12"/>
  <c r="L216" i="12" s="1"/>
  <c r="N251" i="12"/>
  <c r="N276" i="12"/>
  <c r="N268" i="12"/>
  <c r="N188" i="12"/>
  <c r="Q8" i="12"/>
  <c r="N274" i="12"/>
  <c r="M318" i="12"/>
  <c r="N279" i="12"/>
  <c r="M320" i="12"/>
  <c r="N275" i="12"/>
  <c r="M297" i="12"/>
  <c r="N201" i="12"/>
  <c r="N194" i="12"/>
  <c r="M180" i="12"/>
  <c r="N265" i="12"/>
  <c r="M282" i="12"/>
  <c r="M197" i="12"/>
  <c r="M175" i="12"/>
  <c r="N269" i="7"/>
  <c r="M258" i="12"/>
  <c r="N181" i="12"/>
  <c r="K11" i="12"/>
  <c r="L170" i="12" s="1"/>
  <c r="M283" i="12"/>
  <c r="K8" i="12"/>
  <c r="L76" i="12" s="1"/>
  <c r="M271" i="12"/>
  <c r="N199" i="12"/>
  <c r="P266" i="12"/>
  <c r="S266" i="12" s="1"/>
  <c r="N285" i="12"/>
  <c r="N288" i="12"/>
  <c r="N240" i="12"/>
  <c r="N255" i="12"/>
  <c r="M289" i="12"/>
  <c r="M324" i="12"/>
  <c r="P275" i="12"/>
  <c r="S275" i="12" s="1"/>
  <c r="M295" i="12"/>
  <c r="M280" i="12"/>
  <c r="P267" i="12"/>
  <c r="S267" i="12" s="1"/>
  <c r="N300" i="12"/>
  <c r="M236" i="12"/>
  <c r="M187" i="12"/>
  <c r="P274" i="12"/>
  <c r="S274" i="12" s="1"/>
  <c r="N191" i="12"/>
  <c r="P285" i="12"/>
  <c r="S285" i="12" s="1"/>
  <c r="X187" i="5"/>
  <c r="M304" i="12"/>
  <c r="M184" i="12"/>
  <c r="N217" i="7"/>
  <c r="N192" i="12"/>
  <c r="P290" i="12"/>
  <c r="S290" i="12" s="1"/>
  <c r="O249" i="7"/>
  <c r="R249" i="7" s="1"/>
  <c r="N309" i="12"/>
  <c r="P281" i="12"/>
  <c r="R281" i="12" s="1"/>
  <c r="P293" i="12"/>
  <c r="R293" i="12" s="1"/>
  <c r="N355" i="7"/>
  <c r="P288" i="12"/>
  <c r="R288" i="12" s="1"/>
  <c r="O355" i="7"/>
  <c r="M272" i="12"/>
  <c r="M313" i="12"/>
  <c r="N177" i="12"/>
  <c r="P280" i="12"/>
  <c r="R280" i="12" s="1"/>
  <c r="M299" i="12"/>
  <c r="N195" i="12"/>
  <c r="M316" i="12"/>
  <c r="Q4" i="7"/>
  <c r="N189" i="12"/>
  <c r="P268" i="12"/>
  <c r="S268" i="12" s="1"/>
  <c r="M322" i="12"/>
  <c r="O93" i="7"/>
  <c r="Q11" i="12"/>
  <c r="P289" i="12"/>
  <c r="R289" i="12" s="1"/>
  <c r="M196" i="12"/>
  <c r="P283" i="12"/>
  <c r="S283" i="12" s="1"/>
  <c r="N314" i="12"/>
  <c r="N310" i="12"/>
  <c r="P273" i="12"/>
  <c r="R273" i="12" s="1"/>
  <c r="M253" i="12"/>
  <c r="P282" i="12"/>
  <c r="R282" i="12" s="1"/>
  <c r="N257" i="12"/>
  <c r="P236" i="12"/>
  <c r="R236" i="12" s="1"/>
  <c r="N39" i="7"/>
  <c r="P287" i="12"/>
  <c r="R287" i="12" s="1"/>
  <c r="M237" i="12"/>
  <c r="P239" i="12"/>
  <c r="R239" i="12" s="1"/>
  <c r="P265" i="12"/>
  <c r="R265" i="12" s="1"/>
  <c r="P292" i="12"/>
  <c r="S292" i="12" s="1"/>
  <c r="P238" i="12"/>
  <c r="R238" i="12" s="1"/>
  <c r="M287" i="12"/>
  <c r="P272" i="12"/>
  <c r="R272" i="12" s="1"/>
  <c r="P269" i="12"/>
  <c r="S269" i="12" s="1"/>
  <c r="O262" i="7"/>
  <c r="P276" i="12"/>
  <c r="R276" i="12" s="1"/>
  <c r="P257" i="12"/>
  <c r="R257" i="12" s="1"/>
  <c r="Q262" i="7"/>
  <c r="N331" i="7"/>
  <c r="N269" i="12"/>
  <c r="P271" i="12"/>
  <c r="R271" i="12" s="1"/>
  <c r="P279" i="12"/>
  <c r="R279" i="12" s="1"/>
  <c r="P251" i="12"/>
  <c r="R251" i="12" s="1"/>
  <c r="P255" i="12"/>
  <c r="S255" i="12" s="1"/>
  <c r="Q249" i="7"/>
  <c r="M252" i="12"/>
  <c r="M307" i="12"/>
  <c r="X292" i="5"/>
  <c r="P241" i="12"/>
  <c r="S241" i="12" s="1"/>
  <c r="N233" i="12"/>
  <c r="P311" i="12"/>
  <c r="R311" i="12" s="1"/>
  <c r="N174" i="12"/>
  <c r="Q200" i="7"/>
  <c r="N241" i="12"/>
  <c r="P308" i="12"/>
  <c r="R308" i="12" s="1"/>
  <c r="P253" i="12"/>
  <c r="S253" i="12" s="1"/>
  <c r="M173" i="12"/>
  <c r="P303" i="12"/>
  <c r="R303" i="12" s="1"/>
  <c r="P250" i="12"/>
  <c r="R250" i="12" s="1"/>
  <c r="P304" i="12"/>
  <c r="S304" i="12" s="1"/>
  <c r="P254" i="12"/>
  <c r="S254" i="12" s="1"/>
  <c r="P261" i="12"/>
  <c r="S261" i="12" s="1"/>
  <c r="Q324" i="7"/>
  <c r="M183" i="12"/>
  <c r="P258" i="12"/>
  <c r="S258" i="12" s="1"/>
  <c r="P262" i="12"/>
  <c r="S262" i="12" s="1"/>
  <c r="P194" i="12"/>
  <c r="R194" i="12" s="1"/>
  <c r="O342" i="7"/>
  <c r="R342" i="7" s="1"/>
  <c r="M323" i="12"/>
  <c r="P309" i="12"/>
  <c r="R309" i="12" s="1"/>
  <c r="P191" i="12"/>
  <c r="S191" i="12" s="1"/>
  <c r="Q93" i="7"/>
  <c r="N190" i="12"/>
  <c r="P299" i="12"/>
  <c r="R299" i="12" s="1"/>
  <c r="P260" i="12"/>
  <c r="R260" i="12" s="1"/>
  <c r="P174" i="12"/>
  <c r="R174" i="12" s="1"/>
  <c r="P295" i="12"/>
  <c r="S295" i="12" s="1"/>
  <c r="P240" i="12"/>
  <c r="S240" i="12" s="1"/>
  <c r="P184" i="12"/>
  <c r="S184" i="12" s="1"/>
  <c r="P294" i="12"/>
  <c r="R294" i="12" s="1"/>
  <c r="P252" i="12"/>
  <c r="R252" i="12" s="1"/>
  <c r="P190" i="12"/>
  <c r="R190" i="12" s="1"/>
  <c r="O4" i="7"/>
  <c r="N72" i="7"/>
  <c r="O231" i="7"/>
  <c r="P314" i="12"/>
  <c r="S314" i="12" s="1"/>
  <c r="M233" i="12"/>
  <c r="P175" i="12"/>
  <c r="R175" i="12" s="1"/>
  <c r="M260" i="12"/>
  <c r="N294" i="12"/>
  <c r="P234" i="12"/>
  <c r="R234" i="12" s="1"/>
  <c r="P197" i="12"/>
  <c r="S197" i="12" s="1"/>
  <c r="Q172" i="7"/>
  <c r="N260" i="12"/>
  <c r="P296" i="12"/>
  <c r="S296" i="12" s="1"/>
  <c r="P237" i="12"/>
  <c r="R237" i="12" s="1"/>
  <c r="P173" i="12"/>
  <c r="S173" i="12" s="1"/>
  <c r="O48" i="7"/>
  <c r="N402" i="7"/>
  <c r="M241" i="12"/>
  <c r="P188" i="12"/>
  <c r="S188" i="12" s="1"/>
  <c r="AA10" i="13"/>
  <c r="Q386" i="7"/>
  <c r="N386" i="7"/>
  <c r="N176" i="12"/>
  <c r="P183" i="12"/>
  <c r="R183" i="12" s="1"/>
  <c r="M176" i="12"/>
  <c r="N317" i="12"/>
  <c r="M301" i="12"/>
  <c r="P300" i="12"/>
  <c r="R300" i="12" s="1"/>
  <c r="P307" i="12"/>
  <c r="S307" i="12" s="1"/>
  <c r="P318" i="12"/>
  <c r="S318" i="12" s="1"/>
  <c r="P201" i="12"/>
  <c r="S201" i="12" s="1"/>
  <c r="P176" i="12"/>
  <c r="R176" i="12" s="1"/>
  <c r="P178" i="12"/>
  <c r="R178" i="12" s="1"/>
  <c r="N250" i="7"/>
  <c r="M303" i="12"/>
  <c r="N198" i="12"/>
  <c r="N301" i="12"/>
  <c r="P310" i="12"/>
  <c r="S310" i="12" s="1"/>
  <c r="P316" i="12"/>
  <c r="S316" i="12" s="1"/>
  <c r="P313" i="12"/>
  <c r="S313" i="12" s="1"/>
  <c r="P189" i="12"/>
  <c r="R189" i="12" s="1"/>
  <c r="P195" i="12"/>
  <c r="S195" i="12" s="1"/>
  <c r="P180" i="12"/>
  <c r="S180" i="12" s="1"/>
  <c r="N86" i="7"/>
  <c r="O86" i="7"/>
  <c r="Q331" i="7"/>
  <c r="Q393" i="7"/>
  <c r="N29" i="7"/>
  <c r="M321" i="12"/>
  <c r="P317" i="12"/>
  <c r="S317" i="12" s="1"/>
  <c r="P297" i="12"/>
  <c r="S297" i="12" s="1"/>
  <c r="P320" i="12"/>
  <c r="R320" i="12" s="1"/>
  <c r="P177" i="12"/>
  <c r="R177" i="12" s="1"/>
  <c r="P181" i="12"/>
  <c r="S181" i="12" s="1"/>
  <c r="P196" i="12"/>
  <c r="S196" i="12" s="1"/>
  <c r="Q231" i="7"/>
  <c r="O269" i="7"/>
  <c r="N251" i="7"/>
  <c r="M296" i="12"/>
  <c r="M315" i="12"/>
  <c r="P259" i="12"/>
  <c r="S259" i="12" s="1"/>
  <c r="P198" i="12"/>
  <c r="R198" i="12" s="1"/>
  <c r="P187" i="12"/>
  <c r="S187" i="12" s="1"/>
  <c r="P185" i="12"/>
  <c r="R185" i="12" s="1"/>
  <c r="P182" i="12"/>
  <c r="S182" i="12" s="1"/>
  <c r="P192" i="12"/>
  <c r="S192" i="12" s="1"/>
  <c r="O39" i="7"/>
  <c r="R39" i="7" s="1"/>
  <c r="Q248" i="7"/>
  <c r="Q15" i="7"/>
  <c r="Q251" i="7"/>
  <c r="O300" i="7"/>
  <c r="O324" i="7"/>
  <c r="O402" i="7"/>
  <c r="N400" i="7"/>
  <c r="N172" i="7"/>
  <c r="O217" i="7"/>
  <c r="N296" i="12"/>
  <c r="P302" i="12"/>
  <c r="S302" i="12" s="1"/>
  <c r="P301" i="12"/>
  <c r="S301" i="12" s="1"/>
  <c r="P199" i="12"/>
  <c r="R199" i="12" s="1"/>
  <c r="P323" i="12"/>
  <c r="S323" i="12" s="1"/>
  <c r="P324" i="12"/>
  <c r="R324" i="12" s="1"/>
  <c r="V18" i="11"/>
  <c r="W18" i="11" s="1"/>
  <c r="N308" i="12"/>
  <c r="P321" i="12"/>
  <c r="R321" i="12" s="1"/>
  <c r="P315" i="12"/>
  <c r="R315" i="12" s="1"/>
  <c r="P322" i="12"/>
  <c r="S322" i="12" s="1"/>
  <c r="Y17" i="11"/>
  <c r="I19" i="11"/>
  <c r="Y19" i="11"/>
  <c r="Q254" i="7"/>
  <c r="G24" i="10"/>
  <c r="S26" i="5"/>
  <c r="S54" i="5"/>
  <c r="M51" i="11"/>
  <c r="G20" i="10"/>
  <c r="AA17" i="11"/>
  <c r="Q20" i="11"/>
  <c r="G22" i="10"/>
  <c r="L21" i="11"/>
  <c r="L22" i="11" s="1"/>
  <c r="M8" i="11"/>
  <c r="O363" i="7"/>
  <c r="O10" i="13"/>
  <c r="N23" i="13"/>
  <c r="O23" i="13" s="1"/>
  <c r="AC65" i="13"/>
  <c r="AD65" i="13" s="1"/>
  <c r="E10" i="13"/>
  <c r="D23" i="13"/>
  <c r="E23" i="13" s="1"/>
  <c r="I10" i="13"/>
  <c r="H23" i="13"/>
  <c r="I23" i="13" s="1"/>
  <c r="Q10" i="13"/>
  <c r="P23" i="13"/>
  <c r="Q23" i="13" s="1"/>
  <c r="S10" i="13"/>
  <c r="R23" i="13"/>
  <c r="S23" i="13" s="1"/>
  <c r="AC66" i="13"/>
  <c r="AD66" i="13" s="1"/>
  <c r="D67" i="13"/>
  <c r="AC67" i="13" s="1"/>
  <c r="AD67" i="13" s="1"/>
  <c r="AD9" i="13"/>
  <c r="AC10" i="13"/>
  <c r="G10" i="13"/>
  <c r="F23" i="13"/>
  <c r="G23" i="13" s="1"/>
  <c r="J22" i="13"/>
  <c r="AC21" i="13"/>
  <c r="J23" i="13"/>
  <c r="K23" i="13" s="1"/>
  <c r="K10" i="13"/>
  <c r="Y10" i="13"/>
  <c r="X23" i="13"/>
  <c r="Y23" i="13" s="1"/>
  <c r="D61" i="13"/>
  <c r="F61" i="13" s="1"/>
  <c r="H61" i="13" s="1"/>
  <c r="J61" i="13" s="1"/>
  <c r="L61" i="13" s="1"/>
  <c r="N61" i="13" s="1"/>
  <c r="P61" i="13" s="1"/>
  <c r="R61" i="13" s="1"/>
  <c r="T61" i="13" s="1"/>
  <c r="V61" i="13" s="1"/>
  <c r="X61" i="13" s="1"/>
  <c r="Z61" i="13" s="1"/>
  <c r="E60" i="13"/>
  <c r="AD59" i="13"/>
  <c r="AC60" i="13"/>
  <c r="AD60" i="13" s="1"/>
  <c r="W10" i="13"/>
  <c r="V23" i="13"/>
  <c r="W23" i="13" s="1"/>
  <c r="S166" i="5"/>
  <c r="S194" i="5"/>
  <c r="O16" i="11"/>
  <c r="X383" i="5"/>
  <c r="Q16" i="11"/>
  <c r="S243" i="5"/>
  <c r="S245" i="5"/>
  <c r="G4" i="10"/>
  <c r="G18" i="10"/>
  <c r="G10" i="10"/>
  <c r="G6" i="10"/>
  <c r="G26" i="10"/>
  <c r="G16" i="10"/>
  <c r="G8" i="10"/>
  <c r="S68" i="5"/>
  <c r="F18" i="11"/>
  <c r="G18" i="11" s="1"/>
  <c r="O17" i="11"/>
  <c r="N363" i="7"/>
  <c r="Q300" i="7"/>
  <c r="G14" i="10"/>
  <c r="Q8" i="11"/>
  <c r="J18" i="11"/>
  <c r="K18" i="11" s="1"/>
  <c r="O40" i="11"/>
  <c r="Q48" i="7"/>
  <c r="R48" i="7" s="1"/>
  <c r="O248" i="7"/>
  <c r="N253" i="7"/>
  <c r="O253" i="7"/>
  <c r="Q401" i="7"/>
  <c r="D18" i="11"/>
  <c r="E18" i="11" s="1"/>
  <c r="Q79" i="7"/>
  <c r="Q342" i="7"/>
  <c r="N317" i="7"/>
  <c r="N401" i="7"/>
  <c r="C14" i="10"/>
  <c r="C14" i="9"/>
  <c r="X369" i="5"/>
  <c r="C22" i="9"/>
  <c r="C22" i="10"/>
  <c r="S244" i="5"/>
  <c r="S248" i="5"/>
  <c r="S348" i="5"/>
  <c r="K8" i="11"/>
  <c r="K16" i="11"/>
  <c r="C12" i="10"/>
  <c r="C12" i="9"/>
  <c r="C24" i="9"/>
  <c r="C24" i="10"/>
  <c r="S236" i="5"/>
  <c r="T18" i="11"/>
  <c r="U18" i="11" s="1"/>
  <c r="C26" i="9"/>
  <c r="C26" i="10"/>
  <c r="X145" i="5"/>
  <c r="S306" i="5"/>
  <c r="AC8" i="11"/>
  <c r="Q53" i="11"/>
  <c r="O254" i="7"/>
  <c r="C4" i="9"/>
  <c r="C4" i="10"/>
  <c r="C16" i="10"/>
  <c r="C16" i="9"/>
  <c r="C6" i="9"/>
  <c r="C6" i="10"/>
  <c r="S247" i="5"/>
  <c r="S327" i="5"/>
  <c r="K29" i="11"/>
  <c r="M52" i="11"/>
  <c r="AA55" i="11"/>
  <c r="F22" i="3"/>
  <c r="F23" i="3" s="1"/>
  <c r="F24" i="3" s="1"/>
  <c r="F25" i="3" s="1"/>
  <c r="F26" i="3" s="1"/>
  <c r="F27" i="3" s="1"/>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F55" i="3" s="1"/>
  <c r="F56" i="3" s="1"/>
  <c r="F57" i="3" s="1"/>
  <c r="F58" i="3" s="1"/>
  <c r="F59" i="3" s="1"/>
  <c r="F60" i="3" s="1"/>
  <c r="F61" i="3" s="1"/>
  <c r="F62" i="3" s="1"/>
  <c r="F63" i="3" s="1"/>
  <c r="F64" i="3" s="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F94" i="3" s="1"/>
  <c r="F95" i="3" s="1"/>
  <c r="F96" i="3" s="1"/>
  <c r="F97" i="3" s="1"/>
  <c r="F98" i="3" s="1"/>
  <c r="F99" i="3" s="1"/>
  <c r="F100" i="3" s="1"/>
  <c r="F101" i="3" s="1"/>
  <c r="F102" i="3" s="1"/>
  <c r="F103" i="3" s="1"/>
  <c r="F104" i="3" s="1"/>
  <c r="F105" i="3" s="1"/>
  <c r="F106" i="3" s="1"/>
  <c r="F107" i="3" s="1"/>
  <c r="F108" i="3" s="1"/>
  <c r="F109" i="3" s="1"/>
  <c r="F110" i="3" s="1"/>
  <c r="F111" i="3" s="1"/>
  <c r="F112" i="3" s="1"/>
  <c r="F113" i="3" s="1"/>
  <c r="F114" i="3" s="1"/>
  <c r="F115" i="3" s="1"/>
  <c r="F116" i="3" s="1"/>
  <c r="F117" i="3" s="1"/>
  <c r="F118" i="3" s="1"/>
  <c r="F119" i="3" s="1"/>
  <c r="F120" i="3" s="1"/>
  <c r="F121" i="3" s="1"/>
  <c r="F122" i="3" s="1"/>
  <c r="F123" i="3" s="1"/>
  <c r="F124" i="3" s="1"/>
  <c r="F125" i="3" s="1"/>
  <c r="F126" i="3" s="1"/>
  <c r="F127" i="3" s="1"/>
  <c r="F128" i="3" s="1"/>
  <c r="F129" i="3" s="1"/>
  <c r="F130" i="3" s="1"/>
  <c r="F131" i="3" s="1"/>
  <c r="F132" i="3" s="1"/>
  <c r="F133" i="3" s="1"/>
  <c r="F134" i="3" s="1"/>
  <c r="F135" i="3" s="1"/>
  <c r="F136" i="3" s="1"/>
  <c r="F137" i="3" s="1"/>
  <c r="F138" i="3" s="1"/>
  <c r="F139" i="3" s="1"/>
  <c r="F140" i="3" s="1"/>
  <c r="F141" i="3" s="1"/>
  <c r="F142" i="3" s="1"/>
  <c r="F143" i="3" s="1"/>
  <c r="F144" i="3" s="1"/>
  <c r="F145" i="3" s="1"/>
  <c r="F146" i="3" s="1"/>
  <c r="F147" i="3" s="1"/>
  <c r="F148" i="3" s="1"/>
  <c r="F149" i="3" s="1"/>
  <c r="F150" i="3" s="1"/>
  <c r="F151" i="3" s="1"/>
  <c r="F152" i="3" s="1"/>
  <c r="F153" i="3" s="1"/>
  <c r="F154" i="3" s="1"/>
  <c r="F155" i="3" s="1"/>
  <c r="F156" i="3" s="1"/>
  <c r="F157" i="3" s="1"/>
  <c r="F158" i="3" s="1"/>
  <c r="F159" i="3" s="1"/>
  <c r="F160" i="3" s="1"/>
  <c r="F161" i="3" s="1"/>
  <c r="F162" i="3" s="1"/>
  <c r="F163" i="3" s="1"/>
  <c r="F164" i="3" s="1"/>
  <c r="F165" i="3" s="1"/>
  <c r="F166" i="3" s="1"/>
  <c r="F167" i="3" s="1"/>
  <c r="F168" i="3" s="1"/>
  <c r="F169" i="3" s="1"/>
  <c r="F170" i="3" s="1"/>
  <c r="F171" i="3" s="1"/>
  <c r="F172" i="3" s="1"/>
  <c r="F173" i="3" s="1"/>
  <c r="F174" i="3" s="1"/>
  <c r="F175" i="3" s="1"/>
  <c r="F176" i="3" s="1"/>
  <c r="F177" i="3" s="1"/>
  <c r="F178" i="3" s="1"/>
  <c r="F179" i="3" s="1"/>
  <c r="F180" i="3" s="1"/>
  <c r="F181" i="3" s="1"/>
  <c r="F182" i="3" s="1"/>
  <c r="F183" i="3" s="1"/>
  <c r="F184" i="3" s="1"/>
  <c r="F185" i="3" s="1"/>
  <c r="F186" i="3" s="1"/>
  <c r="F187" i="3" s="1"/>
  <c r="F188" i="3" s="1"/>
  <c r="F189" i="3" s="1"/>
  <c r="F190" i="3" s="1"/>
  <c r="F191" i="3" s="1"/>
  <c r="F192" i="3" s="1"/>
  <c r="F193" i="3" s="1"/>
  <c r="F194" i="3" s="1"/>
  <c r="F195" i="3" s="1"/>
  <c r="F196" i="3" s="1"/>
  <c r="F197" i="3" s="1"/>
  <c r="F198" i="3" s="1"/>
  <c r="F199" i="3" s="1"/>
  <c r="F200" i="3" s="1"/>
  <c r="F201" i="3" s="1"/>
  <c r="F202" i="3" s="1"/>
  <c r="F203" i="3" s="1"/>
  <c r="F204" i="3" s="1"/>
  <c r="F205" i="3" s="1"/>
  <c r="F206" i="3" s="1"/>
  <c r="F207" i="3" s="1"/>
  <c r="F208" i="3" s="1"/>
  <c r="F209" i="3" s="1"/>
  <c r="F210" i="3" s="1"/>
  <c r="F211" i="3" s="1"/>
  <c r="F212" i="3" s="1"/>
  <c r="F213" i="3" s="1"/>
  <c r="F214" i="3" s="1"/>
  <c r="F215" i="3" s="1"/>
  <c r="F216" i="3" s="1"/>
  <c r="F217" i="3" s="1"/>
  <c r="F218" i="3" s="1"/>
  <c r="F219" i="3" s="1"/>
  <c r="F220" i="3" s="1"/>
  <c r="F221" i="3" s="1"/>
  <c r="F222" i="3" s="1"/>
  <c r="F223" i="3" s="1"/>
  <c r="F224" i="3" s="1"/>
  <c r="F225" i="3" s="1"/>
  <c r="F226" i="3" s="1"/>
  <c r="F227" i="3" s="1"/>
  <c r="F228" i="3" s="1"/>
  <c r="F229" i="3" s="1"/>
  <c r="F230" i="3" s="1"/>
  <c r="F231" i="3" s="1"/>
  <c r="F232" i="3" s="1"/>
  <c r="F233" i="3" s="1"/>
  <c r="F234" i="3" s="1"/>
  <c r="F235" i="3" s="1"/>
  <c r="F236" i="3" s="1"/>
  <c r="F237" i="3" s="1"/>
  <c r="F238" i="3" s="1"/>
  <c r="F239" i="3" s="1"/>
  <c r="F240" i="3" s="1"/>
  <c r="F241" i="3" s="1"/>
  <c r="F242" i="3" s="1"/>
  <c r="F243" i="3" s="1"/>
  <c r="F244" i="3" s="1"/>
  <c r="F245" i="3" s="1"/>
  <c r="F246" i="3" s="1"/>
  <c r="F247" i="3" s="1"/>
  <c r="F248" i="3" s="1"/>
  <c r="F249" i="3" s="1"/>
  <c r="F250" i="3" s="1"/>
  <c r="F251" i="3" s="1"/>
  <c r="F252" i="3" s="1"/>
  <c r="F253" i="3" s="1"/>
  <c r="F254" i="3" s="1"/>
  <c r="F255" i="3" s="1"/>
  <c r="F256" i="3" s="1"/>
  <c r="F257" i="3" s="1"/>
  <c r="F258" i="3" s="1"/>
  <c r="F259" i="3" s="1"/>
  <c r="F260" i="3" s="1"/>
  <c r="F261" i="3" s="1"/>
  <c r="F262" i="3" s="1"/>
  <c r="F263" i="3" s="1"/>
  <c r="F264" i="3" s="1"/>
  <c r="F265" i="3" s="1"/>
  <c r="F266" i="3" s="1"/>
  <c r="F267" i="3" s="1"/>
  <c r="F268" i="3" s="1"/>
  <c r="F269" i="3" s="1"/>
  <c r="F270" i="3" s="1"/>
  <c r="F271" i="3" s="1"/>
  <c r="F272" i="3" s="1"/>
  <c r="F273" i="3" s="1"/>
  <c r="F274" i="3" s="1"/>
  <c r="F275" i="3" s="1"/>
  <c r="F276" i="3" s="1"/>
  <c r="F277" i="3" s="1"/>
  <c r="F278" i="3" s="1"/>
  <c r="F279" i="3" s="1"/>
  <c r="F280" i="3" s="1"/>
  <c r="F281" i="3" s="1"/>
  <c r="F282" i="3" s="1"/>
  <c r="F283" i="3" s="1"/>
  <c r="F284" i="3" s="1"/>
  <c r="F285" i="3" s="1"/>
  <c r="F286" i="3" s="1"/>
  <c r="F287" i="3" s="1"/>
  <c r="F288" i="3" s="1"/>
  <c r="F289" i="3" s="1"/>
  <c r="F290" i="3" s="1"/>
  <c r="F291" i="3" s="1"/>
  <c r="F292" i="3" s="1"/>
  <c r="F293" i="3" s="1"/>
  <c r="F294" i="3" s="1"/>
  <c r="F295" i="3" s="1"/>
  <c r="F296" i="3" s="1"/>
  <c r="F297" i="3" s="1"/>
  <c r="F298" i="3" s="1"/>
  <c r="F299" i="3" s="1"/>
  <c r="F300" i="3" s="1"/>
  <c r="F301" i="3" s="1"/>
  <c r="F302" i="3" s="1"/>
  <c r="F303" i="3" s="1"/>
  <c r="F304" i="3" s="1"/>
  <c r="F305" i="3" s="1"/>
  <c r="F306" i="3" s="1"/>
  <c r="F307" i="3" s="1"/>
  <c r="F308" i="3" s="1"/>
  <c r="F309" i="3" s="1"/>
  <c r="F310" i="3" s="1"/>
  <c r="F311" i="3" s="1"/>
  <c r="F312" i="3" s="1"/>
  <c r="F313" i="3" s="1"/>
  <c r="F314" i="3" s="1"/>
  <c r="F315" i="3" s="1"/>
  <c r="F316" i="3" s="1"/>
  <c r="F317" i="3" s="1"/>
  <c r="F318" i="3" s="1"/>
  <c r="F319" i="3" s="1"/>
  <c r="F320" i="3" s="1"/>
  <c r="F321" i="3" s="1"/>
  <c r="F322" i="3" s="1"/>
  <c r="F323" i="3" s="1"/>
  <c r="F324" i="3" s="1"/>
  <c r="F325" i="3" s="1"/>
  <c r="F326" i="3" s="1"/>
  <c r="F327" i="3" s="1"/>
  <c r="F328" i="3" s="1"/>
  <c r="F329" i="3" s="1"/>
  <c r="F330" i="3" s="1"/>
  <c r="F331" i="3" s="1"/>
  <c r="F332" i="3" s="1"/>
  <c r="F333" i="3" s="1"/>
  <c r="F334" i="3" s="1"/>
  <c r="F335" i="3" s="1"/>
  <c r="F336" i="3" s="1"/>
  <c r="F337" i="3" s="1"/>
  <c r="F338" i="3" s="1"/>
  <c r="F339" i="3" s="1"/>
  <c r="F340" i="3" s="1"/>
  <c r="F341" i="3" s="1"/>
  <c r="F342" i="3" s="1"/>
  <c r="F343" i="3" s="1"/>
  <c r="F344" i="3" s="1"/>
  <c r="F345" i="3" s="1"/>
  <c r="F346" i="3" s="1"/>
  <c r="F347" i="3" s="1"/>
  <c r="F348" i="3" s="1"/>
  <c r="F349" i="3" s="1"/>
  <c r="F350" i="3" s="1"/>
  <c r="F351" i="3" s="1"/>
  <c r="F352" i="3" s="1"/>
  <c r="F353" i="3" s="1"/>
  <c r="F354" i="3" s="1"/>
  <c r="F355" i="3" s="1"/>
  <c r="F356" i="3" s="1"/>
  <c r="F357" i="3" s="1"/>
  <c r="F358" i="3" s="1"/>
  <c r="F359" i="3" s="1"/>
  <c r="F360" i="3" s="1"/>
  <c r="F361" i="3" s="1"/>
  <c r="F362" i="3" s="1"/>
  <c r="F363" i="3" s="1"/>
  <c r="F364" i="3" s="1"/>
  <c r="F365" i="3" s="1"/>
  <c r="F366" i="3" s="1"/>
  <c r="F367" i="3" s="1"/>
  <c r="F368" i="3" s="1"/>
  <c r="F369" i="3" s="1"/>
  <c r="F370" i="3" s="1"/>
  <c r="F371" i="3" s="1"/>
  <c r="F372" i="3" s="1"/>
  <c r="F373" i="3" s="1"/>
  <c r="F374" i="3" s="1"/>
  <c r="F375" i="3" s="1"/>
  <c r="F376" i="3" s="1"/>
  <c r="F377" i="3" s="1"/>
  <c r="F378" i="3" s="1"/>
  <c r="F379" i="3" s="1"/>
  <c r="F380" i="3" s="1"/>
  <c r="F381" i="3" s="1"/>
  <c r="F382" i="3" s="1"/>
  <c r="F383" i="3" s="1"/>
  <c r="F384" i="3" s="1"/>
  <c r="F385" i="3" s="1"/>
  <c r="C18" i="9"/>
  <c r="C18" i="10"/>
  <c r="AA8" i="11"/>
  <c r="L14" i="11"/>
  <c r="M15" i="11" s="1"/>
  <c r="Q53" i="7"/>
  <c r="C8" i="10"/>
  <c r="C8" i="9"/>
  <c r="AA12" i="11"/>
  <c r="E26" i="9" s="1"/>
  <c r="AA53" i="11"/>
  <c r="Q22" i="7"/>
  <c r="X73" i="5"/>
  <c r="S369" i="5"/>
  <c r="I17" i="11"/>
  <c r="K20" i="11"/>
  <c r="M46" i="11"/>
  <c r="C20" i="9"/>
  <c r="C20" i="10"/>
  <c r="E3" i="5"/>
  <c r="B7" i="5" s="1"/>
  <c r="G15" i="5" s="1"/>
  <c r="J15" i="5" s="1"/>
  <c r="K15" i="5" s="1"/>
  <c r="K17" i="11"/>
  <c r="M20" i="11"/>
  <c r="C10" i="10"/>
  <c r="C10" i="9"/>
  <c r="X20" i="5"/>
  <c r="X144" i="5"/>
  <c r="S208" i="5"/>
  <c r="O34" i="11"/>
  <c r="N293" i="7"/>
  <c r="O317" i="7"/>
  <c r="Q279" i="7"/>
  <c r="R279" i="7" s="1"/>
  <c r="Q400" i="7"/>
  <c r="Q250" i="7"/>
  <c r="N393" i="7"/>
  <c r="O7" i="7"/>
  <c r="N200" i="7"/>
  <c r="N100" i="7"/>
  <c r="O100" i="7"/>
  <c r="Q7" i="7"/>
  <c r="O279" i="7"/>
  <c r="N8" i="7"/>
  <c r="Q124" i="7"/>
  <c r="O210" i="7"/>
  <c r="R210" i="7" s="1"/>
  <c r="N318" i="7"/>
  <c r="O318" i="7"/>
  <c r="O53" i="7"/>
  <c r="N210" i="7"/>
  <c r="O124" i="7"/>
  <c r="Z26" i="12"/>
  <c r="G25" i="12"/>
  <c r="S264" i="12"/>
  <c r="R264" i="12"/>
  <c r="L48" i="12"/>
  <c r="L47" i="12"/>
  <c r="L42" i="12"/>
  <c r="L40" i="12"/>
  <c r="AA7" i="12"/>
  <c r="L51" i="12"/>
  <c r="L49" i="12"/>
  <c r="L44" i="12"/>
  <c r="L38" i="12"/>
  <c r="L28" i="12"/>
  <c r="L27" i="12"/>
  <c r="L35" i="12"/>
  <c r="L50" i="12"/>
  <c r="L30" i="12"/>
  <c r="L37" i="12"/>
  <c r="L36" i="12"/>
  <c r="L26" i="12"/>
  <c r="L41" i="12"/>
  <c r="L31" i="12"/>
  <c r="L45" i="12"/>
  <c r="L29" i="12"/>
  <c r="L34" i="12"/>
  <c r="L43" i="12"/>
  <c r="L372" i="12"/>
  <c r="L362" i="12"/>
  <c r="L360" i="12"/>
  <c r="L379" i="12"/>
  <c r="L369" i="12"/>
  <c r="L367" i="12"/>
  <c r="L357" i="12"/>
  <c r="L376" i="12"/>
  <c r="L374" i="12"/>
  <c r="L364" i="12"/>
  <c r="L377" i="12"/>
  <c r="L365" i="12"/>
  <c r="L371" i="12"/>
  <c r="L370" i="12"/>
  <c r="L356" i="12"/>
  <c r="L363" i="12"/>
  <c r="L359" i="12"/>
  <c r="L355" i="12"/>
  <c r="L381" i="12"/>
  <c r="L380" i="12"/>
  <c r="L358" i="12"/>
  <c r="L378" i="12"/>
  <c r="L366" i="12"/>
  <c r="L373" i="12"/>
  <c r="AA18" i="12"/>
  <c r="E24" i="12"/>
  <c r="Y25" i="12"/>
  <c r="S233" i="12"/>
  <c r="R233" i="12"/>
  <c r="L140" i="12"/>
  <c r="L134" i="12"/>
  <c r="L129" i="12"/>
  <c r="L135" i="12"/>
  <c r="L131" i="12"/>
  <c r="L126" i="12"/>
  <c r="L125" i="12"/>
  <c r="L124" i="12"/>
  <c r="L122" i="12"/>
  <c r="L121" i="12"/>
  <c r="L120" i="12"/>
  <c r="L119" i="12"/>
  <c r="L118" i="12"/>
  <c r="L117" i="12"/>
  <c r="L115" i="12"/>
  <c r="L114" i="12"/>
  <c r="L113" i="12"/>
  <c r="L112" i="12"/>
  <c r="L111" i="12"/>
  <c r="L127" i="12"/>
  <c r="L128" i="12"/>
  <c r="L136" i="12"/>
  <c r="L132" i="12"/>
  <c r="L138" i="12"/>
  <c r="L133" i="12"/>
  <c r="AA10" i="12"/>
  <c r="L110" i="12"/>
  <c r="L96" i="12"/>
  <c r="L87" i="12"/>
  <c r="L83" i="12"/>
  <c r="L108" i="12"/>
  <c r="L104" i="12"/>
  <c r="L92" i="12"/>
  <c r="L97" i="12"/>
  <c r="L84" i="12"/>
  <c r="L105" i="12"/>
  <c r="L100" i="12"/>
  <c r="L91" i="12"/>
  <c r="L101" i="12"/>
  <c r="L94" i="12"/>
  <c r="L90" i="12"/>
  <c r="L80" i="12"/>
  <c r="L98" i="12"/>
  <c r="L106" i="12"/>
  <c r="L93" i="12"/>
  <c r="L89" i="12"/>
  <c r="AA9" i="12"/>
  <c r="L103" i="12"/>
  <c r="L85" i="12"/>
  <c r="L107" i="12"/>
  <c r="L86" i="12"/>
  <c r="L82" i="12"/>
  <c r="L350" i="12"/>
  <c r="L346" i="12"/>
  <c r="L341" i="12"/>
  <c r="L352" i="12"/>
  <c r="L344" i="12"/>
  <c r="L338" i="12"/>
  <c r="L349" i="12"/>
  <c r="L331" i="12"/>
  <c r="L329" i="12"/>
  <c r="L325" i="12"/>
  <c r="L351" i="12"/>
  <c r="L345" i="12"/>
  <c r="L339" i="12"/>
  <c r="L336" i="12"/>
  <c r="L334" i="12"/>
  <c r="L342" i="12"/>
  <c r="L337" i="12"/>
  <c r="L353" i="12"/>
  <c r="L343" i="12"/>
  <c r="L328" i="12"/>
  <c r="L335" i="12"/>
  <c r="L330" i="12"/>
  <c r="L332" i="12"/>
  <c r="AA17" i="12"/>
  <c r="X180" i="5"/>
  <c r="X229" i="5"/>
  <c r="X334" i="5"/>
  <c r="S383" i="5"/>
  <c r="Q61" i="7"/>
  <c r="N61" i="7"/>
  <c r="N133" i="7"/>
  <c r="S21" i="5"/>
  <c r="S62" i="5"/>
  <c r="X264" i="5"/>
  <c r="X278" i="5"/>
  <c r="X348" i="5"/>
  <c r="X376" i="5"/>
  <c r="S355" i="5"/>
  <c r="S23" i="5"/>
  <c r="X152" i="5"/>
  <c r="X21" i="5"/>
  <c r="X61" i="5"/>
  <c r="X82" i="5"/>
  <c r="S131" i="5"/>
  <c r="X23" i="5"/>
  <c r="S143" i="5"/>
  <c r="S145" i="5"/>
  <c r="S146" i="5"/>
  <c r="S222" i="5"/>
  <c r="X244" i="5"/>
  <c r="S278" i="5"/>
  <c r="T9" i="5"/>
  <c r="T8" i="5" s="1"/>
  <c r="S110" i="5"/>
  <c r="X327" i="5"/>
  <c r="X341" i="5"/>
  <c r="I3" i="5"/>
  <c r="K3" i="5" s="1"/>
  <c r="S73" i="5"/>
  <c r="S117" i="5"/>
  <c r="X124" i="5"/>
  <c r="X138" i="5"/>
  <c r="X139" i="5"/>
  <c r="X201" i="5"/>
  <c r="X216" i="5"/>
  <c r="X247" i="5"/>
  <c r="X271" i="5"/>
  <c r="S313" i="5"/>
  <c r="X320" i="5"/>
  <c r="X26" i="5"/>
  <c r="S159" i="5"/>
  <c r="X166" i="5"/>
  <c r="S385" i="5"/>
  <c r="S22" i="5"/>
  <c r="S33" i="5"/>
  <c r="X40" i="5"/>
  <c r="X54" i="5"/>
  <c r="X103" i="5"/>
  <c r="X236" i="5"/>
  <c r="X250" i="5"/>
  <c r="S286" i="5"/>
  <c r="S347" i="5"/>
  <c r="S362" i="5"/>
  <c r="S187" i="5"/>
  <c r="X194" i="5"/>
  <c r="S138" i="5"/>
  <c r="S139" i="5"/>
  <c r="S215" i="5"/>
  <c r="S216" i="5"/>
  <c r="S246" i="5"/>
  <c r="S271" i="5"/>
  <c r="S292" i="5"/>
  <c r="X384" i="5"/>
  <c r="S25" i="5"/>
  <c r="X33" i="5"/>
  <c r="S96" i="5"/>
  <c r="X146" i="5"/>
  <c r="S152" i="5"/>
  <c r="X173" i="5"/>
  <c r="X285" i="5"/>
  <c r="S307" i="5"/>
  <c r="Q81" i="7"/>
  <c r="O286" i="7"/>
  <c r="O133" i="7"/>
  <c r="O293" i="7"/>
  <c r="Q117" i="7"/>
  <c r="O117" i="7"/>
  <c r="Q286" i="7"/>
  <c r="O72" i="7"/>
  <c r="R72" i="7" s="1"/>
  <c r="Q380" i="7"/>
  <c r="Q397" i="7"/>
  <c r="Q389" i="7"/>
  <c r="Q395" i="7"/>
  <c r="Q396" i="7"/>
  <c r="Q387" i="7"/>
  <c r="Q388" i="7"/>
  <c r="O379" i="7"/>
  <c r="N379" i="7"/>
  <c r="Q379" i="7"/>
  <c r="R403" i="7"/>
  <c r="Q353" i="7"/>
  <c r="Q356" i="7"/>
  <c r="Q368" i="7"/>
  <c r="N369" i="7"/>
  <c r="O369" i="7"/>
  <c r="Q369" i="7"/>
  <c r="Q361" i="7"/>
  <c r="Q364" i="7"/>
  <c r="Q328" i="7"/>
  <c r="Q311" i="7"/>
  <c r="Q320" i="7"/>
  <c r="Q329" i="7"/>
  <c r="Q312" i="7"/>
  <c r="Q321" i="7"/>
  <c r="Q313" i="7"/>
  <c r="Q335" i="7"/>
  <c r="Q327" i="7"/>
  <c r="Q336" i="7"/>
  <c r="Q319" i="7"/>
  <c r="R310" i="7"/>
  <c r="N287" i="7"/>
  <c r="O287" i="7"/>
  <c r="Q287" i="7"/>
  <c r="N295" i="7"/>
  <c r="O295" i="7"/>
  <c r="Q295" i="7"/>
  <c r="Q263" i="7"/>
  <c r="N255" i="7"/>
  <c r="O255" i="7"/>
  <c r="Q255" i="7"/>
  <c r="R248" i="7"/>
  <c r="O241" i="7"/>
  <c r="R241" i="7" s="1"/>
  <c r="Q233" i="7"/>
  <c r="O225" i="7"/>
  <c r="Q225" i="7"/>
  <c r="N225" i="7"/>
  <c r="Q232" i="7"/>
  <c r="N224" i="7"/>
  <c r="Q224" i="7"/>
  <c r="O224" i="7"/>
  <c r="Q212" i="7"/>
  <c r="N193" i="7"/>
  <c r="Q193" i="7"/>
  <c r="O193" i="7"/>
  <c r="Q185" i="7"/>
  <c r="Q178" i="7"/>
  <c r="Q201" i="7"/>
  <c r="Q163" i="7"/>
  <c r="Q111" i="7"/>
  <c r="Q128" i="7"/>
  <c r="Q120" i="7"/>
  <c r="Q134" i="7"/>
  <c r="Q126" i="7"/>
  <c r="Q112" i="7"/>
  <c r="Q118" i="7"/>
  <c r="Q127" i="7"/>
  <c r="O110" i="7"/>
  <c r="R110" i="7" s="1"/>
  <c r="N110" i="7"/>
  <c r="Q119" i="7"/>
  <c r="Q98" i="7"/>
  <c r="O90" i="7"/>
  <c r="Q90" i="7"/>
  <c r="N90" i="7"/>
  <c r="Q97" i="7"/>
  <c r="Q89" i="7"/>
  <c r="Q96" i="7"/>
  <c r="Q88" i="7"/>
  <c r="Q76" i="7"/>
  <c r="O79" i="7"/>
  <c r="R79" i="7"/>
  <c r="Q59" i="7"/>
  <c r="Q51" i="7"/>
  <c r="Q43" i="7"/>
  <c r="N60" i="7"/>
  <c r="O60" i="7"/>
  <c r="Q60" i="7"/>
  <c r="Q52" i="7"/>
  <c r="Q62" i="7"/>
  <c r="R46" i="7"/>
  <c r="R7" i="7"/>
  <c r="O5" i="7"/>
  <c r="R5" i="7" s="1"/>
  <c r="O16" i="7"/>
  <c r="R16" i="7" s="1"/>
  <c r="Q28" i="7"/>
  <c r="I5" i="7"/>
  <c r="Q27" i="7"/>
  <c r="I8" i="7"/>
  <c r="I6" i="7"/>
  <c r="Q20" i="7"/>
  <c r="Q11" i="7"/>
  <c r="Q12" i="7"/>
  <c r="Q19" i="7"/>
  <c r="I15" i="7"/>
  <c r="F22" i="7"/>
  <c r="I16" i="7"/>
  <c r="O29" i="7"/>
  <c r="R29" i="7" s="1"/>
  <c r="O15" i="7"/>
  <c r="R15" i="7" s="1"/>
  <c r="O8" i="7"/>
  <c r="R8" i="7" s="1"/>
  <c r="F29" i="7"/>
  <c r="R4" i="7"/>
  <c r="I7" i="7"/>
  <c r="C5" i="7"/>
  <c r="L5" i="7" s="1"/>
  <c r="B6" i="7"/>
  <c r="M141" i="7"/>
  <c r="N141" i="7" s="1"/>
  <c r="M152" i="7"/>
  <c r="K137" i="7"/>
  <c r="Y55" i="11"/>
  <c r="H3" i="3"/>
  <c r="I3" i="3" s="1"/>
  <c r="M166" i="7"/>
  <c r="G19" i="11"/>
  <c r="F21" i="11"/>
  <c r="F22" i="11" s="1"/>
  <c r="L28" i="9"/>
  <c r="M28" i="9" s="1"/>
  <c r="S17" i="11"/>
  <c r="N18" i="11"/>
  <c r="O18" i="11" s="1"/>
  <c r="K30" i="11"/>
  <c r="M35" i="11"/>
  <c r="O38" i="11"/>
  <c r="G41" i="11"/>
  <c r="AA46" i="11"/>
  <c r="AA49" i="11"/>
  <c r="AA51" i="11"/>
  <c r="S55" i="11"/>
  <c r="X25" i="5"/>
  <c r="S40" i="5"/>
  <c r="X68" i="5"/>
  <c r="X99" i="5"/>
  <c r="S229" i="5"/>
  <c r="X245" i="5"/>
  <c r="S279" i="5"/>
  <c r="X286" i="5"/>
  <c r="X328" i="5"/>
  <c r="S334" i="5"/>
  <c r="X362" i="5"/>
  <c r="S376" i="5"/>
  <c r="K12" i="11"/>
  <c r="E10" i="9" s="1"/>
  <c r="E16" i="11"/>
  <c r="O20" i="11"/>
  <c r="H21" i="11"/>
  <c r="H22" i="11" s="1"/>
  <c r="W30" i="11"/>
  <c r="O35" i="11"/>
  <c r="AA38" i="11"/>
  <c r="AA41" i="11"/>
  <c r="O44" i="11"/>
  <c r="S53" i="11"/>
  <c r="J58" i="11"/>
  <c r="K58" i="11" s="1"/>
  <c r="E3" i="3"/>
  <c r="M12" i="11"/>
  <c r="E12" i="9" s="1"/>
  <c r="AC20" i="11"/>
  <c r="G33" i="11"/>
  <c r="M47" i="11"/>
  <c r="K50" i="11"/>
  <c r="Z58" i="11"/>
  <c r="AA58" i="11" s="1"/>
  <c r="X22" i="5"/>
  <c r="S75" i="5"/>
  <c r="O12" i="11"/>
  <c r="E14" i="9" s="1"/>
  <c r="D14" i="11"/>
  <c r="E15" i="11" s="1"/>
  <c r="G16" i="11"/>
  <c r="S16" i="11"/>
  <c r="AA27" i="11"/>
  <c r="M31" i="11"/>
  <c r="AA33" i="11"/>
  <c r="K39" i="11"/>
  <c r="G42" i="11"/>
  <c r="K45" i="11"/>
  <c r="O47" i="11"/>
  <c r="O50" i="11"/>
  <c r="I55" i="11"/>
  <c r="X96" i="5"/>
  <c r="X110" i="5"/>
  <c r="S8" i="11"/>
  <c r="U16" i="11"/>
  <c r="G20" i="11"/>
  <c r="O31" i="11"/>
  <c r="K37" i="11"/>
  <c r="AA39" i="11"/>
  <c r="O42" i="11"/>
  <c r="AA47" i="11"/>
  <c r="AA50" i="11"/>
  <c r="K53" i="11"/>
  <c r="F25" i="4"/>
  <c r="N14" i="11"/>
  <c r="W16" i="11"/>
  <c r="M17" i="11"/>
  <c r="W20" i="11"/>
  <c r="K34" i="11"/>
  <c r="AA42" i="11"/>
  <c r="K46" i="11"/>
  <c r="M55" i="11"/>
  <c r="N64" i="11"/>
  <c r="N69" i="11" s="1"/>
  <c r="S20" i="5"/>
  <c r="X75" i="5"/>
  <c r="S82" i="5"/>
  <c r="S99" i="5"/>
  <c r="S144" i="5"/>
  <c r="X208" i="5"/>
  <c r="X222" i="5"/>
  <c r="G32" i="11"/>
  <c r="G38" i="11"/>
  <c r="AA56" i="11"/>
  <c r="Z64" i="11"/>
  <c r="Z71" i="11" s="1"/>
  <c r="T14" i="11"/>
  <c r="U14" i="11" s="1"/>
  <c r="E21" i="9" s="1"/>
  <c r="Z18" i="11"/>
  <c r="AA18" i="11" s="1"/>
  <c r="AA20" i="11"/>
  <c r="O32" i="11"/>
  <c r="K38" i="11"/>
  <c r="O43" i="11"/>
  <c r="O46" i="11"/>
  <c r="O51" i="11"/>
  <c r="AA52" i="11"/>
  <c r="S19" i="11"/>
  <c r="R21" i="11"/>
  <c r="R22" i="11" s="1"/>
  <c r="T21" i="11"/>
  <c r="T22" i="11" s="1"/>
  <c r="U19" i="11"/>
  <c r="AA19" i="11"/>
  <c r="Z21" i="11"/>
  <c r="Z22" i="11" s="1"/>
  <c r="R68" i="11"/>
  <c r="R69" i="11"/>
  <c r="S66" i="11"/>
  <c r="R66" i="11" s="1"/>
  <c r="S65" i="11"/>
  <c r="R65" i="11" s="1"/>
  <c r="R71" i="11"/>
  <c r="R70" i="11"/>
  <c r="P58" i="11"/>
  <c r="Q58" i="11" s="1"/>
  <c r="Q49" i="11"/>
  <c r="Q45" i="11"/>
  <c r="Q41" i="11"/>
  <c r="Q37" i="11"/>
  <c r="Q33" i="11"/>
  <c r="Q29" i="11"/>
  <c r="Q56" i="11"/>
  <c r="Q54" i="11"/>
  <c r="Q50" i="11"/>
  <c r="Q46" i="11"/>
  <c r="Q42" i="11"/>
  <c r="Q36" i="11"/>
  <c r="Q48" i="11"/>
  <c r="Q47" i="11"/>
  <c r="Q38" i="11"/>
  <c r="E8" i="11"/>
  <c r="U8" i="11"/>
  <c r="Y16" i="11"/>
  <c r="Q17" i="11"/>
  <c r="R18" i="11"/>
  <c r="S18" i="11" s="1"/>
  <c r="U20" i="11"/>
  <c r="D21" i="11"/>
  <c r="D22" i="11" s="1"/>
  <c r="X21" i="11"/>
  <c r="X22" i="11" s="1"/>
  <c r="Q27" i="11"/>
  <c r="Q28" i="11"/>
  <c r="G29" i="11"/>
  <c r="G30" i="11"/>
  <c r="E32" i="11"/>
  <c r="Y36" i="11"/>
  <c r="W37" i="11"/>
  <c r="W40" i="11"/>
  <c r="W41" i="11"/>
  <c r="Y42" i="11"/>
  <c r="G45" i="11"/>
  <c r="I46" i="11"/>
  <c r="W49" i="11"/>
  <c r="Y50" i="11"/>
  <c r="G53" i="11"/>
  <c r="K55" i="11"/>
  <c r="W56" i="11"/>
  <c r="S56" i="11"/>
  <c r="S54" i="11"/>
  <c r="S50" i="11"/>
  <c r="S46" i="11"/>
  <c r="S42" i="11"/>
  <c r="S38" i="11"/>
  <c r="S34" i="11"/>
  <c r="S30" i="11"/>
  <c r="S48" i="11"/>
  <c r="S47" i="11"/>
  <c r="S41" i="11"/>
  <c r="S35" i="11"/>
  <c r="S27" i="11"/>
  <c r="S28" i="11"/>
  <c r="I29" i="11"/>
  <c r="I30" i="11"/>
  <c r="Y41" i="11"/>
  <c r="I45" i="11"/>
  <c r="Y49" i="11"/>
  <c r="Y56" i="11"/>
  <c r="R58" i="11"/>
  <c r="S58" i="11" s="1"/>
  <c r="E56" i="11"/>
  <c r="E54" i="11"/>
  <c r="E50" i="11"/>
  <c r="E46" i="11"/>
  <c r="E42" i="11"/>
  <c r="E38" i="11"/>
  <c r="E34" i="11"/>
  <c r="E30" i="11"/>
  <c r="D64" i="11"/>
  <c r="E57" i="11"/>
  <c r="E51" i="11"/>
  <c r="E47" i="11"/>
  <c r="E43" i="11"/>
  <c r="E45" i="11"/>
  <c r="E44" i="11"/>
  <c r="E40" i="11"/>
  <c r="E37" i="11"/>
  <c r="E31" i="11"/>
  <c r="E27" i="11"/>
  <c r="U56" i="11"/>
  <c r="U54" i="11"/>
  <c r="U50" i="11"/>
  <c r="U46" i="11"/>
  <c r="U42" i="11"/>
  <c r="U38" i="11"/>
  <c r="U34" i="11"/>
  <c r="U30" i="11"/>
  <c r="T64" i="11"/>
  <c r="U57" i="11"/>
  <c r="U51" i="11"/>
  <c r="U47" i="11"/>
  <c r="U43" i="11"/>
  <c r="T58" i="11"/>
  <c r="T59" i="11" s="1"/>
  <c r="U41" i="11"/>
  <c r="U35" i="11"/>
  <c r="U32" i="11"/>
  <c r="U29" i="11"/>
  <c r="U27" i="11"/>
  <c r="G8" i="11"/>
  <c r="O8" i="11"/>
  <c r="W8" i="11"/>
  <c r="I16" i="11"/>
  <c r="AA16" i="11"/>
  <c r="AC17" i="11"/>
  <c r="M19" i="11"/>
  <c r="V21" i="11"/>
  <c r="V22" i="11" s="1"/>
  <c r="E20" i="11"/>
  <c r="U28" i="11"/>
  <c r="I32" i="11"/>
  <c r="E35" i="11"/>
  <c r="E36" i="11"/>
  <c r="Y52" i="11"/>
  <c r="I53" i="11"/>
  <c r="F64" i="11"/>
  <c r="G57" i="11"/>
  <c r="G51" i="11"/>
  <c r="G47" i="11"/>
  <c r="G43" i="11"/>
  <c r="G39" i="11"/>
  <c r="G35" i="11"/>
  <c r="G31" i="11"/>
  <c r="F58" i="11"/>
  <c r="F59" i="11" s="1"/>
  <c r="G59" i="11" s="1"/>
  <c r="G44" i="11"/>
  <c r="G40" i="11"/>
  <c r="G37" i="11"/>
  <c r="G27" i="11"/>
  <c r="G50" i="11"/>
  <c r="G34" i="11"/>
  <c r="V64" i="11"/>
  <c r="W57" i="11"/>
  <c r="W51" i="11"/>
  <c r="W47" i="11"/>
  <c r="W43" i="11"/>
  <c r="W39" i="11"/>
  <c r="W35" i="11"/>
  <c r="W31" i="11"/>
  <c r="V58" i="11"/>
  <c r="V59" i="11" s="1"/>
  <c r="W59" i="11" s="1"/>
  <c r="W53" i="11"/>
  <c r="W38" i="11"/>
  <c r="W32" i="11"/>
  <c r="W29" i="11"/>
  <c r="W27" i="11"/>
  <c r="W55" i="11"/>
  <c r="W46" i="11"/>
  <c r="Q12" i="11"/>
  <c r="E16" i="9" s="1"/>
  <c r="F14" i="11"/>
  <c r="V14" i="11"/>
  <c r="AC16" i="11"/>
  <c r="L18" i="11"/>
  <c r="M18" i="11" s="1"/>
  <c r="E19" i="11"/>
  <c r="W19" i="11"/>
  <c r="Y20" i="11"/>
  <c r="W28" i="11"/>
  <c r="M29" i="11"/>
  <c r="Q30" i="11"/>
  <c r="Q31" i="11"/>
  <c r="I33" i="11"/>
  <c r="M34" i="11"/>
  <c r="K35" i="11"/>
  <c r="G36" i="11"/>
  <c r="I37" i="11"/>
  <c r="I38" i="11"/>
  <c r="E39" i="11"/>
  <c r="I40" i="11"/>
  <c r="E41" i="11"/>
  <c r="Q44" i="11"/>
  <c r="S45" i="11"/>
  <c r="E52" i="11"/>
  <c r="D58" i="11"/>
  <c r="D59" i="11" s="1"/>
  <c r="H64" i="11"/>
  <c r="H58" i="11"/>
  <c r="I58" i="11" s="1"/>
  <c r="I57" i="11"/>
  <c r="I51" i="11"/>
  <c r="I47" i="11"/>
  <c r="I43" i="11"/>
  <c r="I39" i="11"/>
  <c r="I35" i="11"/>
  <c r="I31" i="11"/>
  <c r="I48" i="11"/>
  <c r="I44" i="11"/>
  <c r="I50" i="11"/>
  <c r="I34" i="11"/>
  <c r="I49" i="11"/>
  <c r="X64" i="11"/>
  <c r="X58" i="11"/>
  <c r="X59" i="11" s="1"/>
  <c r="Y59" i="11" s="1"/>
  <c r="Y57" i="11"/>
  <c r="Y51" i="11"/>
  <c r="Y47" i="11"/>
  <c r="Y43" i="11"/>
  <c r="Y39" i="11"/>
  <c r="Y35" i="11"/>
  <c r="Y31" i="11"/>
  <c r="Y27" i="11"/>
  <c r="Y48" i="11"/>
  <c r="Y44" i="11"/>
  <c r="Y46" i="11"/>
  <c r="Y45" i="11"/>
  <c r="Y40" i="11"/>
  <c r="Y37" i="11"/>
  <c r="I8" i="11"/>
  <c r="Y8" i="11"/>
  <c r="S12" i="11"/>
  <c r="E18" i="9" s="1"/>
  <c r="U17" i="11"/>
  <c r="I27" i="11"/>
  <c r="Y28" i="11"/>
  <c r="S29" i="11"/>
  <c r="S31" i="11"/>
  <c r="S33" i="11"/>
  <c r="I36" i="11"/>
  <c r="S44" i="11"/>
  <c r="U45" i="11"/>
  <c r="E49" i="11"/>
  <c r="Q52" i="11"/>
  <c r="U53" i="11"/>
  <c r="G55" i="11"/>
  <c r="Q55" i="11"/>
  <c r="K48" i="11"/>
  <c r="K44" i="11"/>
  <c r="K40" i="11"/>
  <c r="K36" i="11"/>
  <c r="K32" i="11"/>
  <c r="K49" i="11"/>
  <c r="K31" i="11"/>
  <c r="J64" i="11"/>
  <c r="K54" i="11"/>
  <c r="K43" i="11"/>
  <c r="K42" i="11"/>
  <c r="K33" i="11"/>
  <c r="K28" i="11"/>
  <c r="AA48" i="11"/>
  <c r="AA44" i="11"/>
  <c r="AA40" i="11"/>
  <c r="AA36" i="11"/>
  <c r="AA32" i="11"/>
  <c r="AA45" i="11"/>
  <c r="AA37" i="11"/>
  <c r="AA34" i="11"/>
  <c r="E12" i="11"/>
  <c r="E4" i="9" s="1"/>
  <c r="U12" i="11"/>
  <c r="E20" i="9" s="1"/>
  <c r="H14" i="11"/>
  <c r="P14" i="11"/>
  <c r="X14" i="11"/>
  <c r="W17" i="11"/>
  <c r="X18" i="11"/>
  <c r="Y18" i="11" s="1"/>
  <c r="I20" i="11"/>
  <c r="K27" i="11"/>
  <c r="E28" i="11"/>
  <c r="AA28" i="11"/>
  <c r="Y29" i="11"/>
  <c r="Y30" i="11"/>
  <c r="U31" i="11"/>
  <c r="S32" i="11"/>
  <c r="U33" i="11"/>
  <c r="Q34" i="11"/>
  <c r="S36" i="11"/>
  <c r="M37" i="11"/>
  <c r="M38" i="11"/>
  <c r="Q39" i="11"/>
  <c r="Q40" i="11"/>
  <c r="I41" i="11"/>
  <c r="I42" i="11"/>
  <c r="Q43" i="11"/>
  <c r="U44" i="11"/>
  <c r="W45" i="11"/>
  <c r="E48" i="11"/>
  <c r="G49" i="11"/>
  <c r="AC52" i="11"/>
  <c r="W54" i="11"/>
  <c r="G56" i="11"/>
  <c r="K57" i="11"/>
  <c r="M48" i="11"/>
  <c r="M44" i="11"/>
  <c r="M40" i="11"/>
  <c r="M36" i="11"/>
  <c r="M32" i="11"/>
  <c r="M28" i="11"/>
  <c r="M49" i="11"/>
  <c r="M45" i="11"/>
  <c r="L64" i="11"/>
  <c r="M54" i="11"/>
  <c r="M43" i="11"/>
  <c r="M42" i="11"/>
  <c r="M33" i="11"/>
  <c r="M57" i="11"/>
  <c r="M56" i="11"/>
  <c r="M39" i="11"/>
  <c r="M30" i="11"/>
  <c r="AC7" i="11"/>
  <c r="AD57" i="11" s="1"/>
  <c r="G12" i="11"/>
  <c r="E6" i="9" s="1"/>
  <c r="W12" i="11"/>
  <c r="E22" i="9" s="1"/>
  <c r="Z14" i="11"/>
  <c r="M16" i="11"/>
  <c r="E17" i="11"/>
  <c r="P18" i="11"/>
  <c r="Q18" i="11" s="1"/>
  <c r="S20" i="11"/>
  <c r="M27" i="11"/>
  <c r="G28" i="11"/>
  <c r="AA29" i="11"/>
  <c r="AA30" i="11"/>
  <c r="AA31" i="11"/>
  <c r="Y32" i="11"/>
  <c r="W33" i="11"/>
  <c r="W34" i="11"/>
  <c r="Q35" i="11"/>
  <c r="U36" i="11"/>
  <c r="S37" i="11"/>
  <c r="S39" i="11"/>
  <c r="S40" i="11"/>
  <c r="K41" i="11"/>
  <c r="S43" i="11"/>
  <c r="W44" i="11"/>
  <c r="G48" i="11"/>
  <c r="S49" i="11"/>
  <c r="Q51" i="11"/>
  <c r="I52" i="11"/>
  <c r="S52" i="11"/>
  <c r="Y54" i="11"/>
  <c r="I56" i="11"/>
  <c r="Q57" i="11"/>
  <c r="L58" i="11"/>
  <c r="L59" i="11" s="1"/>
  <c r="O49" i="11"/>
  <c r="O45" i="11"/>
  <c r="O41" i="11"/>
  <c r="O37" i="11"/>
  <c r="O33" i="11"/>
  <c r="O29" i="11"/>
  <c r="N58" i="11"/>
  <c r="N59" i="11" s="1"/>
  <c r="O59" i="11" s="1"/>
  <c r="O57" i="11"/>
  <c r="O56" i="11"/>
  <c r="O55" i="11"/>
  <c r="O39" i="11"/>
  <c r="O30" i="11"/>
  <c r="O28" i="11"/>
  <c r="O36" i="11"/>
  <c r="I12" i="11"/>
  <c r="E8" i="9" s="1"/>
  <c r="Y12" i="11"/>
  <c r="E24" i="9" s="1"/>
  <c r="J14" i="11"/>
  <c r="R14" i="11"/>
  <c r="G17" i="11"/>
  <c r="H18" i="11"/>
  <c r="I18" i="11" s="1"/>
  <c r="O27" i="11"/>
  <c r="I28" i="11"/>
  <c r="E29" i="11"/>
  <c r="Y33" i="11"/>
  <c r="Y34" i="11"/>
  <c r="AA35" i="11"/>
  <c r="W36" i="11"/>
  <c r="U37" i="11"/>
  <c r="Y38" i="11"/>
  <c r="U39" i="11"/>
  <c r="U40" i="11"/>
  <c r="M41" i="11"/>
  <c r="W42" i="11"/>
  <c r="AA43" i="11"/>
  <c r="G46" i="11"/>
  <c r="K47" i="11"/>
  <c r="O48" i="11"/>
  <c r="U49" i="11"/>
  <c r="W50" i="11"/>
  <c r="S51" i="11"/>
  <c r="K52" i="11"/>
  <c r="O53" i="11"/>
  <c r="Y53" i="11"/>
  <c r="AA54" i="11"/>
  <c r="U55" i="11"/>
  <c r="K56" i="11"/>
  <c r="S57" i="11"/>
  <c r="P64" i="11"/>
  <c r="M53" i="11"/>
  <c r="E55" i="11"/>
  <c r="U52" i="11"/>
  <c r="E53" i="11"/>
  <c r="AC53" i="11"/>
  <c r="AC55" i="11"/>
  <c r="G52" i="11"/>
  <c r="O52" i="11"/>
  <c r="W52" i="11"/>
  <c r="M155" i="7"/>
  <c r="M145" i="7"/>
  <c r="M165" i="7"/>
  <c r="M146" i="7"/>
  <c r="M147" i="7"/>
  <c r="M148" i="7"/>
  <c r="N148" i="7" s="1"/>
  <c r="M153" i="7"/>
  <c r="M138" i="7"/>
  <c r="M143" i="7"/>
  <c r="N143" i="7" s="1"/>
  <c r="M150" i="7"/>
  <c r="M139" i="7"/>
  <c r="M162" i="7"/>
  <c r="M167" i="7"/>
  <c r="M144" i="7"/>
  <c r="M159" i="7"/>
  <c r="M151" i="7"/>
  <c r="M157" i="7"/>
  <c r="M168" i="7"/>
  <c r="M156" i="7"/>
  <c r="M160" i="7"/>
  <c r="M161" i="7"/>
  <c r="M164" i="7"/>
  <c r="M140" i="7"/>
  <c r="N140" i="7" s="1"/>
  <c r="M149" i="7"/>
  <c r="M142" i="7"/>
  <c r="N142" i="7" s="1"/>
  <c r="M154" i="7"/>
  <c r="M158" i="7"/>
  <c r="E21" i="5"/>
  <c r="AA22" i="5"/>
  <c r="X89" i="5"/>
  <c r="X117" i="5"/>
  <c r="S124" i="5"/>
  <c r="N21" i="5"/>
  <c r="O3" i="5"/>
  <c r="E20" i="5"/>
  <c r="X62" i="5"/>
  <c r="S103" i="5"/>
  <c r="S61" i="5"/>
  <c r="X131" i="5"/>
  <c r="X47" i="5"/>
  <c r="S47" i="5"/>
  <c r="S173" i="5"/>
  <c r="S180" i="5"/>
  <c r="S89" i="5"/>
  <c r="X143" i="5"/>
  <c r="X159" i="5"/>
  <c r="S201" i="5"/>
  <c r="S257" i="5"/>
  <c r="N264" i="5"/>
  <c r="X215" i="5"/>
  <c r="S250" i="5"/>
  <c r="X243" i="5"/>
  <c r="X246" i="5"/>
  <c r="S285" i="5"/>
  <c r="X306" i="5"/>
  <c r="X248" i="5"/>
  <c r="S264" i="5"/>
  <c r="X313" i="5"/>
  <c r="S320" i="5"/>
  <c r="S299" i="5"/>
  <c r="X307" i="5"/>
  <c r="X257" i="5"/>
  <c r="X279" i="5"/>
  <c r="X299" i="5"/>
  <c r="S341" i="5"/>
  <c r="S328" i="5"/>
  <c r="X347" i="5"/>
  <c r="N355" i="5"/>
  <c r="X385" i="5"/>
  <c r="X355" i="5"/>
  <c r="S384" i="5"/>
  <c r="I1" i="6" a="1"/>
  <c r="C34" i="14" l="1" a="1"/>
  <c r="F24" i="14" s="1"/>
  <c r="Z22" i="5"/>
  <c r="G21" i="5"/>
  <c r="B8" i="3"/>
  <c r="G9" i="3" s="1"/>
  <c r="I9" i="3" s="1"/>
  <c r="F23" i="14"/>
  <c r="L148" i="12"/>
  <c r="N148" i="12" s="1"/>
  <c r="L164" i="12"/>
  <c r="N164" i="12" s="1"/>
  <c r="L156" i="12"/>
  <c r="N156" i="12" s="1"/>
  <c r="L150" i="12"/>
  <c r="N150" i="12" s="1"/>
  <c r="L155" i="12"/>
  <c r="N155" i="12" s="1"/>
  <c r="L157" i="12"/>
  <c r="N157" i="12" s="1"/>
  <c r="L152" i="12"/>
  <c r="M152" i="12" s="1"/>
  <c r="R296" i="12"/>
  <c r="L142" i="12"/>
  <c r="M142" i="12" s="1"/>
  <c r="L149" i="12"/>
  <c r="M149" i="12" s="1"/>
  <c r="L161" i="12"/>
  <c r="M161" i="12" s="1"/>
  <c r="L227" i="12"/>
  <c r="N227" i="12" s="1"/>
  <c r="L72" i="12"/>
  <c r="M72" i="12" s="1"/>
  <c r="L210" i="12"/>
  <c r="N210" i="12" s="1"/>
  <c r="L226" i="12"/>
  <c r="N226" i="12" s="1"/>
  <c r="L78" i="12"/>
  <c r="N78" i="12" s="1"/>
  <c r="L225" i="12"/>
  <c r="N225" i="12" s="1"/>
  <c r="R292" i="12"/>
  <c r="S238" i="12"/>
  <c r="L159" i="12"/>
  <c r="N159" i="12" s="1"/>
  <c r="S279" i="12"/>
  <c r="S287" i="12"/>
  <c r="S303" i="12"/>
  <c r="R266" i="12"/>
  <c r="S272" i="12"/>
  <c r="R275" i="12"/>
  <c r="AA13" i="12"/>
  <c r="L208" i="12"/>
  <c r="M208" i="12" s="1"/>
  <c r="R285" i="12"/>
  <c r="R261" i="12"/>
  <c r="L229" i="12"/>
  <c r="N229" i="12" s="1"/>
  <c r="L205" i="12"/>
  <c r="M205" i="12" s="1"/>
  <c r="L211" i="12"/>
  <c r="M211" i="12" s="1"/>
  <c r="L55" i="12"/>
  <c r="M55" i="12" s="1"/>
  <c r="L224" i="12"/>
  <c r="N224" i="12" s="1"/>
  <c r="L215" i="12"/>
  <c r="N215" i="12" s="1"/>
  <c r="L204" i="12"/>
  <c r="M204" i="12" s="1"/>
  <c r="S260" i="12"/>
  <c r="L66" i="12"/>
  <c r="M66" i="12" s="1"/>
  <c r="L168" i="12"/>
  <c r="M168" i="12" s="1"/>
  <c r="L163" i="12"/>
  <c r="M163" i="12" s="1"/>
  <c r="L213" i="12"/>
  <c r="N213" i="12" s="1"/>
  <c r="L220" i="12"/>
  <c r="N220" i="12" s="1"/>
  <c r="L230" i="12"/>
  <c r="M230" i="12" s="1"/>
  <c r="L61" i="12"/>
  <c r="M61" i="12" s="1"/>
  <c r="L218" i="12"/>
  <c r="N218" i="12" s="1"/>
  <c r="L232" i="12"/>
  <c r="N232" i="12" s="1"/>
  <c r="L209" i="12"/>
  <c r="M209" i="12" s="1"/>
  <c r="L160" i="12"/>
  <c r="N160" i="12" s="1"/>
  <c r="L153" i="12"/>
  <c r="N153" i="12" s="1"/>
  <c r="L154" i="12"/>
  <c r="M154" i="12" s="1"/>
  <c r="L217" i="12"/>
  <c r="N217" i="12" s="1"/>
  <c r="L202" i="12"/>
  <c r="M202" i="12" s="1"/>
  <c r="L219" i="12"/>
  <c r="M219" i="12" s="1"/>
  <c r="L68" i="12"/>
  <c r="N68" i="12" s="1"/>
  <c r="L206" i="12"/>
  <c r="N206" i="12" s="1"/>
  <c r="L212" i="12"/>
  <c r="M212" i="12" s="1"/>
  <c r="L223" i="12"/>
  <c r="N223" i="12" s="1"/>
  <c r="L69" i="12"/>
  <c r="M69" i="12" s="1"/>
  <c r="L162" i="12"/>
  <c r="M162" i="12" s="1"/>
  <c r="L147" i="12"/>
  <c r="M147" i="12" s="1"/>
  <c r="L169" i="12"/>
  <c r="M169" i="12" s="1"/>
  <c r="S250" i="12"/>
  <c r="S294" i="12"/>
  <c r="R310" i="12"/>
  <c r="AA11" i="12"/>
  <c r="L141" i="12"/>
  <c r="P141" i="12" s="1"/>
  <c r="L171" i="12"/>
  <c r="M171" i="12" s="1"/>
  <c r="S176" i="12"/>
  <c r="R259" i="12"/>
  <c r="S308" i="12"/>
  <c r="S289" i="12"/>
  <c r="L203" i="12"/>
  <c r="L231" i="12"/>
  <c r="R302" i="12"/>
  <c r="L70" i="12"/>
  <c r="N70" i="12" s="1"/>
  <c r="L167" i="12"/>
  <c r="M167" i="12" s="1"/>
  <c r="L166" i="12"/>
  <c r="L58" i="12"/>
  <c r="N58" i="12" s="1"/>
  <c r="L52" i="12"/>
  <c r="N52" i="12" s="1"/>
  <c r="L57" i="12"/>
  <c r="M57" i="12" s="1"/>
  <c r="L79" i="12"/>
  <c r="M79" i="12" s="1"/>
  <c r="R258" i="12"/>
  <c r="AA8" i="12"/>
  <c r="L77" i="12"/>
  <c r="M77" i="12" s="1"/>
  <c r="L64" i="12"/>
  <c r="N64" i="12" s="1"/>
  <c r="L54" i="12"/>
  <c r="N54" i="12" s="1"/>
  <c r="S190" i="12"/>
  <c r="S198" i="12"/>
  <c r="R313" i="12"/>
  <c r="S251" i="12"/>
  <c r="S271" i="12"/>
  <c r="L73" i="12"/>
  <c r="L59" i="12"/>
  <c r="M59" i="12" s="1"/>
  <c r="S300" i="12"/>
  <c r="R268" i="12"/>
  <c r="R290" i="12"/>
  <c r="S281" i="12"/>
  <c r="R267" i="12"/>
  <c r="S309" i="12"/>
  <c r="S199" i="12"/>
  <c r="S293" i="12"/>
  <c r="R240" i="12"/>
  <c r="R274" i="12"/>
  <c r="L56" i="12"/>
  <c r="L71" i="12"/>
  <c r="N71" i="12" s="1"/>
  <c r="L65" i="12"/>
  <c r="N65" i="12" s="1"/>
  <c r="R304" i="12"/>
  <c r="R255" i="12"/>
  <c r="S282" i="12"/>
  <c r="S273" i="12"/>
  <c r="L63" i="12"/>
  <c r="N63" i="12" s="1"/>
  <c r="R188" i="12"/>
  <c r="S189" i="12"/>
  <c r="S320" i="12"/>
  <c r="G14" i="5"/>
  <c r="J14" i="5" s="1"/>
  <c r="K14" i="5" s="1"/>
  <c r="L284" i="5" s="1"/>
  <c r="S265" i="12"/>
  <c r="R195" i="12"/>
  <c r="G7" i="5"/>
  <c r="J7" i="5" s="1"/>
  <c r="G16" i="5"/>
  <c r="P16" i="5" s="1"/>
  <c r="G17" i="5"/>
  <c r="J17" i="5" s="1"/>
  <c r="K17" i="5" s="1"/>
  <c r="L371" i="5" s="1"/>
  <c r="R254" i="12"/>
  <c r="S239" i="12"/>
  <c r="S280" i="12"/>
  <c r="G8" i="5"/>
  <c r="P8" i="5" s="1"/>
  <c r="G13" i="5"/>
  <c r="J13" i="5" s="1"/>
  <c r="K13" i="5" s="1"/>
  <c r="L259" i="5" s="1"/>
  <c r="R316" i="12"/>
  <c r="S288" i="12"/>
  <c r="S252" i="12"/>
  <c r="R301" i="12"/>
  <c r="R241" i="12"/>
  <c r="S237" i="12"/>
  <c r="G10" i="5"/>
  <c r="J10" i="5" s="1"/>
  <c r="K10" i="5" s="1"/>
  <c r="L171" i="5" s="1"/>
  <c r="G9" i="5"/>
  <c r="J9" i="5" s="1"/>
  <c r="K9" i="5" s="1"/>
  <c r="L132" i="5" s="1"/>
  <c r="M21" i="11"/>
  <c r="G12" i="5"/>
  <c r="P12" i="5" s="1"/>
  <c r="R323" i="12"/>
  <c r="S311" i="12"/>
  <c r="R269" i="12"/>
  <c r="R295" i="12"/>
  <c r="S276" i="12"/>
  <c r="S174" i="12"/>
  <c r="R283" i="12"/>
  <c r="S178" i="12"/>
  <c r="R196" i="12"/>
  <c r="R253" i="12"/>
  <c r="R173" i="12"/>
  <c r="I21" i="11"/>
  <c r="S175" i="12"/>
  <c r="S299" i="12"/>
  <c r="S257" i="12"/>
  <c r="S324" i="12"/>
  <c r="S236" i="12"/>
  <c r="S177" i="12"/>
  <c r="R184" i="12"/>
  <c r="R191" i="12"/>
  <c r="R181" i="12"/>
  <c r="S234" i="12"/>
  <c r="Y21" i="11"/>
  <c r="G22" i="3"/>
  <c r="R322" i="12"/>
  <c r="S183" i="12"/>
  <c r="R318" i="12"/>
  <c r="R197" i="12"/>
  <c r="R182" i="12"/>
  <c r="S315" i="12"/>
  <c r="R192" i="12"/>
  <c r="R297" i="12"/>
  <c r="R314" i="12"/>
  <c r="M14" i="11"/>
  <c r="E13" i="9" s="1"/>
  <c r="L2" i="11"/>
  <c r="S185" i="12"/>
  <c r="S321" i="12"/>
  <c r="R262" i="12"/>
  <c r="G6" i="5"/>
  <c r="J6" i="5" s="1"/>
  <c r="K6" i="5" s="1"/>
  <c r="L30" i="5" s="1"/>
  <c r="S194" i="12"/>
  <c r="R307" i="12"/>
  <c r="R187" i="12"/>
  <c r="R180" i="12"/>
  <c r="R317" i="12"/>
  <c r="R201" i="12"/>
  <c r="G11" i="5"/>
  <c r="J11" i="5" s="1"/>
  <c r="K11" i="5" s="1"/>
  <c r="L190" i="5" s="1"/>
  <c r="W21" i="11"/>
  <c r="E15" i="4"/>
  <c r="AD55" i="11"/>
  <c r="AD53" i="11"/>
  <c r="AD21" i="13"/>
  <c r="AC22" i="13"/>
  <c r="AD10" i="13"/>
  <c r="AC23" i="13"/>
  <c r="AD23" i="13" s="1"/>
  <c r="N68" i="11"/>
  <c r="O65" i="11"/>
  <c r="O66" i="11"/>
  <c r="N66" i="11" s="1"/>
  <c r="N71" i="11"/>
  <c r="AD49" i="11"/>
  <c r="T2" i="11"/>
  <c r="D2" i="11"/>
  <c r="AC14" i="11"/>
  <c r="AD14" i="11" s="1"/>
  <c r="AD16" i="11"/>
  <c r="E14" i="11"/>
  <c r="E5" i="9" s="1"/>
  <c r="E9" i="4"/>
  <c r="AA21" i="11"/>
  <c r="Z69" i="11"/>
  <c r="U15" i="11"/>
  <c r="N70" i="11"/>
  <c r="N342" i="12"/>
  <c r="M342" i="12"/>
  <c r="N105" i="12"/>
  <c r="M105" i="12"/>
  <c r="N114" i="12"/>
  <c r="M114" i="12"/>
  <c r="N378" i="12"/>
  <c r="M378" i="12"/>
  <c r="N332" i="12"/>
  <c r="M332" i="12"/>
  <c r="N86" i="12"/>
  <c r="M86" i="12"/>
  <c r="M132" i="12"/>
  <c r="N132" i="12"/>
  <c r="M217" i="12"/>
  <c r="N369" i="12"/>
  <c r="M369" i="12"/>
  <c r="N34" i="12"/>
  <c r="M34" i="12"/>
  <c r="N379" i="12"/>
  <c r="M379" i="12"/>
  <c r="N29" i="12"/>
  <c r="M29" i="12"/>
  <c r="Z27" i="12"/>
  <c r="G26" i="12"/>
  <c r="N335" i="12"/>
  <c r="M335" i="12"/>
  <c r="N85" i="12"/>
  <c r="M85" i="12"/>
  <c r="N92" i="12"/>
  <c r="M92" i="12"/>
  <c r="N118" i="12"/>
  <c r="M118" i="12"/>
  <c r="M131" i="12"/>
  <c r="N131" i="12"/>
  <c r="N360" i="12"/>
  <c r="M360" i="12"/>
  <c r="N40" i="12"/>
  <c r="M40" i="12"/>
  <c r="N343" i="12"/>
  <c r="M343" i="12"/>
  <c r="N351" i="12"/>
  <c r="M351" i="12"/>
  <c r="N101" i="12"/>
  <c r="M101" i="12"/>
  <c r="N337" i="12"/>
  <c r="M337" i="12"/>
  <c r="N329" i="12"/>
  <c r="M329" i="12"/>
  <c r="N350" i="12"/>
  <c r="M350" i="12"/>
  <c r="N93" i="12"/>
  <c r="M93" i="12"/>
  <c r="N100" i="12"/>
  <c r="M100" i="12"/>
  <c r="N87" i="12"/>
  <c r="M87" i="12"/>
  <c r="M133" i="12"/>
  <c r="N133" i="12"/>
  <c r="N113" i="12"/>
  <c r="M113" i="12"/>
  <c r="N122" i="12"/>
  <c r="M122" i="12"/>
  <c r="M140" i="12"/>
  <c r="N140" i="12"/>
  <c r="N366" i="12"/>
  <c r="M366" i="12"/>
  <c r="N356" i="12"/>
  <c r="M356" i="12"/>
  <c r="N357" i="12"/>
  <c r="M357" i="12"/>
  <c r="N36" i="12"/>
  <c r="M36" i="12"/>
  <c r="N44" i="12"/>
  <c r="M44" i="12"/>
  <c r="M148" i="12"/>
  <c r="N82" i="12"/>
  <c r="M82" i="12"/>
  <c r="E25" i="12"/>
  <c r="Y26" i="12"/>
  <c r="N370" i="12"/>
  <c r="M370" i="12"/>
  <c r="N43" i="12"/>
  <c r="M43" i="12"/>
  <c r="N98" i="12"/>
  <c r="M98" i="12"/>
  <c r="N336" i="12"/>
  <c r="M336" i="12"/>
  <c r="N107" i="12"/>
  <c r="M107" i="12"/>
  <c r="N97" i="12"/>
  <c r="M97" i="12"/>
  <c r="M136" i="12"/>
  <c r="N136" i="12"/>
  <c r="M126" i="12"/>
  <c r="N126" i="12"/>
  <c r="N380" i="12"/>
  <c r="M380" i="12"/>
  <c r="N50" i="12"/>
  <c r="M50" i="12"/>
  <c r="N339" i="12"/>
  <c r="M339" i="12"/>
  <c r="N90" i="12"/>
  <c r="M90" i="12"/>
  <c r="N377" i="12"/>
  <c r="M377" i="12"/>
  <c r="N45" i="12"/>
  <c r="M45" i="12"/>
  <c r="N328" i="12"/>
  <c r="M328" i="12"/>
  <c r="N345" i="12"/>
  <c r="M345" i="12"/>
  <c r="N352" i="12"/>
  <c r="M352" i="12"/>
  <c r="N103" i="12"/>
  <c r="M103" i="12"/>
  <c r="N94" i="12"/>
  <c r="M94" i="12"/>
  <c r="N104" i="12"/>
  <c r="M104" i="12"/>
  <c r="M127" i="12"/>
  <c r="N127" i="12"/>
  <c r="N119" i="12"/>
  <c r="M119" i="12"/>
  <c r="M135" i="12"/>
  <c r="N135" i="12"/>
  <c r="P381" i="12"/>
  <c r="P380" i="12"/>
  <c r="P379" i="12"/>
  <c r="P378" i="12"/>
  <c r="P377" i="12"/>
  <c r="P376" i="12"/>
  <c r="P374" i="12"/>
  <c r="P373" i="12"/>
  <c r="P372" i="12"/>
  <c r="P371" i="12"/>
  <c r="P370" i="12"/>
  <c r="P369" i="12"/>
  <c r="P367" i="12"/>
  <c r="P366" i="12"/>
  <c r="P365" i="12"/>
  <c r="P364" i="12"/>
  <c r="P363" i="12"/>
  <c r="P362" i="12"/>
  <c r="P360" i="12"/>
  <c r="P359" i="12"/>
  <c r="P358" i="12"/>
  <c r="P357" i="12"/>
  <c r="P356" i="12"/>
  <c r="P355" i="12"/>
  <c r="N355" i="12"/>
  <c r="M355" i="12"/>
  <c r="N364" i="12"/>
  <c r="M364" i="12"/>
  <c r="N362" i="12"/>
  <c r="M362" i="12"/>
  <c r="M31" i="12"/>
  <c r="N31" i="12"/>
  <c r="M27" i="12"/>
  <c r="N27" i="12"/>
  <c r="N42" i="12"/>
  <c r="M42" i="12"/>
  <c r="N331" i="12"/>
  <c r="M331" i="12"/>
  <c r="N96" i="12"/>
  <c r="M96" i="12"/>
  <c r="M138" i="12"/>
  <c r="N138" i="12"/>
  <c r="N367" i="12"/>
  <c r="M367" i="12"/>
  <c r="M37" i="12"/>
  <c r="N37" i="12"/>
  <c r="N349" i="12"/>
  <c r="M349" i="12"/>
  <c r="N110" i="12"/>
  <c r="M110" i="12"/>
  <c r="N115" i="12"/>
  <c r="M115" i="12"/>
  <c r="N358" i="12"/>
  <c r="M358" i="12"/>
  <c r="N51" i="12"/>
  <c r="M51" i="12"/>
  <c r="N338" i="12"/>
  <c r="M338" i="12"/>
  <c r="N80" i="12"/>
  <c r="P110" i="12"/>
  <c r="P108" i="12"/>
  <c r="P107" i="12"/>
  <c r="P106" i="12"/>
  <c r="P105" i="12"/>
  <c r="P104" i="12"/>
  <c r="P103" i="12"/>
  <c r="P101" i="12"/>
  <c r="P97" i="12"/>
  <c r="P84" i="12"/>
  <c r="P93" i="12"/>
  <c r="P89" i="12"/>
  <c r="P80" i="12"/>
  <c r="P98" i="12"/>
  <c r="P85" i="12"/>
  <c r="M80" i="12"/>
  <c r="P92" i="12"/>
  <c r="P100" i="12"/>
  <c r="P96" i="12"/>
  <c r="P91" i="12"/>
  <c r="P83" i="12"/>
  <c r="P82" i="12"/>
  <c r="P86" i="12"/>
  <c r="P94" i="12"/>
  <c r="P87" i="12"/>
  <c r="P90" i="12"/>
  <c r="N117" i="12"/>
  <c r="M117" i="12"/>
  <c r="N365" i="12"/>
  <c r="M365" i="12"/>
  <c r="N108" i="12"/>
  <c r="M108" i="12"/>
  <c r="P135" i="12"/>
  <c r="P131" i="12"/>
  <c r="P126" i="12"/>
  <c r="N111" i="12"/>
  <c r="M111" i="12"/>
  <c r="P136" i="12"/>
  <c r="P132" i="12"/>
  <c r="P127" i="12"/>
  <c r="P125" i="12"/>
  <c r="P124" i="12"/>
  <c r="P122" i="12"/>
  <c r="P121" i="12"/>
  <c r="P120" i="12"/>
  <c r="P119" i="12"/>
  <c r="P118" i="12"/>
  <c r="P117" i="12"/>
  <c r="P115" i="12"/>
  <c r="P114" i="12"/>
  <c r="P113" i="12"/>
  <c r="P112" i="12"/>
  <c r="P111" i="12"/>
  <c r="P140" i="12"/>
  <c r="P129" i="12"/>
  <c r="P133" i="12"/>
  <c r="P134" i="12"/>
  <c r="P128" i="12"/>
  <c r="P138" i="12"/>
  <c r="N120" i="12"/>
  <c r="M120" i="12"/>
  <c r="M129" i="12"/>
  <c r="N129" i="12"/>
  <c r="N359" i="12"/>
  <c r="M359" i="12"/>
  <c r="N374" i="12"/>
  <c r="M374" i="12"/>
  <c r="N372" i="12"/>
  <c r="M372" i="12"/>
  <c r="N41" i="12"/>
  <c r="M41" i="12"/>
  <c r="N28" i="12"/>
  <c r="M28" i="12"/>
  <c r="N47" i="12"/>
  <c r="M47" i="12"/>
  <c r="M170" i="12"/>
  <c r="N170" i="12"/>
  <c r="N106" i="12"/>
  <c r="M106" i="12"/>
  <c r="N124" i="12"/>
  <c r="M124" i="12"/>
  <c r="M216" i="12"/>
  <c r="N216" i="12"/>
  <c r="N49" i="12"/>
  <c r="M49" i="12"/>
  <c r="N334" i="12"/>
  <c r="M334" i="12"/>
  <c r="N84" i="12"/>
  <c r="M84" i="12"/>
  <c r="N125" i="12"/>
  <c r="M125" i="12"/>
  <c r="N371" i="12"/>
  <c r="M371" i="12"/>
  <c r="M30" i="12"/>
  <c r="N30" i="12"/>
  <c r="N330" i="12"/>
  <c r="M330" i="12"/>
  <c r="N344" i="12"/>
  <c r="M344" i="12"/>
  <c r="M128" i="12"/>
  <c r="N128" i="12"/>
  <c r="N381" i="12"/>
  <c r="M381" i="12"/>
  <c r="N35" i="12"/>
  <c r="M35" i="12"/>
  <c r="N341" i="12"/>
  <c r="M341" i="12"/>
  <c r="N353" i="12"/>
  <c r="M353" i="12"/>
  <c r="P353" i="12"/>
  <c r="P352" i="12"/>
  <c r="P351" i="12"/>
  <c r="P350" i="12"/>
  <c r="P349" i="12"/>
  <c r="P346" i="12"/>
  <c r="P344" i="12"/>
  <c r="P338" i="12"/>
  <c r="N325" i="12"/>
  <c r="P342" i="12"/>
  <c r="P339" i="12"/>
  <c r="P345" i="12"/>
  <c r="P331" i="12"/>
  <c r="P329" i="12"/>
  <c r="M325" i="12"/>
  <c r="P336" i="12"/>
  <c r="P334" i="12"/>
  <c r="P343" i="12"/>
  <c r="P341" i="12"/>
  <c r="P325" i="12"/>
  <c r="P335" i="12"/>
  <c r="P328" i="12"/>
  <c r="P337" i="12"/>
  <c r="P330" i="12"/>
  <c r="P332" i="12"/>
  <c r="N346" i="12"/>
  <c r="M346" i="12"/>
  <c r="N89" i="12"/>
  <c r="M89" i="12"/>
  <c r="N91" i="12"/>
  <c r="M91" i="12"/>
  <c r="N83" i="12"/>
  <c r="M83" i="12"/>
  <c r="N112" i="12"/>
  <c r="M112" i="12"/>
  <c r="N121" i="12"/>
  <c r="M121" i="12"/>
  <c r="M134" i="12"/>
  <c r="N134" i="12"/>
  <c r="N373" i="12"/>
  <c r="M373" i="12"/>
  <c r="N363" i="12"/>
  <c r="M363" i="12"/>
  <c r="N376" i="12"/>
  <c r="M376" i="12"/>
  <c r="N26" i="12"/>
  <c r="M26" i="12"/>
  <c r="U30" i="12"/>
  <c r="P36" i="12"/>
  <c r="P41" i="12"/>
  <c r="P27" i="12"/>
  <c r="U37" i="12"/>
  <c r="U51" i="12"/>
  <c r="P40" i="12"/>
  <c r="U35" i="12"/>
  <c r="P47" i="12"/>
  <c r="U45" i="12"/>
  <c r="U43" i="12"/>
  <c r="U29" i="12"/>
  <c r="P38" i="12"/>
  <c r="P35" i="12"/>
  <c r="P51" i="12"/>
  <c r="P45" i="12"/>
  <c r="U36" i="12"/>
  <c r="U48" i="12"/>
  <c r="U38" i="12"/>
  <c r="U34" i="12"/>
  <c r="U50" i="12"/>
  <c r="U42" i="12"/>
  <c r="P42" i="12"/>
  <c r="U28" i="12"/>
  <c r="U40" i="12"/>
  <c r="P29" i="12"/>
  <c r="P43" i="12"/>
  <c r="P34" i="12"/>
  <c r="P50" i="12"/>
  <c r="U27" i="12"/>
  <c r="P49" i="12"/>
  <c r="P48" i="12"/>
  <c r="P26" i="12"/>
  <c r="P44" i="12"/>
  <c r="P30" i="12"/>
  <c r="U47" i="12"/>
  <c r="U44" i="12"/>
  <c r="U31" i="12"/>
  <c r="P31" i="12"/>
  <c r="P37" i="12"/>
  <c r="U26" i="12"/>
  <c r="U49" i="12"/>
  <c r="U41" i="12"/>
  <c r="P28" i="12"/>
  <c r="N38" i="12"/>
  <c r="M38" i="12"/>
  <c r="N48" i="12"/>
  <c r="M48" i="12"/>
  <c r="N76" i="12"/>
  <c r="M76" i="12"/>
  <c r="Z9" i="11"/>
  <c r="Z10" i="11" s="1"/>
  <c r="AA10" i="11" s="1"/>
  <c r="Z59" i="11"/>
  <c r="AA59" i="11" s="1"/>
  <c r="Q158" i="7"/>
  <c r="Q165" i="7"/>
  <c r="Q164" i="7"/>
  <c r="Q156" i="7"/>
  <c r="Q168" i="7"/>
  <c r="Q157" i="7"/>
  <c r="N155" i="7"/>
  <c r="O155" i="7"/>
  <c r="Q155" i="7"/>
  <c r="Q159" i="7"/>
  <c r="Q161" i="7"/>
  <c r="Q167" i="7"/>
  <c r="Q160" i="7"/>
  <c r="Q162" i="7"/>
  <c r="O162" i="7"/>
  <c r="N162" i="7"/>
  <c r="Q166" i="7"/>
  <c r="Q151" i="7"/>
  <c r="Q154" i="7"/>
  <c r="Q150" i="7"/>
  <c r="Q149" i="7"/>
  <c r="Q153" i="7"/>
  <c r="Q152" i="7"/>
  <c r="I29" i="7"/>
  <c r="I22" i="7"/>
  <c r="Q146" i="7"/>
  <c r="Q139" i="7"/>
  <c r="Q144" i="7"/>
  <c r="O148" i="7"/>
  <c r="Q148" i="7"/>
  <c r="Q147" i="7"/>
  <c r="Q145" i="7"/>
  <c r="O141" i="7"/>
  <c r="R141" i="7" s="1"/>
  <c r="Q141" i="7"/>
  <c r="O142" i="7"/>
  <c r="Q142" i="7"/>
  <c r="Q143" i="7"/>
  <c r="O143" i="7"/>
  <c r="R143" i="7" s="1"/>
  <c r="Q138" i="7"/>
  <c r="O140" i="7"/>
  <c r="R140" i="7" s="1"/>
  <c r="Q140" i="7"/>
  <c r="B7" i="7"/>
  <c r="C6" i="7"/>
  <c r="L6" i="7" s="1"/>
  <c r="J59" i="11"/>
  <c r="K59" i="11" s="1"/>
  <c r="J9" i="11"/>
  <c r="J10" i="11" s="1"/>
  <c r="J23" i="11" s="1"/>
  <c r="K23" i="11" s="1"/>
  <c r="R59" i="11"/>
  <c r="S59" i="11" s="1"/>
  <c r="F60" i="11"/>
  <c r="G60" i="11" s="1"/>
  <c r="Z70" i="11"/>
  <c r="R67" i="11"/>
  <c r="U21" i="11"/>
  <c r="G21" i="11"/>
  <c r="N15" i="5"/>
  <c r="P15" i="5"/>
  <c r="R9" i="11"/>
  <c r="R10" i="11" s="1"/>
  <c r="Z68" i="11"/>
  <c r="AA65" i="11"/>
  <c r="Z65" i="11" s="1"/>
  <c r="O15" i="11"/>
  <c r="O14" i="11"/>
  <c r="E15" i="9" s="1"/>
  <c r="O2" i="11"/>
  <c r="N19" i="11" s="1"/>
  <c r="O19" i="11" s="1"/>
  <c r="O21" i="11" s="1"/>
  <c r="AD45" i="11"/>
  <c r="P59" i="11"/>
  <c r="P60" i="11" s="1"/>
  <c r="Q60" i="11" s="1"/>
  <c r="AA66" i="11"/>
  <c r="Z66" i="11" s="1"/>
  <c r="M59" i="11"/>
  <c r="L60" i="11"/>
  <c r="M60" i="11" s="1"/>
  <c r="U59" i="11"/>
  <c r="T60" i="11"/>
  <c r="U60" i="11" s="1"/>
  <c r="AD31" i="11"/>
  <c r="K15" i="11"/>
  <c r="K2" i="11"/>
  <c r="J19" i="11" s="1"/>
  <c r="K14" i="11"/>
  <c r="E11" i="9" s="1"/>
  <c r="AA15" i="11"/>
  <c r="AA14" i="11"/>
  <c r="E27" i="9" s="1"/>
  <c r="Z2" i="11"/>
  <c r="Y14" i="11"/>
  <c r="E25" i="9" s="1"/>
  <c r="X2" i="11"/>
  <c r="Y15" i="11"/>
  <c r="T69" i="11"/>
  <c r="U66" i="11"/>
  <c r="T66" i="11" s="1"/>
  <c r="T71" i="11"/>
  <c r="T68" i="11"/>
  <c r="U65" i="11"/>
  <c r="T70" i="11"/>
  <c r="AD51" i="11"/>
  <c r="AD12" i="11"/>
  <c r="AD42" i="11"/>
  <c r="S21" i="11"/>
  <c r="W14" i="11"/>
  <c r="E23" i="9" s="1"/>
  <c r="V2" i="11"/>
  <c r="W15" i="11"/>
  <c r="AD46" i="11"/>
  <c r="U58" i="11"/>
  <c r="T9" i="11"/>
  <c r="AD8" i="11"/>
  <c r="AD38" i="11"/>
  <c r="Q15" i="11"/>
  <c r="Q2" i="11"/>
  <c r="P19" i="11" s="1"/>
  <c r="Q14" i="11"/>
  <c r="E17" i="9" s="1"/>
  <c r="Q65" i="11"/>
  <c r="P68" i="11"/>
  <c r="P70" i="11"/>
  <c r="P71" i="11"/>
  <c r="Q66" i="11"/>
  <c r="P66" i="11" s="1"/>
  <c r="P69" i="11"/>
  <c r="I14" i="11"/>
  <c r="E9" i="9" s="1"/>
  <c r="H2" i="11"/>
  <c r="I15" i="11"/>
  <c r="O58" i="11"/>
  <c r="N9" i="11"/>
  <c r="E59" i="11"/>
  <c r="AD41" i="11"/>
  <c r="AD29" i="11"/>
  <c r="H9" i="11"/>
  <c r="X9" i="11"/>
  <c r="Y58" i="11"/>
  <c r="W58" i="11"/>
  <c r="V9" i="11"/>
  <c r="V69" i="11"/>
  <c r="W66" i="11"/>
  <c r="V66" i="11" s="1"/>
  <c r="V70" i="11"/>
  <c r="W65" i="11"/>
  <c r="V65" i="11" s="1"/>
  <c r="V71" i="11"/>
  <c r="V68" i="11"/>
  <c r="AD17" i="11"/>
  <c r="D69" i="11"/>
  <c r="E66" i="11"/>
  <c r="D66" i="11" s="1"/>
  <c r="D68" i="11"/>
  <c r="D70" i="11"/>
  <c r="D71" i="11"/>
  <c r="AC64" i="11"/>
  <c r="AD33" i="11"/>
  <c r="P9" i="11"/>
  <c r="AC18" i="11"/>
  <c r="AD18" i="11" s="1"/>
  <c r="AD28" i="11"/>
  <c r="AD44" i="11"/>
  <c r="AD56" i="11"/>
  <c r="AD47" i="11"/>
  <c r="AD27" i="11"/>
  <c r="AD48" i="11"/>
  <c r="AD40" i="11"/>
  <c r="AD36" i="11"/>
  <c r="AD54" i="11"/>
  <c r="AD43" i="11"/>
  <c r="AD35" i="11"/>
  <c r="AD34" i="11"/>
  <c r="AD32" i="11"/>
  <c r="AD30" i="11"/>
  <c r="AD13" i="11"/>
  <c r="L71" i="11"/>
  <c r="M66" i="11"/>
  <c r="L66" i="11" s="1"/>
  <c r="L69" i="11"/>
  <c r="M65" i="11"/>
  <c r="L65" i="11" s="1"/>
  <c r="L70" i="11"/>
  <c r="L68" i="11"/>
  <c r="AD37" i="11"/>
  <c r="I65" i="11"/>
  <c r="H70" i="11"/>
  <c r="H69" i="11"/>
  <c r="H68" i="11"/>
  <c r="H71" i="11"/>
  <c r="I66" i="11"/>
  <c r="H66" i="11" s="1"/>
  <c r="Y65" i="11"/>
  <c r="X65" i="11" s="1"/>
  <c r="X70" i="11"/>
  <c r="X71" i="11"/>
  <c r="X68" i="11"/>
  <c r="X69" i="11"/>
  <c r="Y66" i="11"/>
  <c r="X66" i="11" s="1"/>
  <c r="G58" i="11"/>
  <c r="F9" i="11"/>
  <c r="F69" i="11"/>
  <c r="G66" i="11"/>
  <c r="F66" i="11" s="1"/>
  <c r="F70" i="11"/>
  <c r="G65" i="11"/>
  <c r="F68" i="11"/>
  <c r="F71" i="11"/>
  <c r="D60" i="11"/>
  <c r="AD15" i="11"/>
  <c r="M58" i="11"/>
  <c r="L9" i="11"/>
  <c r="N60" i="11"/>
  <c r="O60" i="11" s="1"/>
  <c r="AD52" i="11"/>
  <c r="G14" i="11"/>
  <c r="E7" i="9" s="1"/>
  <c r="F2" i="11"/>
  <c r="G15" i="11"/>
  <c r="J70" i="11"/>
  <c r="J71" i="11"/>
  <c r="J69" i="11"/>
  <c r="K65" i="11"/>
  <c r="K66" i="11"/>
  <c r="J66" i="11" s="1"/>
  <c r="J68" i="11"/>
  <c r="AD50" i="11"/>
  <c r="AD20" i="11"/>
  <c r="S15" i="11"/>
  <c r="S14" i="11"/>
  <c r="E19" i="9" s="1"/>
  <c r="R2" i="11"/>
  <c r="X60" i="11"/>
  <c r="Y60" i="11" s="1"/>
  <c r="E58" i="11"/>
  <c r="AC58" i="11"/>
  <c r="AD58" i="11" s="1"/>
  <c r="D9" i="11"/>
  <c r="E21" i="11"/>
  <c r="H59" i="11"/>
  <c r="S67" i="11"/>
  <c r="AD39" i="11"/>
  <c r="V60" i="11"/>
  <c r="W60" i="11" s="1"/>
  <c r="AA23" i="5"/>
  <c r="E22" i="5"/>
  <c r="L324" i="5"/>
  <c r="L304" i="5"/>
  <c r="L300" i="5"/>
  <c r="L296" i="5"/>
  <c r="L322" i="5"/>
  <c r="L315" i="5"/>
  <c r="L305" i="5"/>
  <c r="L301" i="5"/>
  <c r="L319" i="5"/>
  <c r="L317" i="5"/>
  <c r="L311" i="5"/>
  <c r="L309" i="5"/>
  <c r="L312" i="5"/>
  <c r="L314" i="5"/>
  <c r="L310" i="5"/>
  <c r="L321" i="5"/>
  <c r="L303" i="5"/>
  <c r="L302" i="5"/>
  <c r="L316" i="5"/>
  <c r="L295" i="5"/>
  <c r="L298" i="5"/>
  <c r="L323" i="5"/>
  <c r="L318" i="5"/>
  <c r="L308" i="5"/>
  <c r="L294" i="5"/>
  <c r="L297" i="5"/>
  <c r="AC14" i="5"/>
  <c r="G23" i="3"/>
  <c r="E22" i="3"/>
  <c r="C22" i="14"/>
  <c r="C16" i="14"/>
  <c r="C27" i="14"/>
  <c r="M164" i="12" l="1"/>
  <c r="G7" i="3"/>
  <c r="I7" i="3" s="1"/>
  <c r="AG27" i="3" s="1"/>
  <c r="G17" i="3"/>
  <c r="I17" i="3" s="1"/>
  <c r="B24" i="10" s="1"/>
  <c r="G13" i="3"/>
  <c r="I13" i="3" s="1"/>
  <c r="P9" i="3"/>
  <c r="G16" i="3"/>
  <c r="P16" i="3" s="1"/>
  <c r="G18" i="3"/>
  <c r="I18" i="3" s="1"/>
  <c r="K18" i="3" s="1"/>
  <c r="AA18" i="3" s="1"/>
  <c r="G14" i="3"/>
  <c r="I14" i="3" s="1"/>
  <c r="Q14" i="3" s="1"/>
  <c r="C33" i="14"/>
  <c r="C35" i="14" s="1"/>
  <c r="G15" i="3"/>
  <c r="I15" i="3" s="1"/>
  <c r="K15" i="3" s="1"/>
  <c r="G12" i="3"/>
  <c r="I12" i="3" s="1"/>
  <c r="N12" i="3" s="1"/>
  <c r="G11" i="3"/>
  <c r="P11" i="3" s="1"/>
  <c r="G8" i="3"/>
  <c r="I8" i="3" s="1"/>
  <c r="K8" i="3" s="1"/>
  <c r="Z23" i="5"/>
  <c r="G22" i="5"/>
  <c r="G10" i="3"/>
  <c r="P10" i="3" s="1"/>
  <c r="F17" i="14"/>
  <c r="I17" i="14"/>
  <c r="F25" i="14"/>
  <c r="F27" i="14" s="1"/>
  <c r="F28" i="14" s="1"/>
  <c r="AG41" i="3"/>
  <c r="M156" i="12"/>
  <c r="M150" i="12"/>
  <c r="M155" i="12"/>
  <c r="M157" i="12"/>
  <c r="N142" i="12"/>
  <c r="N152" i="12"/>
  <c r="N149" i="12"/>
  <c r="M210" i="12"/>
  <c r="N161" i="12"/>
  <c r="M159" i="12"/>
  <c r="M227" i="12"/>
  <c r="N72" i="12"/>
  <c r="M225" i="12"/>
  <c r="M226" i="12"/>
  <c r="M78" i="12"/>
  <c r="N61" i="12"/>
  <c r="N202" i="12"/>
  <c r="N208" i="12"/>
  <c r="M68" i="12"/>
  <c r="L140" i="5"/>
  <c r="M140" i="5" s="1"/>
  <c r="N66" i="12"/>
  <c r="N209" i="12"/>
  <c r="N169" i="12"/>
  <c r="L372" i="5"/>
  <c r="N372" i="5" s="1"/>
  <c r="M160" i="12"/>
  <c r="M232" i="12"/>
  <c r="N211" i="12"/>
  <c r="N168" i="12"/>
  <c r="N205" i="12"/>
  <c r="P156" i="12"/>
  <c r="S156" i="12" s="1"/>
  <c r="L357" i="5"/>
  <c r="N357" i="5" s="1"/>
  <c r="M206" i="12"/>
  <c r="N212" i="12"/>
  <c r="M229" i="12"/>
  <c r="P7" i="5"/>
  <c r="L277" i="5"/>
  <c r="M277" i="5" s="1"/>
  <c r="N163" i="12"/>
  <c r="N204" i="12"/>
  <c r="N171" i="12"/>
  <c r="N162" i="12"/>
  <c r="M153" i="12"/>
  <c r="M141" i="12"/>
  <c r="M223" i="12"/>
  <c r="N154" i="12"/>
  <c r="M220" i="12"/>
  <c r="M213" i="12"/>
  <c r="P215" i="12"/>
  <c r="R215" i="12" s="1"/>
  <c r="P164" i="12"/>
  <c r="S164" i="12" s="1"/>
  <c r="N69" i="12"/>
  <c r="P162" i="12"/>
  <c r="R162" i="12" s="1"/>
  <c r="P155" i="12"/>
  <c r="S155" i="12" s="1"/>
  <c r="P150" i="12"/>
  <c r="R150" i="12" s="1"/>
  <c r="L381" i="5"/>
  <c r="N381" i="5" s="1"/>
  <c r="P161" i="12"/>
  <c r="S161" i="12" s="1"/>
  <c r="P163" i="12"/>
  <c r="R163" i="12" s="1"/>
  <c r="P159" i="12"/>
  <c r="S159" i="12" s="1"/>
  <c r="N55" i="12"/>
  <c r="P170" i="12"/>
  <c r="S170" i="12" s="1"/>
  <c r="P216" i="12"/>
  <c r="S216" i="12" s="1"/>
  <c r="P153" i="12"/>
  <c r="S153" i="12" s="1"/>
  <c r="L196" i="5"/>
  <c r="M196" i="5" s="1"/>
  <c r="L115" i="5"/>
  <c r="N115" i="5" s="1"/>
  <c r="L233" i="5"/>
  <c r="P233" i="5" s="1"/>
  <c r="L133" i="5"/>
  <c r="M133" i="5" s="1"/>
  <c r="L262" i="5"/>
  <c r="M262" i="5" s="1"/>
  <c r="L266" i="5"/>
  <c r="M266" i="5" s="1"/>
  <c r="P149" i="12"/>
  <c r="S149" i="12" s="1"/>
  <c r="M224" i="12"/>
  <c r="P202" i="12"/>
  <c r="R202" i="12" s="1"/>
  <c r="P157" i="12"/>
  <c r="S157" i="12" s="1"/>
  <c r="M218" i="12"/>
  <c r="N219" i="12"/>
  <c r="N147" i="12"/>
  <c r="N230" i="12"/>
  <c r="P206" i="12"/>
  <c r="S206" i="12" s="1"/>
  <c r="L160" i="5"/>
  <c r="M160" i="5" s="1"/>
  <c r="L367" i="5"/>
  <c r="N367" i="5" s="1"/>
  <c r="L282" i="5"/>
  <c r="M282" i="5" s="1"/>
  <c r="M215" i="12"/>
  <c r="P213" i="12"/>
  <c r="R213" i="12" s="1"/>
  <c r="P147" i="12"/>
  <c r="S147" i="12" s="1"/>
  <c r="N141" i="12"/>
  <c r="P231" i="12"/>
  <c r="R231" i="12" s="1"/>
  <c r="L168" i="5"/>
  <c r="M168" i="5" s="1"/>
  <c r="P152" i="12"/>
  <c r="S152" i="12" s="1"/>
  <c r="P148" i="12"/>
  <c r="S148" i="12" s="1"/>
  <c r="L165" i="5"/>
  <c r="M165" i="5" s="1"/>
  <c r="L275" i="5"/>
  <c r="N275" i="5" s="1"/>
  <c r="P166" i="12"/>
  <c r="R166" i="12" s="1"/>
  <c r="N167" i="12"/>
  <c r="L276" i="5"/>
  <c r="M276" i="5" s="1"/>
  <c r="L291" i="5"/>
  <c r="N291" i="5" s="1"/>
  <c r="U226" i="12"/>
  <c r="W226" i="12" s="1"/>
  <c r="P167" i="12"/>
  <c r="R167" i="12" s="1"/>
  <c r="L258" i="5"/>
  <c r="N258" i="5" s="1"/>
  <c r="L164" i="5"/>
  <c r="M164" i="5" s="1"/>
  <c r="L268" i="5"/>
  <c r="M268" i="5" s="1"/>
  <c r="P13" i="5"/>
  <c r="N9" i="5"/>
  <c r="L125" i="5"/>
  <c r="N125" i="5" s="1"/>
  <c r="L147" i="5"/>
  <c r="N147" i="5" s="1"/>
  <c r="L251" i="5"/>
  <c r="M251" i="5" s="1"/>
  <c r="P11" i="5"/>
  <c r="L150" i="5"/>
  <c r="N150" i="5" s="1"/>
  <c r="L31" i="5"/>
  <c r="N31" i="5" s="1"/>
  <c r="L122" i="5"/>
  <c r="N122" i="5" s="1"/>
  <c r="L169" i="5"/>
  <c r="N169" i="5" s="1"/>
  <c r="L174" i="5"/>
  <c r="N174" i="5" s="1"/>
  <c r="L46" i="5"/>
  <c r="N46" i="5" s="1"/>
  <c r="M64" i="12"/>
  <c r="L119" i="5"/>
  <c r="N119" i="5" s="1"/>
  <c r="L123" i="5"/>
  <c r="N123" i="5" s="1"/>
  <c r="L161" i="5"/>
  <c r="N161" i="5" s="1"/>
  <c r="L172" i="5"/>
  <c r="L270" i="5"/>
  <c r="N270" i="5" s="1"/>
  <c r="L288" i="5"/>
  <c r="N288" i="5" s="1"/>
  <c r="N59" i="12"/>
  <c r="U54" i="12"/>
  <c r="X54" i="12" s="1"/>
  <c r="P54" i="12"/>
  <c r="R54" i="12" s="1"/>
  <c r="L157" i="5"/>
  <c r="N157" i="5" s="1"/>
  <c r="L151" i="5"/>
  <c r="M151" i="5" s="1"/>
  <c r="L162" i="5"/>
  <c r="M162" i="5" s="1"/>
  <c r="L155" i="5"/>
  <c r="M155" i="5" s="1"/>
  <c r="M58" i="12"/>
  <c r="U55" i="12"/>
  <c r="W55" i="12" s="1"/>
  <c r="M54" i="12"/>
  <c r="M52" i="12"/>
  <c r="P154" i="12"/>
  <c r="R154" i="12" s="1"/>
  <c r="P171" i="12"/>
  <c r="R171" i="12" s="1"/>
  <c r="P169" i="12"/>
  <c r="R169" i="12" s="1"/>
  <c r="L170" i="5"/>
  <c r="M170" i="5" s="1"/>
  <c r="L148" i="5"/>
  <c r="N148" i="5" s="1"/>
  <c r="J8" i="5"/>
  <c r="N8" i="5" s="1"/>
  <c r="L134" i="5"/>
  <c r="M134" i="5" s="1"/>
  <c r="L153" i="5"/>
  <c r="M153" i="5" s="1"/>
  <c r="L156" i="5"/>
  <c r="M156" i="5" s="1"/>
  <c r="L240" i="5"/>
  <c r="N240" i="5" s="1"/>
  <c r="AC13" i="5"/>
  <c r="L272" i="5"/>
  <c r="N272" i="5" s="1"/>
  <c r="P55" i="12"/>
  <c r="S55" i="12" s="1"/>
  <c r="P160" i="12"/>
  <c r="R160" i="12" s="1"/>
  <c r="P142" i="12"/>
  <c r="R142" i="12" s="1"/>
  <c r="U58" i="12"/>
  <c r="W58" i="12" s="1"/>
  <c r="L373" i="5"/>
  <c r="N373" i="5" s="1"/>
  <c r="P52" i="12"/>
  <c r="R52" i="12" s="1"/>
  <c r="U135" i="12"/>
  <c r="X135" i="12" s="1"/>
  <c r="U274" i="12"/>
  <c r="X274" i="12" s="1"/>
  <c r="U52" i="12"/>
  <c r="W52" i="12" s="1"/>
  <c r="P73" i="12"/>
  <c r="R73" i="12" s="1"/>
  <c r="L382" i="5"/>
  <c r="N382" i="5" s="1"/>
  <c r="M63" i="12"/>
  <c r="U168" i="12"/>
  <c r="W168" i="12" s="1"/>
  <c r="M65" i="12"/>
  <c r="P64" i="12"/>
  <c r="R64" i="12" s="1"/>
  <c r="L41" i="5"/>
  <c r="N41" i="5" s="1"/>
  <c r="L287" i="5"/>
  <c r="M287" i="5" s="1"/>
  <c r="U232" i="12"/>
  <c r="X232" i="12" s="1"/>
  <c r="U132" i="12"/>
  <c r="X132" i="12" s="1"/>
  <c r="P212" i="12"/>
  <c r="S212" i="12" s="1"/>
  <c r="U230" i="12"/>
  <c r="X230" i="12" s="1"/>
  <c r="U206" i="12"/>
  <c r="W206" i="12" s="1"/>
  <c r="U208" i="12"/>
  <c r="W208" i="12" s="1"/>
  <c r="U103" i="12"/>
  <c r="W103" i="12" s="1"/>
  <c r="U371" i="12"/>
  <c r="X371" i="12" s="1"/>
  <c r="U357" i="12"/>
  <c r="X357" i="12" s="1"/>
  <c r="U318" i="12"/>
  <c r="X318" i="12" s="1"/>
  <c r="U322" i="12"/>
  <c r="W322" i="12" s="1"/>
  <c r="U77" i="12"/>
  <c r="W77" i="12" s="1"/>
  <c r="U224" i="12"/>
  <c r="W224" i="12" s="1"/>
  <c r="U332" i="12"/>
  <c r="W332" i="12" s="1"/>
  <c r="U121" i="12"/>
  <c r="W121" i="12" s="1"/>
  <c r="P209" i="12"/>
  <c r="R209" i="12" s="1"/>
  <c r="P225" i="12"/>
  <c r="R225" i="12" s="1"/>
  <c r="P218" i="12"/>
  <c r="R218" i="12" s="1"/>
  <c r="P58" i="12"/>
  <c r="R58" i="12" s="1"/>
  <c r="N231" i="12"/>
  <c r="U373" i="12"/>
  <c r="X373" i="12" s="1"/>
  <c r="U349" i="12"/>
  <c r="X349" i="12" s="1"/>
  <c r="U356" i="12"/>
  <c r="X356" i="12" s="1"/>
  <c r="U237" i="12"/>
  <c r="W237" i="12" s="1"/>
  <c r="U56" i="12"/>
  <c r="W56" i="12" s="1"/>
  <c r="U313" i="12"/>
  <c r="X313" i="12" s="1"/>
  <c r="U253" i="12"/>
  <c r="W253" i="12" s="1"/>
  <c r="U181" i="12"/>
  <c r="W181" i="12" s="1"/>
  <c r="U372" i="12"/>
  <c r="W372" i="12" s="1"/>
  <c r="U138" i="12"/>
  <c r="X138" i="12" s="1"/>
  <c r="P224" i="12"/>
  <c r="R224" i="12" s="1"/>
  <c r="P69" i="12"/>
  <c r="R69" i="12" s="1"/>
  <c r="M231" i="12"/>
  <c r="U258" i="12"/>
  <c r="X258" i="12" s="1"/>
  <c r="L358" i="5"/>
  <c r="N358" i="5" s="1"/>
  <c r="L378" i="5"/>
  <c r="N378" i="5" s="1"/>
  <c r="L375" i="5"/>
  <c r="N375" i="5" s="1"/>
  <c r="AC16" i="5"/>
  <c r="L359" i="5"/>
  <c r="N359" i="5" s="1"/>
  <c r="L360" i="5"/>
  <c r="N360" i="5" s="1"/>
  <c r="L379" i="5"/>
  <c r="N379" i="5" s="1"/>
  <c r="L364" i="5"/>
  <c r="N364" i="5" s="1"/>
  <c r="L366" i="5"/>
  <c r="M366" i="5" s="1"/>
  <c r="L365" i="5"/>
  <c r="N365" i="5" s="1"/>
  <c r="U209" i="12"/>
  <c r="W209" i="12" s="1"/>
  <c r="U344" i="12"/>
  <c r="X344" i="12" s="1"/>
  <c r="U72" i="12"/>
  <c r="W72" i="12" s="1"/>
  <c r="U282" i="12"/>
  <c r="X282" i="12" s="1"/>
  <c r="U334" i="12"/>
  <c r="X334" i="12" s="1"/>
  <c r="U301" i="12"/>
  <c r="W301" i="12" s="1"/>
  <c r="U212" i="12"/>
  <c r="X212" i="12" s="1"/>
  <c r="U154" i="12"/>
  <c r="X154" i="12" s="1"/>
  <c r="P203" i="12"/>
  <c r="R203" i="12" s="1"/>
  <c r="P65" i="12"/>
  <c r="S65" i="12" s="1"/>
  <c r="U218" i="12"/>
  <c r="W218" i="12" s="1"/>
  <c r="U342" i="12"/>
  <c r="W342" i="12" s="1"/>
  <c r="U374" i="12"/>
  <c r="W374" i="12" s="1"/>
  <c r="U175" i="12"/>
  <c r="X175" i="12" s="1"/>
  <c r="U131" i="12"/>
  <c r="W131" i="12" s="1"/>
  <c r="M71" i="12"/>
  <c r="P226" i="12"/>
  <c r="R226" i="12" s="1"/>
  <c r="P227" i="12"/>
  <c r="R227" i="12" s="1"/>
  <c r="P57" i="12"/>
  <c r="R57" i="12" s="1"/>
  <c r="M203" i="12"/>
  <c r="U86" i="12"/>
  <c r="X86" i="12" s="1"/>
  <c r="U315" i="12"/>
  <c r="X315" i="12" s="1"/>
  <c r="L363" i="5"/>
  <c r="N363" i="5" s="1"/>
  <c r="L370" i="5"/>
  <c r="N370" i="5" s="1"/>
  <c r="P17" i="5"/>
  <c r="U379" i="12"/>
  <c r="X379" i="12" s="1"/>
  <c r="U307" i="12"/>
  <c r="X307" i="12" s="1"/>
  <c r="U71" i="12"/>
  <c r="X71" i="12" s="1"/>
  <c r="U345" i="12"/>
  <c r="X345" i="12" s="1"/>
  <c r="U65" i="12"/>
  <c r="X65" i="12" s="1"/>
  <c r="U61" i="12"/>
  <c r="W61" i="12" s="1"/>
  <c r="U101" i="12"/>
  <c r="W101" i="12" s="1"/>
  <c r="U196" i="12"/>
  <c r="X196" i="12" s="1"/>
  <c r="N56" i="12"/>
  <c r="P230" i="12"/>
  <c r="S230" i="12" s="1"/>
  <c r="P223" i="12"/>
  <c r="R223" i="12" s="1"/>
  <c r="P229" i="12"/>
  <c r="S229" i="12" s="1"/>
  <c r="P68" i="12"/>
  <c r="R68" i="12" s="1"/>
  <c r="N203" i="12"/>
  <c r="U303" i="12"/>
  <c r="X303" i="12" s="1"/>
  <c r="N79" i="12"/>
  <c r="L380" i="5"/>
  <c r="N380" i="5" s="1"/>
  <c r="U281" i="12"/>
  <c r="X281" i="12" s="1"/>
  <c r="U267" i="12"/>
  <c r="X267" i="12" s="1"/>
  <c r="U377" i="12"/>
  <c r="X377" i="12" s="1"/>
  <c r="U202" i="12"/>
  <c r="X202" i="12" s="1"/>
  <c r="U380" i="12"/>
  <c r="X380" i="12" s="1"/>
  <c r="P56" i="12"/>
  <c r="R56" i="12" s="1"/>
  <c r="L377" i="5"/>
  <c r="N377" i="5" s="1"/>
  <c r="L356" i="5"/>
  <c r="L374" i="5"/>
  <c r="M374" i="5" s="1"/>
  <c r="L361" i="5"/>
  <c r="M361" i="5" s="1"/>
  <c r="L368" i="5"/>
  <c r="N368" i="5" s="1"/>
  <c r="N17" i="5"/>
  <c r="U57" i="12"/>
  <c r="W57" i="12" s="1"/>
  <c r="U223" i="12"/>
  <c r="X223" i="12" s="1"/>
  <c r="U351" i="12"/>
  <c r="W351" i="12" s="1"/>
  <c r="U63" i="12"/>
  <c r="W63" i="12" s="1"/>
  <c r="U336" i="12"/>
  <c r="W336" i="12" s="1"/>
  <c r="U250" i="12"/>
  <c r="X250" i="12" s="1"/>
  <c r="U120" i="12"/>
  <c r="X120" i="12" s="1"/>
  <c r="U110" i="12"/>
  <c r="X110" i="12" s="1"/>
  <c r="U216" i="12"/>
  <c r="W216" i="12" s="1"/>
  <c r="U176" i="12"/>
  <c r="W176" i="12" s="1"/>
  <c r="P205" i="12"/>
  <c r="R205" i="12" s="1"/>
  <c r="P211" i="12"/>
  <c r="S211" i="12" s="1"/>
  <c r="P208" i="12"/>
  <c r="S208" i="12" s="1"/>
  <c r="M70" i="12"/>
  <c r="U182" i="12"/>
  <c r="W182" i="12" s="1"/>
  <c r="L242" i="5"/>
  <c r="M242" i="5" s="1"/>
  <c r="N11" i="5"/>
  <c r="U167" i="12"/>
  <c r="X167" i="12" s="1"/>
  <c r="U310" i="12"/>
  <c r="W310" i="12" s="1"/>
  <c r="U164" i="12"/>
  <c r="W164" i="12" s="1"/>
  <c r="U328" i="12"/>
  <c r="X328" i="12" s="1"/>
  <c r="U147" i="12"/>
  <c r="X147" i="12" s="1"/>
  <c r="U87" i="12"/>
  <c r="W87" i="12" s="1"/>
  <c r="U169" i="12"/>
  <c r="W169" i="12" s="1"/>
  <c r="U152" i="12"/>
  <c r="W152" i="12" s="1"/>
  <c r="U358" i="12"/>
  <c r="W358" i="12" s="1"/>
  <c r="U308" i="12"/>
  <c r="X308" i="12" s="1"/>
  <c r="U104" i="12"/>
  <c r="W104" i="12" s="1"/>
  <c r="U324" i="12"/>
  <c r="W324" i="12" s="1"/>
  <c r="U227" i="12"/>
  <c r="X227" i="12" s="1"/>
  <c r="U314" i="12"/>
  <c r="X314" i="12" s="1"/>
  <c r="U331" i="12"/>
  <c r="X331" i="12" s="1"/>
  <c r="N166" i="12"/>
  <c r="P79" i="12"/>
  <c r="S79" i="12" s="1"/>
  <c r="P168" i="12"/>
  <c r="R168" i="12" s="1"/>
  <c r="L114" i="5"/>
  <c r="N114" i="5" s="1"/>
  <c r="L112" i="5"/>
  <c r="M112" i="5" s="1"/>
  <c r="L113" i="5"/>
  <c r="N113" i="5" s="1"/>
  <c r="L136" i="5"/>
  <c r="N136" i="5" s="1"/>
  <c r="L261" i="5"/>
  <c r="M261" i="5" s="1"/>
  <c r="U118" i="12"/>
  <c r="W118" i="12" s="1"/>
  <c r="U325" i="12"/>
  <c r="W325" i="12" s="1"/>
  <c r="U141" i="12"/>
  <c r="W141" i="12" s="1"/>
  <c r="U220" i="12"/>
  <c r="X220" i="12" s="1"/>
  <c r="U353" i="12"/>
  <c r="W353" i="12" s="1"/>
  <c r="U195" i="12"/>
  <c r="X195" i="12" s="1"/>
  <c r="U188" i="12"/>
  <c r="W188" i="12" s="1"/>
  <c r="U180" i="12"/>
  <c r="W180" i="12" s="1"/>
  <c r="U105" i="12"/>
  <c r="X105" i="12" s="1"/>
  <c r="U153" i="12"/>
  <c r="X153" i="12" s="1"/>
  <c r="U366" i="12"/>
  <c r="X366" i="12" s="1"/>
  <c r="U149" i="12"/>
  <c r="X149" i="12" s="1"/>
  <c r="U125" i="12"/>
  <c r="W125" i="12" s="1"/>
  <c r="U352" i="12"/>
  <c r="W352" i="12" s="1"/>
  <c r="M166" i="12"/>
  <c r="P77" i="12"/>
  <c r="S77" i="12" s="1"/>
  <c r="P63" i="12"/>
  <c r="S63" i="12" s="1"/>
  <c r="U171" i="12"/>
  <c r="X171" i="12" s="1"/>
  <c r="U292" i="12"/>
  <c r="X292" i="12" s="1"/>
  <c r="U124" i="12"/>
  <c r="X124" i="12" s="1"/>
  <c r="U304" i="12"/>
  <c r="X304" i="12" s="1"/>
  <c r="N77" i="12"/>
  <c r="P70" i="12"/>
  <c r="R70" i="12" s="1"/>
  <c r="L137" i="5"/>
  <c r="M137" i="5" s="1"/>
  <c r="L129" i="5"/>
  <c r="M129" i="5" s="1"/>
  <c r="L239" i="5"/>
  <c r="N239" i="5" s="1"/>
  <c r="U83" i="12"/>
  <c r="W83" i="12" s="1"/>
  <c r="U107" i="12"/>
  <c r="X107" i="12" s="1"/>
  <c r="U66" i="12"/>
  <c r="W66" i="12" s="1"/>
  <c r="U359" i="12"/>
  <c r="W359" i="12" s="1"/>
  <c r="U364" i="12"/>
  <c r="X364" i="12" s="1"/>
  <c r="U80" i="12"/>
  <c r="W80" i="12" s="1"/>
  <c r="U113" i="12"/>
  <c r="W113" i="12" s="1"/>
  <c r="U78" i="12"/>
  <c r="X78" i="12" s="1"/>
  <c r="U302" i="12"/>
  <c r="X302" i="12" s="1"/>
  <c r="U192" i="12"/>
  <c r="X192" i="12" s="1"/>
  <c r="U69" i="12"/>
  <c r="X69" i="12" s="1"/>
  <c r="U293" i="12"/>
  <c r="W293" i="12" s="1"/>
  <c r="U84" i="12"/>
  <c r="X84" i="12" s="1"/>
  <c r="U285" i="12"/>
  <c r="X285" i="12" s="1"/>
  <c r="U259" i="12"/>
  <c r="W259" i="12" s="1"/>
  <c r="U329" i="12"/>
  <c r="X329" i="12" s="1"/>
  <c r="L290" i="5"/>
  <c r="N290" i="5" s="1"/>
  <c r="U299" i="12"/>
  <c r="W299" i="12" s="1"/>
  <c r="U290" i="12"/>
  <c r="W290" i="12" s="1"/>
  <c r="U217" i="12"/>
  <c r="W217" i="12" s="1"/>
  <c r="U79" i="12"/>
  <c r="W79" i="12" s="1"/>
  <c r="U183" i="12"/>
  <c r="W183" i="12" s="1"/>
  <c r="U288" i="12"/>
  <c r="W288" i="12" s="1"/>
  <c r="U355" i="12"/>
  <c r="X355" i="12" s="1"/>
  <c r="U233" i="12"/>
  <c r="X233" i="12" s="1"/>
  <c r="U205" i="12"/>
  <c r="W205" i="12" s="1"/>
  <c r="U323" i="12"/>
  <c r="X323" i="12" s="1"/>
  <c r="U225" i="12"/>
  <c r="X225" i="12" s="1"/>
  <c r="U311" i="12"/>
  <c r="X311" i="12" s="1"/>
  <c r="U122" i="12"/>
  <c r="W122" i="12" s="1"/>
  <c r="U128" i="12"/>
  <c r="W128" i="12" s="1"/>
  <c r="U273" i="12"/>
  <c r="W273" i="12" s="1"/>
  <c r="U185" i="12"/>
  <c r="W185" i="12" s="1"/>
  <c r="U177" i="12"/>
  <c r="X177" i="12" s="1"/>
  <c r="U213" i="12"/>
  <c r="X213" i="12" s="1"/>
  <c r="U111" i="12"/>
  <c r="W111" i="12" s="1"/>
  <c r="U91" i="12"/>
  <c r="X91" i="12" s="1"/>
  <c r="U239" i="12"/>
  <c r="W239" i="12" s="1"/>
  <c r="U112" i="12"/>
  <c r="X112" i="12" s="1"/>
  <c r="U108" i="12"/>
  <c r="X108" i="12" s="1"/>
  <c r="U106" i="12"/>
  <c r="W106" i="12" s="1"/>
  <c r="U240" i="12"/>
  <c r="X240" i="12" s="1"/>
  <c r="P204" i="12"/>
  <c r="S204" i="12" s="1"/>
  <c r="P217" i="12"/>
  <c r="R217" i="12" s="1"/>
  <c r="P210" i="12"/>
  <c r="R210" i="12" s="1"/>
  <c r="P232" i="12"/>
  <c r="R232" i="12" s="1"/>
  <c r="P72" i="12"/>
  <c r="S72" i="12" s="1"/>
  <c r="N57" i="12"/>
  <c r="P66" i="12"/>
  <c r="S66" i="12" s="1"/>
  <c r="L267" i="5"/>
  <c r="M267" i="5" s="1"/>
  <c r="L293" i="5"/>
  <c r="N293" i="5" s="1"/>
  <c r="L283" i="5"/>
  <c r="N283" i="5" s="1"/>
  <c r="P14" i="5"/>
  <c r="U97" i="12"/>
  <c r="X97" i="12" s="1"/>
  <c r="U330" i="12"/>
  <c r="X330" i="12" s="1"/>
  <c r="U365" i="12"/>
  <c r="W365" i="12" s="1"/>
  <c r="U252" i="12"/>
  <c r="W252" i="12" s="1"/>
  <c r="U115" i="12"/>
  <c r="W115" i="12" s="1"/>
  <c r="U190" i="12"/>
  <c r="W190" i="12" s="1"/>
  <c r="U297" i="12"/>
  <c r="W297" i="12" s="1"/>
  <c r="U289" i="12"/>
  <c r="X289" i="12" s="1"/>
  <c r="U369" i="12"/>
  <c r="W369" i="12" s="1"/>
  <c r="U320" i="12"/>
  <c r="X320" i="12" s="1"/>
  <c r="U150" i="12"/>
  <c r="X150" i="12" s="1"/>
  <c r="U68" i="12"/>
  <c r="W68" i="12" s="1"/>
  <c r="U215" i="12"/>
  <c r="W215" i="12" s="1"/>
  <c r="U283" i="12"/>
  <c r="W283" i="12" s="1"/>
  <c r="U234" i="12"/>
  <c r="W234" i="12" s="1"/>
  <c r="U271" i="12"/>
  <c r="X271" i="12" s="1"/>
  <c r="U160" i="12"/>
  <c r="W160" i="12" s="1"/>
  <c r="U119" i="12"/>
  <c r="X119" i="12" s="1"/>
  <c r="U265" i="12"/>
  <c r="X265" i="12" s="1"/>
  <c r="U59" i="12"/>
  <c r="W59" i="12" s="1"/>
  <c r="U64" i="12"/>
  <c r="X64" i="12" s="1"/>
  <c r="U201" i="12"/>
  <c r="W201" i="12" s="1"/>
  <c r="U275" i="12"/>
  <c r="W275" i="12" s="1"/>
  <c r="M56" i="12"/>
  <c r="P219" i="12"/>
  <c r="R219" i="12" s="1"/>
  <c r="P220" i="12"/>
  <c r="R220" i="12" s="1"/>
  <c r="P61" i="12"/>
  <c r="S61" i="12" s="1"/>
  <c r="U287" i="12"/>
  <c r="X287" i="12" s="1"/>
  <c r="N14" i="5"/>
  <c r="L289" i="5"/>
  <c r="M289" i="5" s="1"/>
  <c r="L269" i="5"/>
  <c r="M269" i="5" s="1"/>
  <c r="U268" i="12"/>
  <c r="X268" i="12" s="1"/>
  <c r="U251" i="12"/>
  <c r="X251" i="12" s="1"/>
  <c r="U129" i="12"/>
  <c r="X129" i="12" s="1"/>
  <c r="U211" i="12"/>
  <c r="W211" i="12" s="1"/>
  <c r="U174" i="12"/>
  <c r="X174" i="12" s="1"/>
  <c r="U276" i="12"/>
  <c r="X276" i="12" s="1"/>
  <c r="U166" i="12"/>
  <c r="W166" i="12" s="1"/>
  <c r="U184" i="12"/>
  <c r="X184" i="12" s="1"/>
  <c r="U157" i="12"/>
  <c r="X157" i="12" s="1"/>
  <c r="U339" i="12"/>
  <c r="X339" i="12" s="1"/>
  <c r="U82" i="12"/>
  <c r="X82" i="12" s="1"/>
  <c r="U346" i="12"/>
  <c r="W346" i="12" s="1"/>
  <c r="U93" i="12"/>
  <c r="X93" i="12" s="1"/>
  <c r="U140" i="12"/>
  <c r="X140" i="12" s="1"/>
  <c r="U238" i="12"/>
  <c r="W238" i="12" s="1"/>
  <c r="U98" i="12"/>
  <c r="W98" i="12" s="1"/>
  <c r="U203" i="12"/>
  <c r="W203" i="12" s="1"/>
  <c r="U134" i="12"/>
  <c r="X134" i="12" s="1"/>
  <c r="U114" i="12"/>
  <c r="W114" i="12" s="1"/>
  <c r="U350" i="12"/>
  <c r="X350" i="12" s="1"/>
  <c r="U370" i="12"/>
  <c r="W370" i="12" s="1"/>
  <c r="U70" i="12"/>
  <c r="X70" i="12" s="1"/>
  <c r="U90" i="12"/>
  <c r="W90" i="12" s="1"/>
  <c r="U362" i="12"/>
  <c r="X362" i="12" s="1"/>
  <c r="P71" i="12"/>
  <c r="S71" i="12" s="1"/>
  <c r="U229" i="12"/>
  <c r="X229" i="12" s="1"/>
  <c r="P59" i="12"/>
  <c r="R59" i="12" s="1"/>
  <c r="P76" i="12"/>
  <c r="R76" i="12" s="1"/>
  <c r="U367" i="12"/>
  <c r="X367" i="12" s="1"/>
  <c r="U294" i="12"/>
  <c r="W294" i="12" s="1"/>
  <c r="U76" i="12"/>
  <c r="W76" i="12" s="1"/>
  <c r="U279" i="12"/>
  <c r="X279" i="12" s="1"/>
  <c r="U280" i="12"/>
  <c r="X280" i="12" s="1"/>
  <c r="U360" i="12"/>
  <c r="X360" i="12" s="1"/>
  <c r="U73" i="12"/>
  <c r="W73" i="12" s="1"/>
  <c r="U272" i="12"/>
  <c r="X272" i="12" s="1"/>
  <c r="U136" i="12"/>
  <c r="X136" i="12" s="1"/>
  <c r="U162" i="12"/>
  <c r="W162" i="12" s="1"/>
  <c r="U255" i="12"/>
  <c r="W255" i="12" s="1"/>
  <c r="U337" i="12"/>
  <c r="W337" i="12" s="1"/>
  <c r="U156" i="12"/>
  <c r="X156" i="12" s="1"/>
  <c r="U142" i="12"/>
  <c r="W142" i="12" s="1"/>
  <c r="U197" i="12"/>
  <c r="X197" i="12" s="1"/>
  <c r="U204" i="12"/>
  <c r="W204" i="12" s="1"/>
  <c r="U210" i="12"/>
  <c r="W210" i="12" s="1"/>
  <c r="U296" i="12"/>
  <c r="W296" i="12" s="1"/>
  <c r="P78" i="12"/>
  <c r="R78" i="12" s="1"/>
  <c r="U161" i="12"/>
  <c r="W161" i="12" s="1"/>
  <c r="U254" i="12"/>
  <c r="W254" i="12" s="1"/>
  <c r="U335" i="12"/>
  <c r="X335" i="12" s="1"/>
  <c r="U191" i="12"/>
  <c r="W191" i="12" s="1"/>
  <c r="U178" i="12"/>
  <c r="X178" i="12" s="1"/>
  <c r="U376" i="12"/>
  <c r="X376" i="12" s="1"/>
  <c r="U127" i="12"/>
  <c r="W127" i="12" s="1"/>
  <c r="U189" i="12"/>
  <c r="X189" i="12" s="1"/>
  <c r="U198" i="12"/>
  <c r="X198" i="12" s="1"/>
  <c r="U295" i="12"/>
  <c r="X295" i="12" s="1"/>
  <c r="U126" i="12"/>
  <c r="X126" i="12" s="1"/>
  <c r="U363" i="12"/>
  <c r="W363" i="12" s="1"/>
  <c r="U269" i="12"/>
  <c r="X269" i="12" s="1"/>
  <c r="U187" i="12"/>
  <c r="W187" i="12" s="1"/>
  <c r="U199" i="12"/>
  <c r="W199" i="12" s="1"/>
  <c r="U163" i="12"/>
  <c r="W163" i="12" s="1"/>
  <c r="U257" i="12"/>
  <c r="W257" i="12" s="1"/>
  <c r="U341" i="12"/>
  <c r="X341" i="12" s="1"/>
  <c r="M73" i="12"/>
  <c r="U89" i="12"/>
  <c r="X89" i="12" s="1"/>
  <c r="U309" i="12"/>
  <c r="W309" i="12" s="1"/>
  <c r="U159" i="12"/>
  <c r="W159" i="12" s="1"/>
  <c r="U94" i="12"/>
  <c r="X94" i="12" s="1"/>
  <c r="U155" i="12"/>
  <c r="X155" i="12" s="1"/>
  <c r="U241" i="12"/>
  <c r="W241" i="12" s="1"/>
  <c r="U316" i="12"/>
  <c r="X316" i="12" s="1"/>
  <c r="U219" i="12"/>
  <c r="W219" i="12" s="1"/>
  <c r="U317" i="12"/>
  <c r="W317" i="12" s="1"/>
  <c r="U260" i="12"/>
  <c r="X260" i="12" s="1"/>
  <c r="U261" i="12"/>
  <c r="X261" i="12" s="1"/>
  <c r="U96" i="12"/>
  <c r="X96" i="12" s="1"/>
  <c r="U262" i="12"/>
  <c r="W262" i="12" s="1"/>
  <c r="U100" i="12"/>
  <c r="X100" i="12" s="1"/>
  <c r="U170" i="12"/>
  <c r="X170" i="12" s="1"/>
  <c r="U264" i="12"/>
  <c r="X264" i="12" s="1"/>
  <c r="U381" i="12"/>
  <c r="W381" i="12" s="1"/>
  <c r="U194" i="12"/>
  <c r="W194" i="12" s="1"/>
  <c r="U148" i="12"/>
  <c r="W148" i="12" s="1"/>
  <c r="U92" i="12"/>
  <c r="W92" i="12" s="1"/>
  <c r="U231" i="12"/>
  <c r="W231" i="12" s="1"/>
  <c r="U343" i="12"/>
  <c r="X343" i="12" s="1"/>
  <c r="U85" i="12"/>
  <c r="W85" i="12" s="1"/>
  <c r="U133" i="12"/>
  <c r="X133" i="12" s="1"/>
  <c r="U321" i="12"/>
  <c r="X321" i="12" s="1"/>
  <c r="U338" i="12"/>
  <c r="X338" i="12" s="1"/>
  <c r="U300" i="12"/>
  <c r="W300" i="12" s="1"/>
  <c r="U236" i="12"/>
  <c r="W236" i="12" s="1"/>
  <c r="U117" i="12"/>
  <c r="X117" i="12" s="1"/>
  <c r="U173" i="12"/>
  <c r="X173" i="12" s="1"/>
  <c r="U266" i="12"/>
  <c r="X266" i="12" s="1"/>
  <c r="U378" i="12"/>
  <c r="X378" i="12" s="1"/>
  <c r="N73" i="12"/>
  <c r="L118" i="5"/>
  <c r="M118" i="5" s="1"/>
  <c r="L121" i="5"/>
  <c r="N121" i="5" s="1"/>
  <c r="L116" i="5"/>
  <c r="M116" i="5" s="1"/>
  <c r="L178" i="5"/>
  <c r="N178" i="5" s="1"/>
  <c r="L260" i="5"/>
  <c r="M260" i="5" s="1"/>
  <c r="L237" i="5"/>
  <c r="N237" i="5" s="1"/>
  <c r="AC12" i="5"/>
  <c r="AC8" i="5"/>
  <c r="L120" i="5"/>
  <c r="M120" i="5" s="1"/>
  <c r="L142" i="5"/>
  <c r="L154" i="5"/>
  <c r="M154" i="5" s="1"/>
  <c r="L163" i="5"/>
  <c r="N163" i="5" s="1"/>
  <c r="L189" i="5"/>
  <c r="N189" i="5" s="1"/>
  <c r="P10" i="5"/>
  <c r="L127" i="5"/>
  <c r="M127" i="5" s="1"/>
  <c r="L130" i="5"/>
  <c r="N130" i="5" s="1"/>
  <c r="L128" i="5"/>
  <c r="N128" i="5" s="1"/>
  <c r="AC9" i="5"/>
  <c r="L158" i="5"/>
  <c r="M158" i="5" s="1"/>
  <c r="L167" i="5"/>
  <c r="M167" i="5" s="1"/>
  <c r="L181" i="5"/>
  <c r="M181" i="5" s="1"/>
  <c r="L238" i="5"/>
  <c r="N238" i="5" s="1"/>
  <c r="L254" i="5"/>
  <c r="M254" i="5" s="1"/>
  <c r="L249" i="5"/>
  <c r="M249" i="5" s="1"/>
  <c r="L265" i="5"/>
  <c r="L274" i="5"/>
  <c r="N274" i="5" s="1"/>
  <c r="L280" i="5"/>
  <c r="N280" i="5" s="1"/>
  <c r="P9" i="5"/>
  <c r="L126" i="5"/>
  <c r="N126" i="5" s="1"/>
  <c r="L234" i="5"/>
  <c r="L252" i="5"/>
  <c r="L241" i="5"/>
  <c r="N241" i="5" s="1"/>
  <c r="L111" i="5"/>
  <c r="N111" i="5" s="1"/>
  <c r="L135" i="5"/>
  <c r="N135" i="5" s="1"/>
  <c r="L141" i="5"/>
  <c r="N141" i="5" s="1"/>
  <c r="L149" i="5"/>
  <c r="L184" i="5"/>
  <c r="N184" i="5" s="1"/>
  <c r="L235" i="5"/>
  <c r="N235" i="5" s="1"/>
  <c r="L255" i="5"/>
  <c r="N255" i="5" s="1"/>
  <c r="L253" i="5"/>
  <c r="M253" i="5" s="1"/>
  <c r="L273" i="5"/>
  <c r="M273" i="5" s="1"/>
  <c r="L281" i="5"/>
  <c r="M281" i="5" s="1"/>
  <c r="N10" i="5"/>
  <c r="L191" i="5"/>
  <c r="M191" i="5" s="1"/>
  <c r="L256" i="5"/>
  <c r="M256" i="5" s="1"/>
  <c r="L263" i="5"/>
  <c r="N263" i="5" s="1"/>
  <c r="J12" i="5"/>
  <c r="N12" i="5" s="1"/>
  <c r="J16" i="5"/>
  <c r="K16" i="5" s="1"/>
  <c r="P6" i="5"/>
  <c r="N13" i="5"/>
  <c r="O67" i="11"/>
  <c r="L188" i="5"/>
  <c r="N188" i="5" s="1"/>
  <c r="L176" i="5"/>
  <c r="N176" i="5" s="1"/>
  <c r="L193" i="5"/>
  <c r="N193" i="5" s="1"/>
  <c r="L185" i="5"/>
  <c r="N185" i="5" s="1"/>
  <c r="L198" i="5"/>
  <c r="M198" i="5" s="1"/>
  <c r="L175" i="5"/>
  <c r="M175" i="5" s="1"/>
  <c r="L182" i="5"/>
  <c r="N182" i="5" s="1"/>
  <c r="L199" i="5"/>
  <c r="N199" i="5" s="1"/>
  <c r="L192" i="5"/>
  <c r="M192" i="5" s="1"/>
  <c r="L179" i="5"/>
  <c r="M179" i="5" s="1"/>
  <c r="L50" i="5"/>
  <c r="N50" i="5" s="1"/>
  <c r="N6" i="5"/>
  <c r="L44" i="5"/>
  <c r="M44" i="5" s="1"/>
  <c r="L43" i="5"/>
  <c r="N43" i="5" s="1"/>
  <c r="L32" i="5"/>
  <c r="N32" i="5" s="1"/>
  <c r="L35" i="5"/>
  <c r="M35" i="5" s="1"/>
  <c r="L24" i="5"/>
  <c r="M24" i="5" s="1"/>
  <c r="L45" i="5"/>
  <c r="M45" i="5" s="1"/>
  <c r="L48" i="5"/>
  <c r="M48" i="5" s="1"/>
  <c r="L27" i="5"/>
  <c r="M27" i="5" s="1"/>
  <c r="L34" i="5"/>
  <c r="M34" i="5" s="1"/>
  <c r="L49" i="5"/>
  <c r="N49" i="5" s="1"/>
  <c r="L29" i="5"/>
  <c r="L38" i="5"/>
  <c r="M38" i="5" s="1"/>
  <c r="L177" i="5"/>
  <c r="M177" i="5" s="1"/>
  <c r="AC10" i="5"/>
  <c r="L200" i="5"/>
  <c r="M200" i="5" s="1"/>
  <c r="AC5" i="5"/>
  <c r="L42" i="5"/>
  <c r="N42" i="5" s="1"/>
  <c r="L195" i="5"/>
  <c r="L37" i="5"/>
  <c r="N37" i="5" s="1"/>
  <c r="L39" i="5"/>
  <c r="N39" i="5" s="1"/>
  <c r="L36" i="5"/>
  <c r="M36" i="5" s="1"/>
  <c r="L197" i="5"/>
  <c r="N197" i="5" s="1"/>
  <c r="L186" i="5"/>
  <c r="N186" i="5" s="1"/>
  <c r="L28" i="5"/>
  <c r="M28" i="5" s="1"/>
  <c r="L183" i="5"/>
  <c r="M183" i="5" s="1"/>
  <c r="N65" i="11"/>
  <c r="N67" i="11" s="1"/>
  <c r="E67" i="11"/>
  <c r="U67" i="11"/>
  <c r="X67" i="11"/>
  <c r="W43" i="12"/>
  <c r="X43" i="12"/>
  <c r="S120" i="12"/>
  <c r="R120" i="12"/>
  <c r="R87" i="12"/>
  <c r="S87" i="12"/>
  <c r="R92" i="12"/>
  <c r="S92" i="12"/>
  <c r="S97" i="12"/>
  <c r="R97" i="12"/>
  <c r="R110" i="12"/>
  <c r="S110" i="12"/>
  <c r="S141" i="12"/>
  <c r="R141" i="12"/>
  <c r="S355" i="12"/>
  <c r="R355" i="12"/>
  <c r="R364" i="12"/>
  <c r="S364" i="12"/>
  <c r="S373" i="12"/>
  <c r="R373" i="12"/>
  <c r="S94" i="12"/>
  <c r="R94" i="12"/>
  <c r="S356" i="12"/>
  <c r="R356" i="12"/>
  <c r="S365" i="12"/>
  <c r="R365" i="12"/>
  <c r="R374" i="12"/>
  <c r="S374" i="12"/>
  <c r="Z28" i="12"/>
  <c r="G27" i="12"/>
  <c r="X48" i="12"/>
  <c r="W48" i="12"/>
  <c r="R111" i="12"/>
  <c r="S111" i="12"/>
  <c r="W38" i="12"/>
  <c r="X38" i="12"/>
  <c r="R332" i="12"/>
  <c r="S332" i="12"/>
  <c r="R44" i="12"/>
  <c r="S44" i="12"/>
  <c r="R45" i="12"/>
  <c r="S45" i="12"/>
  <c r="W28" i="12"/>
  <c r="X28" i="12"/>
  <c r="R344" i="12"/>
  <c r="S344" i="12"/>
  <c r="R114" i="12"/>
  <c r="S114" i="12"/>
  <c r="R98" i="12"/>
  <c r="S98" i="12"/>
  <c r="W49" i="12"/>
  <c r="X49" i="12"/>
  <c r="R26" i="12"/>
  <c r="S26" i="12"/>
  <c r="S42" i="12"/>
  <c r="R42" i="12"/>
  <c r="R35" i="12"/>
  <c r="S35" i="12"/>
  <c r="W35" i="12"/>
  <c r="X35" i="12"/>
  <c r="R328" i="12"/>
  <c r="S328" i="12"/>
  <c r="S329" i="12"/>
  <c r="R329" i="12"/>
  <c r="R346" i="12"/>
  <c r="S346" i="12"/>
  <c r="R134" i="12"/>
  <c r="S134" i="12"/>
  <c r="S115" i="12"/>
  <c r="R115" i="12"/>
  <c r="R125" i="12"/>
  <c r="S125" i="12"/>
  <c r="R135" i="12"/>
  <c r="S135" i="12"/>
  <c r="S83" i="12"/>
  <c r="R83" i="12"/>
  <c r="R80" i="12"/>
  <c r="S80" i="12"/>
  <c r="S105" i="12"/>
  <c r="R105" i="12"/>
  <c r="R359" i="12"/>
  <c r="S359" i="12"/>
  <c r="R369" i="12"/>
  <c r="S369" i="12"/>
  <c r="S378" i="12"/>
  <c r="R378" i="12"/>
  <c r="E26" i="12"/>
  <c r="Y27" i="12"/>
  <c r="R37" i="12"/>
  <c r="S37" i="12"/>
  <c r="R342" i="12"/>
  <c r="S342" i="12"/>
  <c r="X36" i="12"/>
  <c r="W36" i="12"/>
  <c r="R121" i="12"/>
  <c r="S121" i="12"/>
  <c r="X40" i="12"/>
  <c r="W40" i="12"/>
  <c r="S51" i="12"/>
  <c r="R51" i="12"/>
  <c r="R36" i="12"/>
  <c r="S36" i="12"/>
  <c r="S338" i="12"/>
  <c r="R338" i="12"/>
  <c r="R138" i="12"/>
  <c r="S138" i="12"/>
  <c r="R113" i="12"/>
  <c r="S113" i="12"/>
  <c r="R122" i="12"/>
  <c r="S122" i="12"/>
  <c r="R126" i="12"/>
  <c r="S126" i="12"/>
  <c r="R85" i="12"/>
  <c r="S85" i="12"/>
  <c r="S103" i="12"/>
  <c r="R103" i="12"/>
  <c r="R357" i="12"/>
  <c r="S357" i="12"/>
  <c r="S366" i="12"/>
  <c r="R366" i="12"/>
  <c r="R376" i="12"/>
  <c r="S376" i="12"/>
  <c r="W41" i="12"/>
  <c r="X41" i="12"/>
  <c r="S31" i="12"/>
  <c r="R31" i="12"/>
  <c r="S47" i="12"/>
  <c r="R47" i="12"/>
  <c r="R131" i="12"/>
  <c r="S131" i="12"/>
  <c r="S82" i="12"/>
  <c r="R82" i="12"/>
  <c r="X31" i="12"/>
  <c r="W31" i="12"/>
  <c r="X47" i="12"/>
  <c r="W47" i="12"/>
  <c r="R48" i="12"/>
  <c r="S48" i="12"/>
  <c r="X42" i="12"/>
  <c r="W42" i="12"/>
  <c r="R40" i="12"/>
  <c r="S40" i="12"/>
  <c r="W37" i="12"/>
  <c r="X37" i="12"/>
  <c r="S335" i="12"/>
  <c r="R335" i="12"/>
  <c r="R331" i="12"/>
  <c r="S331" i="12"/>
  <c r="R349" i="12"/>
  <c r="S349" i="12"/>
  <c r="R133" i="12"/>
  <c r="S133" i="12"/>
  <c r="R117" i="12"/>
  <c r="S117" i="12"/>
  <c r="S127" i="12"/>
  <c r="R127" i="12"/>
  <c r="S91" i="12"/>
  <c r="R91" i="12"/>
  <c r="R89" i="12"/>
  <c r="S89" i="12"/>
  <c r="R106" i="12"/>
  <c r="S106" i="12"/>
  <c r="R360" i="12"/>
  <c r="S360" i="12"/>
  <c r="S370" i="12"/>
  <c r="R370" i="12"/>
  <c r="S379" i="12"/>
  <c r="R379" i="12"/>
  <c r="W44" i="12"/>
  <c r="X44" i="12"/>
  <c r="W27" i="12"/>
  <c r="X27" i="12"/>
  <c r="S43" i="12"/>
  <c r="R43" i="12"/>
  <c r="X34" i="12"/>
  <c r="W34" i="12"/>
  <c r="S343" i="12"/>
  <c r="R343" i="12"/>
  <c r="R28" i="12"/>
  <c r="S28" i="12"/>
  <c r="R334" i="12"/>
  <c r="S334" i="12"/>
  <c r="S101" i="12"/>
  <c r="R101" i="12"/>
  <c r="S50" i="12"/>
  <c r="R50" i="12"/>
  <c r="R336" i="12"/>
  <c r="S336" i="12"/>
  <c r="R86" i="12"/>
  <c r="S86" i="12"/>
  <c r="X30" i="12"/>
  <c r="W30" i="12"/>
  <c r="R124" i="12"/>
  <c r="S124" i="12"/>
  <c r="R104" i="12"/>
  <c r="S104" i="12"/>
  <c r="S358" i="12"/>
  <c r="R358" i="12"/>
  <c r="S367" i="12"/>
  <c r="R367" i="12"/>
  <c r="S377" i="12"/>
  <c r="R377" i="12"/>
  <c r="R49" i="12"/>
  <c r="S49" i="12"/>
  <c r="R38" i="12"/>
  <c r="S38" i="12"/>
  <c r="W51" i="12"/>
  <c r="X51" i="12"/>
  <c r="S27" i="12"/>
  <c r="R27" i="12"/>
  <c r="R325" i="12"/>
  <c r="S325" i="12"/>
  <c r="S345" i="12"/>
  <c r="R345" i="12"/>
  <c r="R350" i="12"/>
  <c r="S350" i="12"/>
  <c r="S129" i="12"/>
  <c r="R129" i="12"/>
  <c r="S118" i="12"/>
  <c r="R118" i="12"/>
  <c r="S132" i="12"/>
  <c r="R132" i="12"/>
  <c r="S96" i="12"/>
  <c r="R96" i="12"/>
  <c r="R93" i="12"/>
  <c r="S93" i="12"/>
  <c r="S107" i="12"/>
  <c r="R107" i="12"/>
  <c r="S362" i="12"/>
  <c r="R362" i="12"/>
  <c r="R371" i="12"/>
  <c r="S371" i="12"/>
  <c r="S380" i="12"/>
  <c r="R380" i="12"/>
  <c r="S352" i="12"/>
  <c r="R352" i="12"/>
  <c r="R30" i="12"/>
  <c r="S30" i="12"/>
  <c r="R29" i="12"/>
  <c r="S29" i="12"/>
  <c r="X45" i="12"/>
  <c r="W45" i="12"/>
  <c r="S353" i="12"/>
  <c r="R353" i="12"/>
  <c r="S112" i="12"/>
  <c r="R112" i="12"/>
  <c r="R330" i="12"/>
  <c r="S330" i="12"/>
  <c r="S337" i="12"/>
  <c r="R337" i="12"/>
  <c r="S128" i="12"/>
  <c r="R128" i="12"/>
  <c r="W26" i="12"/>
  <c r="X26" i="12"/>
  <c r="S34" i="12"/>
  <c r="R34" i="12"/>
  <c r="W50" i="12"/>
  <c r="X50" i="12"/>
  <c r="W29" i="12"/>
  <c r="X29" i="12"/>
  <c r="S41" i="12"/>
  <c r="R41" i="12"/>
  <c r="S341" i="12"/>
  <c r="R341" i="12"/>
  <c r="R339" i="12"/>
  <c r="S339" i="12"/>
  <c r="S351" i="12"/>
  <c r="R351" i="12"/>
  <c r="S140" i="12"/>
  <c r="R140" i="12"/>
  <c r="S119" i="12"/>
  <c r="R119" i="12"/>
  <c r="S136" i="12"/>
  <c r="R136" i="12"/>
  <c r="S90" i="12"/>
  <c r="R90" i="12"/>
  <c r="S100" i="12"/>
  <c r="R100" i="12"/>
  <c r="S84" i="12"/>
  <c r="R84" i="12"/>
  <c r="R108" i="12"/>
  <c r="S108" i="12"/>
  <c r="S363" i="12"/>
  <c r="R363" i="12"/>
  <c r="S372" i="12"/>
  <c r="R372" i="12"/>
  <c r="R381" i="12"/>
  <c r="S381" i="12"/>
  <c r="AA9" i="11"/>
  <c r="Z60" i="11"/>
  <c r="AA60" i="11" s="1"/>
  <c r="K9" i="11"/>
  <c r="Z23" i="11"/>
  <c r="AA23" i="11" s="1"/>
  <c r="Q9" i="3"/>
  <c r="B8" i="10"/>
  <c r="B8" i="9"/>
  <c r="B4" i="10"/>
  <c r="B4" i="9"/>
  <c r="N7" i="3"/>
  <c r="Q17" i="3"/>
  <c r="B24" i="9"/>
  <c r="J60" i="11"/>
  <c r="K60" i="11" s="1"/>
  <c r="K10" i="11"/>
  <c r="K7" i="3"/>
  <c r="Q7" i="3"/>
  <c r="R142" i="7"/>
  <c r="R148" i="7"/>
  <c r="B8" i="7"/>
  <c r="C7" i="7"/>
  <c r="L7" i="7" s="1"/>
  <c r="AC9" i="11"/>
  <c r="AD9" i="11" s="1"/>
  <c r="S9" i="11"/>
  <c r="R60" i="11"/>
  <c r="S60" i="11" s="1"/>
  <c r="Q59" i="11"/>
  <c r="P15" i="3"/>
  <c r="P7" i="3"/>
  <c r="V67" i="11"/>
  <c r="K67" i="11"/>
  <c r="L67" i="11"/>
  <c r="AC59" i="11"/>
  <c r="AC60" i="11" s="1"/>
  <c r="AD60" i="11" s="1"/>
  <c r="W67" i="11"/>
  <c r="N21" i="11"/>
  <c r="N22" i="11" s="1"/>
  <c r="AA67" i="11"/>
  <c r="G67" i="11"/>
  <c r="Z67" i="11"/>
  <c r="AC66" i="11"/>
  <c r="AD66" i="11" s="1"/>
  <c r="Q67" i="11"/>
  <c r="J65" i="11"/>
  <c r="J67" i="11" s="1"/>
  <c r="L10" i="11"/>
  <c r="M9" i="11"/>
  <c r="W9" i="11"/>
  <c r="V10" i="11"/>
  <c r="I67" i="11"/>
  <c r="Q9" i="11"/>
  <c r="P10" i="11"/>
  <c r="K19" i="11"/>
  <c r="K21" i="11" s="1"/>
  <c r="J21" i="11"/>
  <c r="AC19" i="11"/>
  <c r="AD19" i="11" s="1"/>
  <c r="Q19" i="11"/>
  <c r="Q21" i="11" s="1"/>
  <c r="P21" i="11"/>
  <c r="P22" i="11" s="1"/>
  <c r="Y9" i="11"/>
  <c r="X10" i="11"/>
  <c r="O9" i="11"/>
  <c r="N10" i="11"/>
  <c r="D10" i="11"/>
  <c r="E9" i="11"/>
  <c r="D61" i="11"/>
  <c r="F61" i="11" s="1"/>
  <c r="E60" i="11"/>
  <c r="S10" i="11"/>
  <c r="R23" i="11"/>
  <c r="S23" i="11" s="1"/>
  <c r="AC71" i="11"/>
  <c r="AD71" i="11" s="1"/>
  <c r="AC69" i="11"/>
  <c r="AD69" i="11" s="1"/>
  <c r="AC70" i="11"/>
  <c r="AD70" i="11" s="1"/>
  <c r="I9" i="11"/>
  <c r="H10" i="11"/>
  <c r="P65" i="11"/>
  <c r="P67" i="11" s="1"/>
  <c r="T10" i="11"/>
  <c r="U9" i="11"/>
  <c r="T65" i="11"/>
  <c r="T67" i="11" s="1"/>
  <c r="I59" i="11"/>
  <c r="H60" i="11"/>
  <c r="I60" i="11" s="1"/>
  <c r="G9" i="11"/>
  <c r="F10" i="11"/>
  <c r="D65" i="11"/>
  <c r="F65" i="11"/>
  <c r="F67" i="11" s="1"/>
  <c r="Y67" i="11"/>
  <c r="H65" i="11"/>
  <c r="H67" i="11" s="1"/>
  <c r="M67" i="11"/>
  <c r="AC68" i="11"/>
  <c r="AD68" i="11" s="1"/>
  <c r="M305" i="5"/>
  <c r="N305" i="5"/>
  <c r="N132" i="5"/>
  <c r="M132" i="5"/>
  <c r="M259" i="5"/>
  <c r="N259" i="5"/>
  <c r="N310" i="5"/>
  <c r="M310" i="5"/>
  <c r="N295" i="5"/>
  <c r="M295" i="5"/>
  <c r="N309" i="5"/>
  <c r="M309" i="5"/>
  <c r="N296" i="5"/>
  <c r="M296" i="5"/>
  <c r="N297" i="5"/>
  <c r="M297" i="5"/>
  <c r="N302" i="5"/>
  <c r="M302" i="5"/>
  <c r="N317" i="5"/>
  <c r="M317" i="5"/>
  <c r="M304" i="5"/>
  <c r="N304" i="5"/>
  <c r="N171" i="5"/>
  <c r="M171" i="5"/>
  <c r="P322" i="5"/>
  <c r="P318" i="5"/>
  <c r="P314" i="5"/>
  <c r="P310" i="5"/>
  <c r="P321" i="5"/>
  <c r="P317" i="5"/>
  <c r="P316" i="5"/>
  <c r="P315" i="5"/>
  <c r="P312" i="5"/>
  <c r="P311" i="5"/>
  <c r="P302" i="5"/>
  <c r="P298" i="5"/>
  <c r="P294" i="5"/>
  <c r="P319" i="5"/>
  <c r="P297" i="5"/>
  <c r="P324" i="5"/>
  <c r="P309" i="5"/>
  <c r="P296" i="5"/>
  <c r="P303" i="5"/>
  <c r="P301" i="5"/>
  <c r="P300" i="5"/>
  <c r="P305" i="5"/>
  <c r="P304" i="5"/>
  <c r="N294" i="5"/>
  <c r="P323" i="5"/>
  <c r="P295" i="5"/>
  <c r="M294" i="5"/>
  <c r="P308" i="5"/>
  <c r="N303" i="5"/>
  <c r="M303" i="5"/>
  <c r="M319" i="5"/>
  <c r="N319" i="5"/>
  <c r="N324" i="5"/>
  <c r="M324" i="5"/>
  <c r="N284" i="5"/>
  <c r="M284" i="5"/>
  <c r="N308" i="5"/>
  <c r="M308" i="5"/>
  <c r="N321" i="5"/>
  <c r="M321" i="5"/>
  <c r="M301" i="5"/>
  <c r="N301" i="5"/>
  <c r="N7" i="5"/>
  <c r="K7" i="5"/>
  <c r="M323" i="5"/>
  <c r="N323" i="5"/>
  <c r="N314" i="5"/>
  <c r="M314" i="5"/>
  <c r="M315" i="5"/>
  <c r="N315" i="5"/>
  <c r="M371" i="5"/>
  <c r="N371" i="5"/>
  <c r="N298" i="5"/>
  <c r="M298" i="5"/>
  <c r="N312" i="5"/>
  <c r="M312" i="5"/>
  <c r="M322" i="5"/>
  <c r="N322" i="5"/>
  <c r="M190" i="5"/>
  <c r="N190" i="5"/>
  <c r="M30" i="5"/>
  <c r="N30" i="5"/>
  <c r="E23" i="5"/>
  <c r="AA24" i="5"/>
  <c r="N318" i="5"/>
  <c r="M318" i="5"/>
  <c r="N316" i="5"/>
  <c r="M316" i="5"/>
  <c r="M311" i="5"/>
  <c r="N311" i="5"/>
  <c r="M300" i="5"/>
  <c r="N300" i="5"/>
  <c r="K9" i="3"/>
  <c r="AA9" i="3" s="1"/>
  <c r="N9" i="3"/>
  <c r="K17" i="3"/>
  <c r="AA17" i="3" s="1"/>
  <c r="N17" i="3"/>
  <c r="E23" i="3"/>
  <c r="G24" i="3"/>
  <c r="AG97" i="3" l="1"/>
  <c r="P17" i="3"/>
  <c r="P13" i="3"/>
  <c r="B18" i="10"/>
  <c r="M161" i="5"/>
  <c r="K14" i="3"/>
  <c r="AA14" i="3" s="1"/>
  <c r="P14" i="3"/>
  <c r="N151" i="5"/>
  <c r="M31" i="5"/>
  <c r="N268" i="5"/>
  <c r="S166" i="12"/>
  <c r="I16" i="3"/>
  <c r="AG90" i="3" s="1"/>
  <c r="B26" i="9"/>
  <c r="B26" i="10"/>
  <c r="Q18" i="3"/>
  <c r="AG104" i="3"/>
  <c r="P18" i="3"/>
  <c r="N14" i="3"/>
  <c r="AG76" i="3"/>
  <c r="B18" i="9"/>
  <c r="I10" i="3"/>
  <c r="B10" i="10" s="1"/>
  <c r="N18" i="3"/>
  <c r="B20" i="9"/>
  <c r="I11" i="3"/>
  <c r="AG55" i="3" s="1"/>
  <c r="P8" i="3"/>
  <c r="Q8" i="3"/>
  <c r="N8" i="3"/>
  <c r="Q15" i="3"/>
  <c r="B20" i="10"/>
  <c r="N15" i="3"/>
  <c r="K12" i="3"/>
  <c r="AA12" i="3" s="1"/>
  <c r="B6" i="9"/>
  <c r="B14" i="9"/>
  <c r="Q12" i="3"/>
  <c r="B14" i="10"/>
  <c r="B6" i="10"/>
  <c r="P12" i="3"/>
  <c r="AG62" i="3"/>
  <c r="AG83" i="3"/>
  <c r="C36" i="14"/>
  <c r="Z24" i="5"/>
  <c r="G23" i="5"/>
  <c r="AG34" i="3"/>
  <c r="AG69" i="3"/>
  <c r="N162" i="5"/>
  <c r="M381" i="5"/>
  <c r="M270" i="5"/>
  <c r="N140" i="5"/>
  <c r="R147" i="12"/>
  <c r="N262" i="5"/>
  <c r="M272" i="5"/>
  <c r="M357" i="5"/>
  <c r="N282" i="5"/>
  <c r="N160" i="5"/>
  <c r="S163" i="12"/>
  <c r="R156" i="12"/>
  <c r="S215" i="12"/>
  <c r="M174" i="5"/>
  <c r="M233" i="5"/>
  <c r="N233" i="5"/>
  <c r="M372" i="5"/>
  <c r="N133" i="5"/>
  <c r="N168" i="5"/>
  <c r="M275" i="5"/>
  <c r="R159" i="12"/>
  <c r="M291" i="5"/>
  <c r="N277" i="5"/>
  <c r="N153" i="5"/>
  <c r="M119" i="5"/>
  <c r="M123" i="5"/>
  <c r="M157" i="5"/>
  <c r="N276" i="5"/>
  <c r="S231" i="12"/>
  <c r="N164" i="5"/>
  <c r="M373" i="5"/>
  <c r="M150" i="5"/>
  <c r="N170" i="5"/>
  <c r="R164" i="12"/>
  <c r="S52" i="12"/>
  <c r="M240" i="5"/>
  <c r="R206" i="12"/>
  <c r="R155" i="12"/>
  <c r="N196" i="5"/>
  <c r="M115" i="5"/>
  <c r="R149" i="12"/>
  <c r="N155" i="5"/>
  <c r="R216" i="12"/>
  <c r="N134" i="5"/>
  <c r="R157" i="12"/>
  <c r="R161" i="12"/>
  <c r="X206" i="12"/>
  <c r="M378" i="5"/>
  <c r="R153" i="12"/>
  <c r="X168" i="12"/>
  <c r="M367" i="5"/>
  <c r="S142" i="12"/>
  <c r="S150" i="12"/>
  <c r="M169" i="5"/>
  <c r="M288" i="5"/>
  <c r="M125" i="5"/>
  <c r="M364" i="5"/>
  <c r="M382" i="5"/>
  <c r="P357" i="5"/>
  <c r="R357" i="5" s="1"/>
  <c r="M147" i="5"/>
  <c r="S202" i="12"/>
  <c r="K8" i="5"/>
  <c r="L102" i="5" s="1"/>
  <c r="M379" i="5"/>
  <c r="P356" i="5"/>
  <c r="R356" i="5" s="1"/>
  <c r="W274" i="12"/>
  <c r="M375" i="5"/>
  <c r="S171" i="12"/>
  <c r="M41" i="5"/>
  <c r="X226" i="12"/>
  <c r="M365" i="5"/>
  <c r="W86" i="12"/>
  <c r="S160" i="12"/>
  <c r="S167" i="12"/>
  <c r="M359" i="5"/>
  <c r="X72" i="12"/>
  <c r="M136" i="5"/>
  <c r="N112" i="5"/>
  <c r="X131" i="12"/>
  <c r="X301" i="12"/>
  <c r="X324" i="12"/>
  <c r="X121" i="12"/>
  <c r="W281" i="12"/>
  <c r="X103" i="12"/>
  <c r="N374" i="5"/>
  <c r="R230" i="12"/>
  <c r="S224" i="12"/>
  <c r="W331" i="12"/>
  <c r="S68" i="12"/>
  <c r="W220" i="12"/>
  <c r="N287" i="5"/>
  <c r="W334" i="12"/>
  <c r="P174" i="5"/>
  <c r="S174" i="5" s="1"/>
  <c r="S169" i="12"/>
  <c r="X208" i="12"/>
  <c r="X164" i="12"/>
  <c r="P172" i="5"/>
  <c r="S172" i="5" s="1"/>
  <c r="S162" i="12"/>
  <c r="M356" i="5"/>
  <c r="W379" i="12"/>
  <c r="N356" i="5"/>
  <c r="S213" i="12"/>
  <c r="R170" i="12"/>
  <c r="W344" i="12"/>
  <c r="X322" i="12"/>
  <c r="S58" i="12"/>
  <c r="N172" i="5"/>
  <c r="M172" i="5"/>
  <c r="M122" i="5"/>
  <c r="R211" i="12"/>
  <c r="X224" i="12"/>
  <c r="W135" i="12"/>
  <c r="N266" i="5"/>
  <c r="M380" i="5"/>
  <c r="X63" i="12"/>
  <c r="W349" i="12"/>
  <c r="X332" i="12"/>
  <c r="X181" i="12"/>
  <c r="S154" i="12"/>
  <c r="W230" i="12"/>
  <c r="X342" i="12"/>
  <c r="W328" i="12"/>
  <c r="P364" i="5"/>
  <c r="S364" i="5" s="1"/>
  <c r="M360" i="5"/>
  <c r="S209" i="12"/>
  <c r="N361" i="5"/>
  <c r="M148" i="5"/>
  <c r="X237" i="12"/>
  <c r="W371" i="12"/>
  <c r="X58" i="12"/>
  <c r="R212" i="12"/>
  <c r="X253" i="12"/>
  <c r="X61" i="12"/>
  <c r="M363" i="5"/>
  <c r="S54" i="12"/>
  <c r="W380" i="12"/>
  <c r="N366" i="5"/>
  <c r="S223" i="12"/>
  <c r="W267" i="12"/>
  <c r="X52" i="12"/>
  <c r="S69" i="12"/>
  <c r="W357" i="12"/>
  <c r="X56" i="12"/>
  <c r="S225" i="12"/>
  <c r="X188" i="12"/>
  <c r="S220" i="12"/>
  <c r="X55" i="12"/>
  <c r="R152" i="12"/>
  <c r="W212" i="12"/>
  <c r="N165" i="5"/>
  <c r="X205" i="12"/>
  <c r="W54" i="12"/>
  <c r="R148" i="12"/>
  <c r="M258" i="5"/>
  <c r="P360" i="5"/>
  <c r="S360" i="5" s="1"/>
  <c r="M358" i="5"/>
  <c r="M114" i="5"/>
  <c r="M370" i="5"/>
  <c r="W167" i="12"/>
  <c r="W140" i="12"/>
  <c r="N267" i="5"/>
  <c r="X169" i="12"/>
  <c r="W119" i="12"/>
  <c r="X57" i="12"/>
  <c r="W82" i="12"/>
  <c r="N251" i="5"/>
  <c r="N156" i="5"/>
  <c r="N129" i="5"/>
  <c r="X288" i="12"/>
  <c r="X152" i="12"/>
  <c r="S70" i="12"/>
  <c r="W373" i="12"/>
  <c r="X372" i="12"/>
  <c r="W105" i="12"/>
  <c r="S168" i="12"/>
  <c r="P363" i="5"/>
  <c r="S363" i="5" s="1"/>
  <c r="M377" i="5"/>
  <c r="W154" i="12"/>
  <c r="X77" i="12"/>
  <c r="S203" i="12"/>
  <c r="X101" i="12"/>
  <c r="X191" i="12"/>
  <c r="S205" i="12"/>
  <c r="S226" i="12"/>
  <c r="M241" i="5"/>
  <c r="X259" i="12"/>
  <c r="X216" i="12"/>
  <c r="W124" i="12"/>
  <c r="X210" i="12"/>
  <c r="R63" i="12"/>
  <c r="X113" i="12"/>
  <c r="X317" i="12"/>
  <c r="P361" i="5"/>
  <c r="R361" i="5" s="1"/>
  <c r="W308" i="12"/>
  <c r="X218" i="12"/>
  <c r="X299" i="12"/>
  <c r="W323" i="12"/>
  <c r="X115" i="12"/>
  <c r="W292" i="12"/>
  <c r="P358" i="5"/>
  <c r="S358" i="5" s="1"/>
  <c r="W138" i="12"/>
  <c r="R65" i="12"/>
  <c r="W93" i="12"/>
  <c r="W149" i="12"/>
  <c r="W250" i="12"/>
  <c r="X92" i="12"/>
  <c r="P147" i="5"/>
  <c r="S147" i="5" s="1"/>
  <c r="X215" i="12"/>
  <c r="N249" i="5"/>
  <c r="W240" i="12"/>
  <c r="W96" i="12"/>
  <c r="N158" i="5"/>
  <c r="W276" i="12"/>
  <c r="X199" i="12"/>
  <c r="X90" i="12"/>
  <c r="S227" i="12"/>
  <c r="W366" i="12"/>
  <c r="W345" i="12"/>
  <c r="W107" i="12"/>
  <c r="X141" i="12"/>
  <c r="X106" i="12"/>
  <c r="W65" i="12"/>
  <c r="S64" i="12"/>
  <c r="P371" i="5"/>
  <c r="S371" i="5" s="1"/>
  <c r="M46" i="5"/>
  <c r="M280" i="5"/>
  <c r="M368" i="5"/>
  <c r="P141" i="5"/>
  <c r="S141" i="5" s="1"/>
  <c r="S73" i="12"/>
  <c r="X351" i="12"/>
  <c r="R55" i="12"/>
  <c r="W71" i="12"/>
  <c r="X252" i="12"/>
  <c r="W232" i="12"/>
  <c r="P374" i="5"/>
  <c r="S374" i="5" s="1"/>
  <c r="X68" i="12"/>
  <c r="X374" i="12"/>
  <c r="N35" i="5"/>
  <c r="X209" i="12"/>
  <c r="W196" i="12"/>
  <c r="X80" i="12"/>
  <c r="R229" i="12"/>
  <c r="S218" i="12"/>
  <c r="W258" i="12"/>
  <c r="X238" i="12"/>
  <c r="P379" i="5"/>
  <c r="R379" i="5" s="1"/>
  <c r="N261" i="5"/>
  <c r="N192" i="5"/>
  <c r="N242" i="5"/>
  <c r="X190" i="12"/>
  <c r="W175" i="12"/>
  <c r="W289" i="12"/>
  <c r="W110" i="12"/>
  <c r="X336" i="12"/>
  <c r="R204" i="12"/>
  <c r="P377" i="5"/>
  <c r="R377" i="5" s="1"/>
  <c r="P381" i="5"/>
  <c r="R381" i="5" s="1"/>
  <c r="W315" i="12"/>
  <c r="W313" i="12"/>
  <c r="M293" i="5"/>
  <c r="W134" i="12"/>
  <c r="W132" i="12"/>
  <c r="X66" i="12"/>
  <c r="W202" i="12"/>
  <c r="W318" i="12"/>
  <c r="X353" i="12"/>
  <c r="X104" i="12"/>
  <c r="W304" i="12"/>
  <c r="P368" i="5"/>
  <c r="S368" i="5" s="1"/>
  <c r="W91" i="12"/>
  <c r="P142" i="5"/>
  <c r="S142" i="5" s="1"/>
  <c r="P375" i="5"/>
  <c r="R375" i="5" s="1"/>
  <c r="N154" i="5"/>
  <c r="N116" i="5"/>
  <c r="M50" i="5"/>
  <c r="N137" i="5"/>
  <c r="W367" i="12"/>
  <c r="W177" i="12"/>
  <c r="X127" i="12"/>
  <c r="W377" i="12"/>
  <c r="X310" i="12"/>
  <c r="W376" i="12"/>
  <c r="W314" i="12"/>
  <c r="W320" i="12"/>
  <c r="W174" i="12"/>
  <c r="W227" i="12"/>
  <c r="X118" i="12"/>
  <c r="X148" i="12"/>
  <c r="W129" i="12"/>
  <c r="X370" i="12"/>
  <c r="X325" i="12"/>
  <c r="M121" i="5"/>
  <c r="W303" i="12"/>
  <c r="X185" i="12"/>
  <c r="X300" i="12"/>
  <c r="P367" i="5"/>
  <c r="R367" i="5" s="1"/>
  <c r="P382" i="5"/>
  <c r="R382" i="5" s="1"/>
  <c r="N45" i="5"/>
  <c r="N142" i="5"/>
  <c r="P161" i="5"/>
  <c r="S161" i="5" s="1"/>
  <c r="X293" i="12"/>
  <c r="X87" i="12"/>
  <c r="W330" i="12"/>
  <c r="X160" i="12"/>
  <c r="X83" i="12"/>
  <c r="X59" i="12"/>
  <c r="W97" i="12"/>
  <c r="W302" i="12"/>
  <c r="W311" i="12"/>
  <c r="W233" i="12"/>
  <c r="W287" i="12"/>
  <c r="M237" i="5"/>
  <c r="P275" i="5"/>
  <c r="S275" i="5" s="1"/>
  <c r="M290" i="5"/>
  <c r="W223" i="12"/>
  <c r="X176" i="12"/>
  <c r="R66" i="12"/>
  <c r="X79" i="12"/>
  <c r="R79" i="12"/>
  <c r="M39" i="5"/>
  <c r="X162" i="12"/>
  <c r="X219" i="12"/>
  <c r="P156" i="5"/>
  <c r="S156" i="5" s="1"/>
  <c r="W171" i="12"/>
  <c r="W64" i="12"/>
  <c r="W94" i="12"/>
  <c r="W153" i="12"/>
  <c r="S56" i="12"/>
  <c r="W192" i="12"/>
  <c r="X358" i="12"/>
  <c r="X294" i="12"/>
  <c r="X211" i="12"/>
  <c r="P150" i="5"/>
  <c r="R150" i="5" s="1"/>
  <c r="X236" i="12"/>
  <c r="W108" i="12"/>
  <c r="W70" i="12"/>
  <c r="R77" i="12"/>
  <c r="X296" i="12"/>
  <c r="W136" i="12"/>
  <c r="X122" i="12"/>
  <c r="X187" i="12"/>
  <c r="X182" i="12"/>
  <c r="W84" i="12"/>
  <c r="W178" i="12"/>
  <c r="W120" i="12"/>
  <c r="N281" i="5"/>
  <c r="M135" i="5"/>
  <c r="X204" i="12"/>
  <c r="W285" i="12"/>
  <c r="W229" i="12"/>
  <c r="X239" i="12"/>
  <c r="P148" i="5"/>
  <c r="R148" i="5" s="1"/>
  <c r="R61" i="12"/>
  <c r="W268" i="12"/>
  <c r="S232" i="12"/>
  <c r="P171" i="5"/>
  <c r="R171" i="5" s="1"/>
  <c r="W360" i="12"/>
  <c r="W339" i="12"/>
  <c r="M142" i="5"/>
  <c r="M163" i="5"/>
  <c r="N36" i="5"/>
  <c r="P160" i="5"/>
  <c r="R160" i="5" s="1"/>
  <c r="M184" i="5"/>
  <c r="P149" i="5"/>
  <c r="R149" i="5" s="1"/>
  <c r="X183" i="12"/>
  <c r="X262" i="12"/>
  <c r="X203" i="12"/>
  <c r="X180" i="12"/>
  <c r="X369" i="12"/>
  <c r="P165" i="5"/>
  <c r="S165" i="5" s="1"/>
  <c r="P163" i="5"/>
  <c r="R163" i="5" s="1"/>
  <c r="N167" i="5"/>
  <c r="X142" i="12"/>
  <c r="P380" i="5"/>
  <c r="R380" i="5" s="1"/>
  <c r="N289" i="5"/>
  <c r="P158" i="5"/>
  <c r="S158" i="5" s="1"/>
  <c r="N260" i="5"/>
  <c r="W133" i="12"/>
  <c r="M149" i="5"/>
  <c r="P164" i="5"/>
  <c r="R164" i="5" s="1"/>
  <c r="M188" i="5"/>
  <c r="X166" i="12"/>
  <c r="S219" i="12"/>
  <c r="M176" i="5"/>
  <c r="W69" i="12"/>
  <c r="X290" i="12"/>
  <c r="W195" i="12"/>
  <c r="X125" i="12"/>
  <c r="X283" i="12"/>
  <c r="W225" i="12"/>
  <c r="X275" i="12"/>
  <c r="X254" i="12"/>
  <c r="X359" i="12"/>
  <c r="X297" i="12"/>
  <c r="X111" i="12"/>
  <c r="X234" i="12"/>
  <c r="X98" i="12"/>
  <c r="X217" i="12"/>
  <c r="X257" i="12"/>
  <c r="M126" i="5"/>
  <c r="P378" i="5"/>
  <c r="S378" i="5" s="1"/>
  <c r="P372" i="5"/>
  <c r="S372" i="5" s="1"/>
  <c r="P373" i="5"/>
  <c r="S373" i="5" s="1"/>
  <c r="M283" i="5"/>
  <c r="N191" i="5"/>
  <c r="P153" i="5"/>
  <c r="S153" i="5" s="1"/>
  <c r="P167" i="5"/>
  <c r="S167" i="5" s="1"/>
  <c r="P24" i="5"/>
  <c r="R24" i="5" s="1"/>
  <c r="W307" i="12"/>
  <c r="W364" i="12"/>
  <c r="R208" i="12"/>
  <c r="W117" i="12"/>
  <c r="W198" i="12"/>
  <c r="W213" i="12"/>
  <c r="X201" i="12"/>
  <c r="R71" i="12"/>
  <c r="S210" i="12"/>
  <c r="W157" i="12"/>
  <c r="W362" i="12"/>
  <c r="W282" i="12"/>
  <c r="W155" i="12"/>
  <c r="W184" i="12"/>
  <c r="W341" i="12"/>
  <c r="N269" i="5"/>
  <c r="M178" i="5"/>
  <c r="P365" i="5"/>
  <c r="R365" i="5" s="1"/>
  <c r="P359" i="5"/>
  <c r="R359" i="5" s="1"/>
  <c r="M113" i="5"/>
  <c r="X352" i="12"/>
  <c r="W271" i="12"/>
  <c r="W147" i="12"/>
  <c r="W126" i="12"/>
  <c r="W356" i="12"/>
  <c r="S57" i="12"/>
  <c r="W156" i="12"/>
  <c r="W279" i="12"/>
  <c r="X161" i="12"/>
  <c r="P366" i="5"/>
  <c r="S366" i="5" s="1"/>
  <c r="P370" i="5"/>
  <c r="S370" i="5" s="1"/>
  <c r="N256" i="5"/>
  <c r="X76" i="12"/>
  <c r="S217" i="12"/>
  <c r="W251" i="12"/>
  <c r="P130" i="5"/>
  <c r="S130" i="5" s="1"/>
  <c r="P269" i="5"/>
  <c r="R269" i="5" s="1"/>
  <c r="M239" i="5"/>
  <c r="N198" i="5"/>
  <c r="N273" i="5"/>
  <c r="P242" i="5"/>
  <c r="R242" i="5" s="1"/>
  <c r="P291" i="5"/>
  <c r="R291" i="5" s="1"/>
  <c r="P129" i="5"/>
  <c r="S129" i="5" s="1"/>
  <c r="W112" i="12"/>
  <c r="W265" i="12"/>
  <c r="X128" i="12"/>
  <c r="W321" i="12"/>
  <c r="W197" i="12"/>
  <c r="X73" i="12"/>
  <c r="W150" i="12"/>
  <c r="S76" i="12"/>
  <c r="X346" i="12"/>
  <c r="W329" i="12"/>
  <c r="W350" i="12"/>
  <c r="W78" i="12"/>
  <c r="W272" i="12"/>
  <c r="P261" i="5"/>
  <c r="S261" i="5" s="1"/>
  <c r="P281" i="5"/>
  <c r="S281" i="5" s="1"/>
  <c r="P115" i="5"/>
  <c r="R115" i="5" s="1"/>
  <c r="AA15" i="3"/>
  <c r="W355" i="12"/>
  <c r="P134" i="5"/>
  <c r="S134" i="5" s="1"/>
  <c r="P268" i="5"/>
  <c r="S268" i="5" s="1"/>
  <c r="P132" i="5"/>
  <c r="R132" i="5" s="1"/>
  <c r="P151" i="5"/>
  <c r="R151" i="5" s="1"/>
  <c r="P283" i="5"/>
  <c r="S283" i="5" s="1"/>
  <c r="P125" i="5"/>
  <c r="R125" i="5" s="1"/>
  <c r="P284" i="5"/>
  <c r="S284" i="5" s="1"/>
  <c r="W269" i="12"/>
  <c r="P266" i="5"/>
  <c r="R266" i="5" s="1"/>
  <c r="N265" i="5"/>
  <c r="P113" i="5"/>
  <c r="R113" i="5" s="1"/>
  <c r="X114" i="12"/>
  <c r="W260" i="12"/>
  <c r="X309" i="12"/>
  <c r="S59" i="12"/>
  <c r="X273" i="12"/>
  <c r="X365" i="12"/>
  <c r="R72" i="12"/>
  <c r="N253" i="5"/>
  <c r="P289" i="5"/>
  <c r="S289" i="5" s="1"/>
  <c r="M265" i="5"/>
  <c r="W89" i="12"/>
  <c r="W338" i="12"/>
  <c r="AA7" i="3"/>
  <c r="N118" i="5"/>
  <c r="P282" i="5"/>
  <c r="R282" i="5" s="1"/>
  <c r="AA8" i="3"/>
  <c r="X337" i="12"/>
  <c r="W295" i="12"/>
  <c r="W378" i="12"/>
  <c r="W170" i="12"/>
  <c r="N181" i="5"/>
  <c r="X363" i="12"/>
  <c r="P154" i="5"/>
  <c r="R154" i="5" s="1"/>
  <c r="P235" i="5"/>
  <c r="S235" i="5" s="1"/>
  <c r="M193" i="5"/>
  <c r="M186" i="5"/>
  <c r="P255" i="5"/>
  <c r="S255" i="5" s="1"/>
  <c r="M189" i="5"/>
  <c r="M263" i="5"/>
  <c r="X241" i="12"/>
  <c r="M42" i="5"/>
  <c r="N179" i="5"/>
  <c r="N183" i="5"/>
  <c r="P256" i="5"/>
  <c r="R256" i="5" s="1"/>
  <c r="M141" i="5"/>
  <c r="P287" i="5"/>
  <c r="R287" i="5" s="1"/>
  <c r="P251" i="5"/>
  <c r="R251" i="5" s="1"/>
  <c r="P126" i="5"/>
  <c r="S126" i="5" s="1"/>
  <c r="M199" i="5"/>
  <c r="S78" i="12"/>
  <c r="W189" i="12"/>
  <c r="X255" i="12"/>
  <c r="W261" i="12"/>
  <c r="X159" i="12"/>
  <c r="P122" i="5"/>
  <c r="R122" i="5" s="1"/>
  <c r="P168" i="5"/>
  <c r="S168" i="5" s="1"/>
  <c r="P170" i="5"/>
  <c r="S170" i="5" s="1"/>
  <c r="M274" i="5"/>
  <c r="W266" i="12"/>
  <c r="W316" i="12"/>
  <c r="P169" i="5"/>
  <c r="R169" i="5" s="1"/>
  <c r="P157" i="5"/>
  <c r="R157" i="5" s="1"/>
  <c r="P155" i="5"/>
  <c r="R155" i="5" s="1"/>
  <c r="P162" i="5"/>
  <c r="R162" i="5" s="1"/>
  <c r="N24" i="5"/>
  <c r="P135" i="5"/>
  <c r="S135" i="5" s="1"/>
  <c r="W343" i="12"/>
  <c r="X163" i="12"/>
  <c r="X231" i="12"/>
  <c r="P127" i="5"/>
  <c r="R127" i="5" s="1"/>
  <c r="N149" i="5"/>
  <c r="U24" i="5"/>
  <c r="W24" i="5" s="1"/>
  <c r="P136" i="5"/>
  <c r="S136" i="5" s="1"/>
  <c r="W173" i="12"/>
  <c r="W280" i="12"/>
  <c r="W264" i="12"/>
  <c r="W100" i="12"/>
  <c r="P276" i="5"/>
  <c r="R276" i="5" s="1"/>
  <c r="P240" i="5"/>
  <c r="R240" i="5" s="1"/>
  <c r="N127" i="5"/>
  <c r="P234" i="5"/>
  <c r="R234" i="5" s="1"/>
  <c r="P249" i="5"/>
  <c r="S249" i="5" s="1"/>
  <c r="P241" i="5"/>
  <c r="R241" i="5" s="1"/>
  <c r="P133" i="5"/>
  <c r="R133" i="5" s="1"/>
  <c r="P263" i="5"/>
  <c r="R263" i="5" s="1"/>
  <c r="M128" i="5"/>
  <c r="M255" i="5"/>
  <c r="N254" i="5"/>
  <c r="K12" i="5"/>
  <c r="L209" i="5" s="1"/>
  <c r="P252" i="5"/>
  <c r="S252" i="5" s="1"/>
  <c r="P237" i="5"/>
  <c r="R237" i="5" s="1"/>
  <c r="P258" i="5"/>
  <c r="R258" i="5" s="1"/>
  <c r="P267" i="5"/>
  <c r="R267" i="5" s="1"/>
  <c r="P273" i="5"/>
  <c r="S273" i="5" s="1"/>
  <c r="P272" i="5"/>
  <c r="S272" i="5" s="1"/>
  <c r="P123" i="5"/>
  <c r="S123" i="5" s="1"/>
  <c r="P119" i="5"/>
  <c r="R119" i="5" s="1"/>
  <c r="M111" i="5"/>
  <c r="M238" i="5"/>
  <c r="N34" i="5"/>
  <c r="P238" i="5"/>
  <c r="S238" i="5" s="1"/>
  <c r="P262" i="5"/>
  <c r="S262" i="5" s="1"/>
  <c r="M252" i="5"/>
  <c r="P277" i="5"/>
  <c r="S277" i="5" s="1"/>
  <c r="P293" i="5"/>
  <c r="R293" i="5" s="1"/>
  <c r="P290" i="5"/>
  <c r="R290" i="5" s="1"/>
  <c r="P111" i="5"/>
  <c r="R111" i="5" s="1"/>
  <c r="P112" i="5"/>
  <c r="S112" i="5" s="1"/>
  <c r="P114" i="5"/>
  <c r="R114" i="5" s="1"/>
  <c r="X381" i="12"/>
  <c r="W335" i="12"/>
  <c r="X194" i="12"/>
  <c r="X85" i="12"/>
  <c r="P259" i="5"/>
  <c r="R259" i="5" s="1"/>
  <c r="P179" i="5"/>
  <c r="R179" i="5" s="1"/>
  <c r="M130" i="5"/>
  <c r="N234" i="5"/>
  <c r="M235" i="5"/>
  <c r="N16" i="5"/>
  <c r="P253" i="5"/>
  <c r="R253" i="5" s="1"/>
  <c r="P239" i="5"/>
  <c r="R239" i="5" s="1"/>
  <c r="N120" i="5"/>
  <c r="N252" i="5"/>
  <c r="P288" i="5"/>
  <c r="R288" i="5" s="1"/>
  <c r="P270" i="5"/>
  <c r="R270" i="5" s="1"/>
  <c r="P265" i="5"/>
  <c r="R265" i="5" s="1"/>
  <c r="P137" i="5"/>
  <c r="R137" i="5" s="1"/>
  <c r="P116" i="5"/>
  <c r="S116" i="5" s="1"/>
  <c r="P118" i="5"/>
  <c r="R118" i="5" s="1"/>
  <c r="M234" i="5"/>
  <c r="N175" i="5"/>
  <c r="P254" i="5"/>
  <c r="S254" i="5" s="1"/>
  <c r="P280" i="5"/>
  <c r="S280" i="5" s="1"/>
  <c r="P274" i="5"/>
  <c r="S274" i="5" s="1"/>
  <c r="P120" i="5"/>
  <c r="R120" i="5" s="1"/>
  <c r="P121" i="5"/>
  <c r="R121" i="5" s="1"/>
  <c r="P260" i="5"/>
  <c r="R260" i="5" s="1"/>
  <c r="P140" i="5"/>
  <c r="R140" i="5" s="1"/>
  <c r="P128" i="5"/>
  <c r="S128" i="5" s="1"/>
  <c r="N177" i="5"/>
  <c r="N28" i="5"/>
  <c r="P182" i="5"/>
  <c r="R182" i="5" s="1"/>
  <c r="P185" i="5"/>
  <c r="R185" i="5" s="1"/>
  <c r="P28" i="5"/>
  <c r="S28" i="5" s="1"/>
  <c r="P27" i="5"/>
  <c r="S27" i="5" s="1"/>
  <c r="M182" i="5"/>
  <c r="M185" i="5"/>
  <c r="P181" i="5"/>
  <c r="R181" i="5" s="1"/>
  <c r="N200" i="5"/>
  <c r="P195" i="5"/>
  <c r="S195" i="5" s="1"/>
  <c r="P183" i="5"/>
  <c r="S183" i="5" s="1"/>
  <c r="N44" i="5"/>
  <c r="P193" i="5"/>
  <c r="S193" i="5" s="1"/>
  <c r="U41" i="5"/>
  <c r="W41" i="5" s="1"/>
  <c r="U46" i="5"/>
  <c r="X46" i="5" s="1"/>
  <c r="N27" i="5"/>
  <c r="P41" i="5"/>
  <c r="S41" i="5" s="1"/>
  <c r="P192" i="5"/>
  <c r="S192" i="5" s="1"/>
  <c r="P184" i="5"/>
  <c r="S184" i="5" s="1"/>
  <c r="P177" i="5"/>
  <c r="S177" i="5" s="1"/>
  <c r="P188" i="5"/>
  <c r="R188" i="5" s="1"/>
  <c r="P34" i="5"/>
  <c r="R34" i="5" s="1"/>
  <c r="P176" i="5"/>
  <c r="S176" i="5" s="1"/>
  <c r="P178" i="5"/>
  <c r="R178" i="5" s="1"/>
  <c r="U37" i="5"/>
  <c r="W37" i="5" s="1"/>
  <c r="M37" i="5"/>
  <c r="U36" i="5"/>
  <c r="W36" i="5" s="1"/>
  <c r="P50" i="5"/>
  <c r="R50" i="5" s="1"/>
  <c r="U32" i="5"/>
  <c r="W32" i="5" s="1"/>
  <c r="U35" i="5"/>
  <c r="X35" i="5" s="1"/>
  <c r="P175" i="5"/>
  <c r="R175" i="5" s="1"/>
  <c r="U27" i="5"/>
  <c r="X27" i="5" s="1"/>
  <c r="P37" i="5"/>
  <c r="S37" i="5" s="1"/>
  <c r="P32" i="5"/>
  <c r="R32" i="5" s="1"/>
  <c r="P48" i="5"/>
  <c r="R48" i="5" s="1"/>
  <c r="U39" i="5"/>
  <c r="X39" i="5" s="1"/>
  <c r="U38" i="5"/>
  <c r="X38" i="5" s="1"/>
  <c r="P45" i="5"/>
  <c r="S45" i="5" s="1"/>
  <c r="P190" i="5"/>
  <c r="R190" i="5" s="1"/>
  <c r="U44" i="5"/>
  <c r="W44" i="5" s="1"/>
  <c r="U30" i="5"/>
  <c r="W30" i="5" s="1"/>
  <c r="P199" i="5"/>
  <c r="S199" i="5" s="1"/>
  <c r="P31" i="5"/>
  <c r="S31" i="5" s="1"/>
  <c r="P36" i="5"/>
  <c r="R36" i="5" s="1"/>
  <c r="N29" i="5"/>
  <c r="U49" i="5"/>
  <c r="W49" i="5" s="1"/>
  <c r="U42" i="5"/>
  <c r="W42" i="5" s="1"/>
  <c r="M29" i="5"/>
  <c r="U31" i="5"/>
  <c r="W31" i="5" s="1"/>
  <c r="P44" i="5"/>
  <c r="S44" i="5" s="1"/>
  <c r="P29" i="5"/>
  <c r="S29" i="5" s="1"/>
  <c r="P200" i="5"/>
  <c r="S200" i="5" s="1"/>
  <c r="N195" i="5"/>
  <c r="U45" i="5"/>
  <c r="W45" i="5" s="1"/>
  <c r="M195" i="5"/>
  <c r="P43" i="5"/>
  <c r="R43" i="5" s="1"/>
  <c r="P191" i="5"/>
  <c r="S191" i="5" s="1"/>
  <c r="P189" i="5"/>
  <c r="S189" i="5" s="1"/>
  <c r="P38" i="5"/>
  <c r="S38" i="5" s="1"/>
  <c r="P46" i="5"/>
  <c r="S46" i="5" s="1"/>
  <c r="P49" i="5"/>
  <c r="S49" i="5" s="1"/>
  <c r="U48" i="5"/>
  <c r="W48" i="5" s="1"/>
  <c r="P196" i="5"/>
  <c r="S196" i="5" s="1"/>
  <c r="P42" i="5"/>
  <c r="S42" i="5" s="1"/>
  <c r="P39" i="5"/>
  <c r="S39" i="5" s="1"/>
  <c r="N48" i="5"/>
  <c r="M49" i="5"/>
  <c r="P30" i="5"/>
  <c r="R30" i="5" s="1"/>
  <c r="P198" i="5"/>
  <c r="R198" i="5" s="1"/>
  <c r="N38" i="5"/>
  <c r="U43" i="5"/>
  <c r="W43" i="5" s="1"/>
  <c r="P186" i="5"/>
  <c r="S186" i="5" s="1"/>
  <c r="U50" i="5"/>
  <c r="X50" i="5" s="1"/>
  <c r="M32" i="5"/>
  <c r="M43" i="5"/>
  <c r="M197" i="5"/>
  <c r="U34" i="5"/>
  <c r="X34" i="5" s="1"/>
  <c r="P35" i="5"/>
  <c r="S35" i="5" s="1"/>
  <c r="U28" i="5"/>
  <c r="W28" i="5" s="1"/>
  <c r="P197" i="5"/>
  <c r="R197" i="5" s="1"/>
  <c r="U29" i="5"/>
  <c r="W29" i="5" s="1"/>
  <c r="E3" i="4" a="1"/>
  <c r="E27" i="12"/>
  <c r="Y28" i="12"/>
  <c r="Z29" i="12"/>
  <c r="G28" i="12"/>
  <c r="AC10" i="11"/>
  <c r="AD10" i="11" s="1"/>
  <c r="Q13" i="3"/>
  <c r="B16" i="10"/>
  <c r="B16" i="9"/>
  <c r="B9" i="7"/>
  <c r="C8" i="7"/>
  <c r="L8" i="7" s="1"/>
  <c r="AD59" i="11"/>
  <c r="K13" i="3"/>
  <c r="AA13" i="3" s="1"/>
  <c r="N13" i="3"/>
  <c r="E10" i="11"/>
  <c r="D23" i="11"/>
  <c r="E23" i="11" s="1"/>
  <c r="G10" i="11"/>
  <c r="F23" i="11"/>
  <c r="G23" i="11" s="1"/>
  <c r="I10" i="11"/>
  <c r="H23" i="11"/>
  <c r="I23" i="11" s="1"/>
  <c r="H61" i="11"/>
  <c r="J61" i="11" s="1"/>
  <c r="L61" i="11" s="1"/>
  <c r="N61" i="11" s="1"/>
  <c r="P61" i="11" s="1"/>
  <c r="R61" i="11" s="1"/>
  <c r="T61" i="11" s="1"/>
  <c r="V61" i="11" s="1"/>
  <c r="X61" i="11" s="1"/>
  <c r="Z61" i="11" s="1"/>
  <c r="W10" i="11"/>
  <c r="V23" i="11"/>
  <c r="W23" i="11" s="1"/>
  <c r="O10" i="11"/>
  <c r="N23" i="11"/>
  <c r="O23" i="11" s="1"/>
  <c r="J22" i="11"/>
  <c r="AC21" i="11"/>
  <c r="U10" i="11"/>
  <c r="T23" i="11"/>
  <c r="U23" i="11" s="1"/>
  <c r="Q10" i="11"/>
  <c r="P23" i="11"/>
  <c r="Q23" i="11" s="1"/>
  <c r="M10" i="11"/>
  <c r="L23" i="11"/>
  <c r="M23" i="11" s="1"/>
  <c r="AC65" i="11"/>
  <c r="AD65" i="11" s="1"/>
  <c r="D67" i="11"/>
  <c r="AC67" i="11" s="1"/>
  <c r="AD67" i="11" s="1"/>
  <c r="Y10" i="11"/>
  <c r="X23" i="11"/>
  <c r="Y23" i="11" s="1"/>
  <c r="S233" i="5"/>
  <c r="R233" i="5"/>
  <c r="S296" i="5"/>
  <c r="R296" i="5"/>
  <c r="S312" i="5"/>
  <c r="R312" i="5"/>
  <c r="S303" i="5"/>
  <c r="R303" i="5"/>
  <c r="R302" i="5"/>
  <c r="S302" i="5"/>
  <c r="R314" i="5"/>
  <c r="S314" i="5"/>
  <c r="S322" i="5"/>
  <c r="R322" i="5"/>
  <c r="S318" i="5"/>
  <c r="R318" i="5"/>
  <c r="L337" i="5"/>
  <c r="L333" i="5"/>
  <c r="L340" i="5"/>
  <c r="L352" i="5"/>
  <c r="L345" i="5"/>
  <c r="L339" i="5"/>
  <c r="L354" i="5"/>
  <c r="L351" i="5"/>
  <c r="L342" i="5"/>
  <c r="L349" i="5"/>
  <c r="L336" i="5"/>
  <c r="L331" i="5"/>
  <c r="L346" i="5"/>
  <c r="L326" i="5"/>
  <c r="L338" i="5"/>
  <c r="L332" i="5"/>
  <c r="L325" i="5"/>
  <c r="L350" i="5"/>
  <c r="L344" i="5"/>
  <c r="L353" i="5"/>
  <c r="L343" i="5"/>
  <c r="L335" i="5"/>
  <c r="L330" i="5"/>
  <c r="L329" i="5"/>
  <c r="AC15" i="5"/>
  <c r="R324" i="5"/>
  <c r="S324" i="5"/>
  <c r="R316" i="5"/>
  <c r="S316" i="5"/>
  <c r="AA25" i="5"/>
  <c r="E24" i="5"/>
  <c r="S305" i="5"/>
  <c r="R305" i="5"/>
  <c r="S319" i="5"/>
  <c r="R319" i="5"/>
  <c r="S317" i="5"/>
  <c r="R317" i="5"/>
  <c r="R311" i="5"/>
  <c r="S311" i="5"/>
  <c r="R309" i="5"/>
  <c r="S309" i="5"/>
  <c r="R315" i="5"/>
  <c r="S315" i="5"/>
  <c r="R297" i="5"/>
  <c r="S297" i="5"/>
  <c r="R300" i="5"/>
  <c r="S300" i="5"/>
  <c r="S294" i="5"/>
  <c r="R294" i="5"/>
  <c r="S321" i="5"/>
  <c r="R321" i="5"/>
  <c r="R295" i="5"/>
  <c r="S295" i="5"/>
  <c r="S323" i="5"/>
  <c r="R323" i="5"/>
  <c r="R304" i="5"/>
  <c r="S304" i="5"/>
  <c r="L76" i="5"/>
  <c r="L72" i="5"/>
  <c r="L64" i="5"/>
  <c r="L60" i="5"/>
  <c r="L56" i="5"/>
  <c r="L52" i="5"/>
  <c r="L67" i="5"/>
  <c r="L78" i="5"/>
  <c r="L77" i="5"/>
  <c r="L65" i="5"/>
  <c r="L55" i="5"/>
  <c r="L66" i="5"/>
  <c r="L57" i="5"/>
  <c r="AC6" i="5"/>
  <c r="L74" i="5"/>
  <c r="L69" i="5"/>
  <c r="L79" i="5"/>
  <c r="L51" i="5"/>
  <c r="L70" i="5"/>
  <c r="L53" i="5"/>
  <c r="L63" i="5"/>
  <c r="L58" i="5"/>
  <c r="L71" i="5"/>
  <c r="L59" i="5"/>
  <c r="S308" i="5"/>
  <c r="R308" i="5"/>
  <c r="S301" i="5"/>
  <c r="R301" i="5"/>
  <c r="S298" i="5"/>
  <c r="R298" i="5"/>
  <c r="R310" i="5"/>
  <c r="S310" i="5"/>
  <c r="E24" i="3"/>
  <c r="G25" i="3"/>
  <c r="B22" i="9" l="1"/>
  <c r="B22" i="10"/>
  <c r="Q16" i="3"/>
  <c r="K16" i="3"/>
  <c r="AA16" i="3" s="1"/>
  <c r="I16" i="14"/>
  <c r="I18" i="14" s="1"/>
  <c r="F16" i="14"/>
  <c r="F18" i="14" s="1"/>
  <c r="N16" i="3"/>
  <c r="Q10" i="3"/>
  <c r="C17" i="14"/>
  <c r="B12" i="10"/>
  <c r="N11" i="3"/>
  <c r="Q11" i="3"/>
  <c r="K11" i="3"/>
  <c r="AA11" i="3" s="1"/>
  <c r="B12" i="9"/>
  <c r="N10" i="3"/>
  <c r="AG48" i="3"/>
  <c r="K10" i="3"/>
  <c r="AA10" i="3" s="1"/>
  <c r="B10" i="9"/>
  <c r="Z25" i="5"/>
  <c r="G24" i="5"/>
  <c r="S356" i="5"/>
  <c r="L109" i="5"/>
  <c r="N109" i="5" s="1"/>
  <c r="L105" i="5"/>
  <c r="N105" i="5" s="1"/>
  <c r="L81" i="5"/>
  <c r="N81" i="5" s="1"/>
  <c r="R174" i="5"/>
  <c r="S357" i="5"/>
  <c r="L92" i="5"/>
  <c r="M92" i="5" s="1"/>
  <c r="L97" i="5"/>
  <c r="M97" i="5" s="1"/>
  <c r="L107" i="5"/>
  <c r="N107" i="5" s="1"/>
  <c r="L80" i="5"/>
  <c r="P80" i="5" s="1"/>
  <c r="L85" i="5"/>
  <c r="N85" i="5" s="1"/>
  <c r="L84" i="5"/>
  <c r="N84" i="5" s="1"/>
  <c r="L94" i="5"/>
  <c r="M94" i="5" s="1"/>
  <c r="L100" i="5"/>
  <c r="M100" i="5" s="1"/>
  <c r="L91" i="5"/>
  <c r="N91" i="5" s="1"/>
  <c r="L88" i="5"/>
  <c r="N88" i="5" s="1"/>
  <c r="L90" i="5"/>
  <c r="N90" i="5" s="1"/>
  <c r="L106" i="5"/>
  <c r="N106" i="5" s="1"/>
  <c r="L104" i="5"/>
  <c r="M104" i="5" s="1"/>
  <c r="AC7" i="5"/>
  <c r="L95" i="5"/>
  <c r="N95" i="5" s="1"/>
  <c r="S150" i="5"/>
  <c r="L83" i="5"/>
  <c r="L101" i="5"/>
  <c r="M101" i="5" s="1"/>
  <c r="L87" i="5"/>
  <c r="M87" i="5" s="1"/>
  <c r="L98" i="5"/>
  <c r="M98" i="5" s="1"/>
  <c r="L108" i="5"/>
  <c r="M108" i="5" s="1"/>
  <c r="R364" i="5"/>
  <c r="S379" i="5"/>
  <c r="S367" i="5"/>
  <c r="R147" i="5"/>
  <c r="L93" i="5"/>
  <c r="N93" i="5" s="1"/>
  <c r="L86" i="5"/>
  <c r="R368" i="5"/>
  <c r="S380" i="5"/>
  <c r="R172" i="5"/>
  <c r="S377" i="5"/>
  <c r="R363" i="5"/>
  <c r="R374" i="5"/>
  <c r="R360" i="5"/>
  <c r="S361" i="5"/>
  <c r="S375" i="5"/>
  <c r="R371" i="5"/>
  <c r="R358" i="5"/>
  <c r="S381" i="5"/>
  <c r="R156" i="5"/>
  <c r="R142" i="5"/>
  <c r="R153" i="5"/>
  <c r="R161" i="5"/>
  <c r="R141" i="5"/>
  <c r="R372" i="5"/>
  <c r="S163" i="5"/>
  <c r="S171" i="5"/>
  <c r="S365" i="5"/>
  <c r="R366" i="5"/>
  <c r="L226" i="5"/>
  <c r="M226" i="5" s="1"/>
  <c r="L204" i="5"/>
  <c r="N204" i="5" s="1"/>
  <c r="L227" i="5"/>
  <c r="M227" i="5" s="1"/>
  <c r="S269" i="5"/>
  <c r="S154" i="5"/>
  <c r="S119" i="5"/>
  <c r="R167" i="5"/>
  <c r="S359" i="5"/>
  <c r="R373" i="5"/>
  <c r="S160" i="5"/>
  <c r="S148" i="5"/>
  <c r="R261" i="5"/>
  <c r="R135" i="5"/>
  <c r="L228" i="5"/>
  <c r="N228" i="5" s="1"/>
  <c r="R158" i="5"/>
  <c r="S24" i="5"/>
  <c r="S270" i="5"/>
  <c r="R275" i="5"/>
  <c r="S185" i="5"/>
  <c r="S149" i="5"/>
  <c r="S251" i="5"/>
  <c r="S382" i="5"/>
  <c r="S132" i="5"/>
  <c r="R378" i="5"/>
  <c r="R165" i="5"/>
  <c r="L217" i="5"/>
  <c r="N217" i="5" s="1"/>
  <c r="S155" i="5"/>
  <c r="S151" i="5"/>
  <c r="R272" i="5"/>
  <c r="R281" i="5"/>
  <c r="R268" i="5"/>
  <c r="R130" i="5"/>
  <c r="S240" i="5"/>
  <c r="S122" i="5"/>
  <c r="S125" i="5"/>
  <c r="S164" i="5"/>
  <c r="R289" i="5"/>
  <c r="R273" i="5"/>
  <c r="R283" i="5"/>
  <c r="S115" i="5"/>
  <c r="S282" i="5"/>
  <c r="S287" i="5"/>
  <c r="R238" i="5"/>
  <c r="R168" i="5"/>
  <c r="S127" i="5"/>
  <c r="R129" i="5"/>
  <c r="R280" i="5"/>
  <c r="S157" i="5"/>
  <c r="R192" i="5"/>
  <c r="S113" i="5"/>
  <c r="R254" i="5"/>
  <c r="S242" i="5"/>
  <c r="S258" i="5"/>
  <c r="R112" i="5"/>
  <c r="S288" i="5"/>
  <c r="S263" i="5"/>
  <c r="S267" i="5"/>
  <c r="S259" i="5"/>
  <c r="X24" i="5"/>
  <c r="S256" i="5"/>
  <c r="R255" i="5"/>
  <c r="R284" i="5"/>
  <c r="S169" i="5"/>
  <c r="S162" i="5"/>
  <c r="S291" i="5"/>
  <c r="L210" i="5"/>
  <c r="M210" i="5" s="1"/>
  <c r="S133" i="5"/>
  <c r="L202" i="5"/>
  <c r="N202" i="5" s="1"/>
  <c r="S234" i="5"/>
  <c r="S260" i="5"/>
  <c r="R170" i="5"/>
  <c r="L232" i="5"/>
  <c r="N232" i="5" s="1"/>
  <c r="L205" i="5"/>
  <c r="M205" i="5" s="1"/>
  <c r="L231" i="5"/>
  <c r="N231" i="5" s="1"/>
  <c r="L213" i="5"/>
  <c r="N213" i="5" s="1"/>
  <c r="R42" i="5"/>
  <c r="L218" i="5"/>
  <c r="M218" i="5" s="1"/>
  <c r="R136" i="5"/>
  <c r="S118" i="5"/>
  <c r="L230" i="5"/>
  <c r="M230" i="5" s="1"/>
  <c r="S114" i="5"/>
  <c r="L212" i="5"/>
  <c r="N212" i="5" s="1"/>
  <c r="L219" i="5"/>
  <c r="N219" i="5" s="1"/>
  <c r="R134" i="5"/>
  <c r="S266" i="5"/>
  <c r="R235" i="5"/>
  <c r="X41" i="5"/>
  <c r="R370" i="5"/>
  <c r="AC11" i="5"/>
  <c r="L211" i="5"/>
  <c r="N211" i="5" s="1"/>
  <c r="L220" i="5"/>
  <c r="N220" i="5" s="1"/>
  <c r="L221" i="5"/>
  <c r="N221" i="5" s="1"/>
  <c r="R186" i="5"/>
  <c r="S290" i="5"/>
  <c r="W27" i="5"/>
  <c r="R126" i="5"/>
  <c r="L206" i="5"/>
  <c r="M206" i="5" s="1"/>
  <c r="L203" i="5"/>
  <c r="M203" i="5" s="1"/>
  <c r="L223" i="5"/>
  <c r="M223" i="5" s="1"/>
  <c r="L225" i="5"/>
  <c r="N225" i="5" s="1"/>
  <c r="R116" i="5"/>
  <c r="L207" i="5"/>
  <c r="N207" i="5" s="1"/>
  <c r="L214" i="5"/>
  <c r="M214" i="5" s="1"/>
  <c r="L224" i="5"/>
  <c r="N224" i="5" s="1"/>
  <c r="R274" i="5"/>
  <c r="R37" i="5"/>
  <c r="S265" i="5"/>
  <c r="X31" i="5"/>
  <c r="W34" i="5"/>
  <c r="S197" i="5"/>
  <c r="S276" i="5"/>
  <c r="R262" i="5"/>
  <c r="S241" i="5"/>
  <c r="S239" i="5"/>
  <c r="S237" i="5"/>
  <c r="S188" i="5"/>
  <c r="R249" i="5"/>
  <c r="S179" i="5"/>
  <c r="S293" i="5"/>
  <c r="S181" i="5"/>
  <c r="R46" i="5"/>
  <c r="R277" i="5"/>
  <c r="R123" i="5"/>
  <c r="X30" i="5"/>
  <c r="S182" i="5"/>
  <c r="S253" i="5"/>
  <c r="R28" i="5"/>
  <c r="R191" i="5"/>
  <c r="S121" i="5"/>
  <c r="S137" i="5"/>
  <c r="R195" i="5"/>
  <c r="S120" i="5"/>
  <c r="R38" i="5"/>
  <c r="R252" i="5"/>
  <c r="R183" i="5"/>
  <c r="R128" i="5"/>
  <c r="S111" i="5"/>
  <c r="S36" i="5"/>
  <c r="S140" i="5"/>
  <c r="S34" i="5"/>
  <c r="W38" i="5"/>
  <c r="R184" i="5"/>
  <c r="S50" i="5"/>
  <c r="R45" i="5"/>
  <c r="R200" i="5"/>
  <c r="R27" i="5"/>
  <c r="R193" i="5"/>
  <c r="X32" i="5"/>
  <c r="W46" i="5"/>
  <c r="W39" i="5"/>
  <c r="X36" i="5"/>
  <c r="R35" i="5"/>
  <c r="S175" i="5"/>
  <c r="R176" i="5"/>
  <c r="X49" i="5"/>
  <c r="R49" i="5"/>
  <c r="X28" i="5"/>
  <c r="R196" i="5"/>
  <c r="S190" i="5"/>
  <c r="W35" i="5"/>
  <c r="R177" i="5"/>
  <c r="S43" i="5"/>
  <c r="X44" i="5"/>
  <c r="S178" i="5"/>
  <c r="R41" i="5"/>
  <c r="S48" i="5"/>
  <c r="X37" i="5"/>
  <c r="S32" i="5"/>
  <c r="R199" i="5"/>
  <c r="R31" i="5"/>
  <c r="R189" i="5"/>
  <c r="X45" i="5"/>
  <c r="S30" i="5"/>
  <c r="X43" i="5"/>
  <c r="R39" i="5"/>
  <c r="R44" i="5"/>
  <c r="R29" i="5"/>
  <c r="S198" i="5"/>
  <c r="X42" i="5"/>
  <c r="W50" i="5"/>
  <c r="X29" i="5"/>
  <c r="X48" i="5"/>
  <c r="AC23" i="11"/>
  <c r="AD23" i="11" s="1"/>
  <c r="Z30" i="12"/>
  <c r="G29" i="12"/>
  <c r="E28" i="12"/>
  <c r="Y29" i="12"/>
  <c r="C9" i="7"/>
  <c r="L9" i="7" s="1"/>
  <c r="B10" i="7"/>
  <c r="AD21" i="11"/>
  <c r="AC22" i="11"/>
  <c r="N57" i="5"/>
  <c r="M57" i="5"/>
  <c r="N58" i="5"/>
  <c r="M58" i="5"/>
  <c r="M52" i="5"/>
  <c r="N52" i="5"/>
  <c r="M102" i="5"/>
  <c r="N102" i="5"/>
  <c r="N330" i="5"/>
  <c r="M330" i="5"/>
  <c r="M338" i="5"/>
  <c r="N338" i="5"/>
  <c r="N354" i="5"/>
  <c r="M354" i="5"/>
  <c r="N335" i="5"/>
  <c r="M335" i="5"/>
  <c r="N326" i="5"/>
  <c r="M326" i="5"/>
  <c r="N339" i="5"/>
  <c r="M339" i="5"/>
  <c r="M343" i="5"/>
  <c r="N343" i="5"/>
  <c r="M346" i="5"/>
  <c r="N346" i="5"/>
  <c r="M345" i="5"/>
  <c r="N345" i="5"/>
  <c r="N55" i="5"/>
  <c r="M55" i="5"/>
  <c r="M209" i="5"/>
  <c r="N209" i="5"/>
  <c r="N56" i="5"/>
  <c r="M56" i="5"/>
  <c r="N64" i="5"/>
  <c r="M64" i="5"/>
  <c r="M66" i="5"/>
  <c r="N66" i="5"/>
  <c r="N70" i="5"/>
  <c r="M70" i="5"/>
  <c r="N331" i="5"/>
  <c r="M331" i="5"/>
  <c r="N352" i="5"/>
  <c r="M352" i="5"/>
  <c r="N51" i="5"/>
  <c r="P60" i="5"/>
  <c r="P59" i="5"/>
  <c r="P58" i="5"/>
  <c r="P57" i="5"/>
  <c r="P66" i="5"/>
  <c r="P78" i="5"/>
  <c r="P74" i="5"/>
  <c r="P69" i="5"/>
  <c r="P67" i="5"/>
  <c r="M51" i="5"/>
  <c r="P79" i="5"/>
  <c r="P76" i="5"/>
  <c r="P70" i="5"/>
  <c r="P64" i="5"/>
  <c r="P53" i="5"/>
  <c r="P51" i="5"/>
  <c r="P72" i="5"/>
  <c r="P63" i="5"/>
  <c r="P52" i="5"/>
  <c r="P56" i="5"/>
  <c r="P71" i="5"/>
  <c r="P77" i="5"/>
  <c r="P55" i="5"/>
  <c r="P65" i="5"/>
  <c r="U70" i="5"/>
  <c r="U76" i="5"/>
  <c r="U60" i="5"/>
  <c r="U57" i="5"/>
  <c r="U72" i="5"/>
  <c r="U78" i="5"/>
  <c r="U55" i="5"/>
  <c r="U69" i="5"/>
  <c r="U71" i="5"/>
  <c r="U56" i="5"/>
  <c r="U58" i="5"/>
  <c r="U65" i="5"/>
  <c r="U51" i="5"/>
  <c r="U59" i="5"/>
  <c r="U63" i="5"/>
  <c r="U53" i="5"/>
  <c r="U77" i="5"/>
  <c r="U79" i="5"/>
  <c r="U67" i="5"/>
  <c r="U64" i="5"/>
  <c r="U52" i="5"/>
  <c r="U66" i="5"/>
  <c r="U74" i="5"/>
  <c r="M65" i="5"/>
  <c r="N65" i="5"/>
  <c r="N72" i="5"/>
  <c r="M72" i="5"/>
  <c r="N344" i="5"/>
  <c r="M344" i="5"/>
  <c r="N340" i="5"/>
  <c r="M340" i="5"/>
  <c r="N79" i="5"/>
  <c r="M79" i="5"/>
  <c r="M76" i="5"/>
  <c r="N76" i="5"/>
  <c r="N350" i="5"/>
  <c r="M350" i="5"/>
  <c r="N349" i="5"/>
  <c r="M349" i="5"/>
  <c r="P354" i="5"/>
  <c r="P350" i="5"/>
  <c r="P346" i="5"/>
  <c r="P349" i="5"/>
  <c r="P353" i="5"/>
  <c r="P352" i="5"/>
  <c r="P351" i="5"/>
  <c r="P339" i="5"/>
  <c r="P335" i="5"/>
  <c r="P345" i="5"/>
  <c r="P344" i="5"/>
  <c r="P343" i="5"/>
  <c r="P337" i="5"/>
  <c r="P326" i="5"/>
  <c r="P333" i="5"/>
  <c r="P332" i="5"/>
  <c r="P331" i="5"/>
  <c r="P330" i="5"/>
  <c r="P338" i="5"/>
  <c r="P329" i="5"/>
  <c r="P325" i="5"/>
  <c r="P342" i="5"/>
  <c r="N325" i="5"/>
  <c r="M325" i="5"/>
  <c r="P340" i="5"/>
  <c r="P336" i="5"/>
  <c r="N342" i="5"/>
  <c r="M342" i="5"/>
  <c r="N337" i="5"/>
  <c r="M337" i="5"/>
  <c r="N63" i="5"/>
  <c r="M63" i="5"/>
  <c r="N53" i="5"/>
  <c r="M53" i="5"/>
  <c r="N60" i="5"/>
  <c r="M60" i="5"/>
  <c r="N353" i="5"/>
  <c r="M353" i="5"/>
  <c r="N336" i="5"/>
  <c r="M336" i="5"/>
  <c r="N77" i="5"/>
  <c r="M77" i="5"/>
  <c r="E25" i="5"/>
  <c r="AA26" i="5"/>
  <c r="N333" i="5"/>
  <c r="M333" i="5"/>
  <c r="N59" i="5"/>
  <c r="M59" i="5"/>
  <c r="N69" i="5"/>
  <c r="M69" i="5"/>
  <c r="N78" i="5"/>
  <c r="M78" i="5"/>
  <c r="N71" i="5"/>
  <c r="M71" i="5"/>
  <c r="M74" i="5"/>
  <c r="N74" i="5"/>
  <c r="N67" i="5"/>
  <c r="M67" i="5"/>
  <c r="N329" i="5"/>
  <c r="M329" i="5"/>
  <c r="N332" i="5"/>
  <c r="M332" i="5"/>
  <c r="M351" i="5"/>
  <c r="N351" i="5"/>
  <c r="E25" i="3"/>
  <c r="G26" i="3"/>
  <c r="D80" i="14" l="1"/>
  <c r="D68" i="14"/>
  <c r="D65" i="14"/>
  <c r="D75" i="14"/>
  <c r="D64" i="14"/>
  <c r="D54" i="14"/>
  <c r="D61" i="14"/>
  <c r="D60" i="14"/>
  <c r="D50" i="14"/>
  <c r="D52" i="14"/>
  <c r="D79" i="14"/>
  <c r="D53" i="14"/>
  <c r="D57" i="14"/>
  <c r="D72" i="14"/>
  <c r="D63" i="14"/>
  <c r="D51" i="14"/>
  <c r="D77" i="14"/>
  <c r="D59" i="14"/>
  <c r="D66" i="14"/>
  <c r="D58" i="14"/>
  <c r="D67" i="14"/>
  <c r="D78" i="14"/>
  <c r="D56" i="14"/>
  <c r="D74" i="14"/>
  <c r="D73" i="14"/>
  <c r="D71" i="14"/>
  <c r="M105" i="5"/>
  <c r="Z26" i="5"/>
  <c r="G25" i="5"/>
  <c r="M109" i="5"/>
  <c r="M81" i="5"/>
  <c r="N92" i="5"/>
  <c r="M107" i="5"/>
  <c r="N97" i="5"/>
  <c r="N94" i="5"/>
  <c r="M85" i="5"/>
  <c r="N80" i="5"/>
  <c r="P81" i="5"/>
  <c r="R81" i="5" s="1"/>
  <c r="M80" i="5"/>
  <c r="U80" i="5"/>
  <c r="X80" i="5" s="1"/>
  <c r="U81" i="5"/>
  <c r="X81" i="5" s="1"/>
  <c r="M84" i="5"/>
  <c r="N100" i="5"/>
  <c r="P85" i="5"/>
  <c r="S85" i="5" s="1"/>
  <c r="M88" i="5"/>
  <c r="M91" i="5"/>
  <c r="M90" i="5"/>
  <c r="M106" i="5"/>
  <c r="N104" i="5"/>
  <c r="U83" i="5"/>
  <c r="X83" i="5" s="1"/>
  <c r="N83" i="5"/>
  <c r="P83" i="5"/>
  <c r="R83" i="5" s="1"/>
  <c r="N101" i="5"/>
  <c r="U85" i="5"/>
  <c r="X85" i="5" s="1"/>
  <c r="M83" i="5"/>
  <c r="U84" i="5"/>
  <c r="X84" i="5" s="1"/>
  <c r="P84" i="5"/>
  <c r="R84" i="5" s="1"/>
  <c r="M95" i="5"/>
  <c r="N108" i="5"/>
  <c r="P88" i="5"/>
  <c r="S88" i="5" s="1"/>
  <c r="N87" i="5"/>
  <c r="N98" i="5"/>
  <c r="U113" i="5"/>
  <c r="W113" i="5" s="1"/>
  <c r="U167" i="5"/>
  <c r="W167" i="5" s="1"/>
  <c r="U108" i="5"/>
  <c r="W108" i="5" s="1"/>
  <c r="M93" i="5"/>
  <c r="U193" i="5"/>
  <c r="X193" i="5" s="1"/>
  <c r="U171" i="5"/>
  <c r="X171" i="5" s="1"/>
  <c r="U177" i="5"/>
  <c r="W177" i="5" s="1"/>
  <c r="U92" i="5"/>
  <c r="X92" i="5" s="1"/>
  <c r="U189" i="5"/>
  <c r="X189" i="5" s="1"/>
  <c r="U129" i="5"/>
  <c r="W129" i="5" s="1"/>
  <c r="U95" i="5"/>
  <c r="W95" i="5" s="1"/>
  <c r="U102" i="5"/>
  <c r="W102" i="5" s="1"/>
  <c r="U184" i="5"/>
  <c r="W184" i="5" s="1"/>
  <c r="U115" i="5"/>
  <c r="X115" i="5" s="1"/>
  <c r="P108" i="5"/>
  <c r="R108" i="5" s="1"/>
  <c r="U161" i="5"/>
  <c r="W161" i="5" s="1"/>
  <c r="U165" i="5"/>
  <c r="W165" i="5" s="1"/>
  <c r="U137" i="5"/>
  <c r="X137" i="5" s="1"/>
  <c r="U191" i="5"/>
  <c r="W191" i="5" s="1"/>
  <c r="U140" i="5"/>
  <c r="W140" i="5" s="1"/>
  <c r="U121" i="5"/>
  <c r="W121" i="5" s="1"/>
  <c r="U109" i="5"/>
  <c r="X109" i="5" s="1"/>
  <c r="U88" i="5"/>
  <c r="W88" i="5" s="1"/>
  <c r="U116" i="5"/>
  <c r="X116" i="5" s="1"/>
  <c r="U157" i="5"/>
  <c r="W157" i="5" s="1"/>
  <c r="P91" i="5"/>
  <c r="R91" i="5" s="1"/>
  <c r="U170" i="5"/>
  <c r="X170" i="5" s="1"/>
  <c r="U148" i="5"/>
  <c r="W148" i="5" s="1"/>
  <c r="U101" i="5"/>
  <c r="X101" i="5" s="1"/>
  <c r="U141" i="5"/>
  <c r="W141" i="5" s="1"/>
  <c r="U175" i="5"/>
  <c r="X175" i="5" s="1"/>
  <c r="U132" i="5"/>
  <c r="X132" i="5" s="1"/>
  <c r="U106" i="5"/>
  <c r="X106" i="5" s="1"/>
  <c r="U186" i="5"/>
  <c r="W186" i="5" s="1"/>
  <c r="U169" i="5"/>
  <c r="W169" i="5" s="1"/>
  <c r="U114" i="5"/>
  <c r="X114" i="5" s="1"/>
  <c r="U154" i="5"/>
  <c r="X154" i="5" s="1"/>
  <c r="U160" i="5"/>
  <c r="W160" i="5" s="1"/>
  <c r="U90" i="5"/>
  <c r="X90" i="5" s="1"/>
  <c r="U91" i="5"/>
  <c r="W91" i="5" s="1"/>
  <c r="U155" i="5"/>
  <c r="X155" i="5" s="1"/>
  <c r="U126" i="5"/>
  <c r="X126" i="5" s="1"/>
  <c r="P101" i="5"/>
  <c r="S101" i="5" s="1"/>
  <c r="P93" i="5"/>
  <c r="R93" i="5" s="1"/>
  <c r="U158" i="5"/>
  <c r="X158" i="5" s="1"/>
  <c r="U107" i="5"/>
  <c r="X107" i="5" s="1"/>
  <c r="U118" i="5"/>
  <c r="W118" i="5" s="1"/>
  <c r="U195" i="5"/>
  <c r="W195" i="5" s="1"/>
  <c r="U94" i="5"/>
  <c r="X94" i="5" s="1"/>
  <c r="U192" i="5"/>
  <c r="X192" i="5" s="1"/>
  <c r="P109" i="5"/>
  <c r="R109" i="5" s="1"/>
  <c r="P105" i="5"/>
  <c r="S105" i="5" s="1"/>
  <c r="U197" i="5"/>
  <c r="X197" i="5" s="1"/>
  <c r="U111" i="5"/>
  <c r="X111" i="5" s="1"/>
  <c r="U100" i="5"/>
  <c r="W100" i="5" s="1"/>
  <c r="U199" i="5"/>
  <c r="W199" i="5" s="1"/>
  <c r="U136" i="5"/>
  <c r="W136" i="5" s="1"/>
  <c r="U134" i="5"/>
  <c r="X134" i="5" s="1"/>
  <c r="P97" i="5"/>
  <c r="S97" i="5" s="1"/>
  <c r="P90" i="5"/>
  <c r="R90" i="5" s="1"/>
  <c r="P98" i="5"/>
  <c r="R98" i="5" s="1"/>
  <c r="U179" i="5"/>
  <c r="X179" i="5" s="1"/>
  <c r="U104" i="5"/>
  <c r="W104" i="5" s="1"/>
  <c r="U163" i="5"/>
  <c r="X163" i="5" s="1"/>
  <c r="U198" i="5"/>
  <c r="W198" i="5" s="1"/>
  <c r="U183" i="5"/>
  <c r="X183" i="5" s="1"/>
  <c r="U123" i="5"/>
  <c r="X123" i="5" s="1"/>
  <c r="U128" i="5"/>
  <c r="W128" i="5" s="1"/>
  <c r="U147" i="5"/>
  <c r="X147" i="5" s="1"/>
  <c r="P92" i="5"/>
  <c r="R92" i="5" s="1"/>
  <c r="U168" i="5"/>
  <c r="X168" i="5" s="1"/>
  <c r="U181" i="5"/>
  <c r="X181" i="5" s="1"/>
  <c r="U135" i="5"/>
  <c r="X135" i="5" s="1"/>
  <c r="U130" i="5"/>
  <c r="W130" i="5" s="1"/>
  <c r="P100" i="5"/>
  <c r="S100" i="5" s="1"/>
  <c r="U127" i="5"/>
  <c r="W127" i="5" s="1"/>
  <c r="U172" i="5"/>
  <c r="X172" i="5" s="1"/>
  <c r="U97" i="5"/>
  <c r="X97" i="5" s="1"/>
  <c r="U151" i="5"/>
  <c r="X151" i="5" s="1"/>
  <c r="U156" i="5"/>
  <c r="W156" i="5" s="1"/>
  <c r="U125" i="5"/>
  <c r="W125" i="5" s="1"/>
  <c r="U122" i="5"/>
  <c r="W122" i="5" s="1"/>
  <c r="P106" i="5"/>
  <c r="R106" i="5" s="1"/>
  <c r="P87" i="5"/>
  <c r="R87" i="5" s="1"/>
  <c r="M86" i="5"/>
  <c r="N86" i="5"/>
  <c r="P94" i="5"/>
  <c r="R94" i="5" s="1"/>
  <c r="U153" i="5"/>
  <c r="X153" i="5" s="1"/>
  <c r="U112" i="5"/>
  <c r="W112" i="5" s="1"/>
  <c r="U93" i="5"/>
  <c r="X93" i="5" s="1"/>
  <c r="U87" i="5"/>
  <c r="W87" i="5" s="1"/>
  <c r="U200" i="5"/>
  <c r="X200" i="5" s="1"/>
  <c r="U185" i="5"/>
  <c r="W185" i="5" s="1"/>
  <c r="U86" i="5"/>
  <c r="W86" i="5" s="1"/>
  <c r="U176" i="5"/>
  <c r="X176" i="5" s="1"/>
  <c r="U150" i="5"/>
  <c r="W150" i="5" s="1"/>
  <c r="U190" i="5"/>
  <c r="X190" i="5" s="1"/>
  <c r="P107" i="5"/>
  <c r="R107" i="5" s="1"/>
  <c r="M204" i="5"/>
  <c r="P104" i="5"/>
  <c r="R104" i="5" s="1"/>
  <c r="P95" i="5"/>
  <c r="S95" i="5" s="1"/>
  <c r="U98" i="5"/>
  <c r="W98" i="5" s="1"/>
  <c r="U162" i="5"/>
  <c r="W162" i="5" s="1"/>
  <c r="U119" i="5"/>
  <c r="X119" i="5" s="1"/>
  <c r="U174" i="5"/>
  <c r="X174" i="5" s="1"/>
  <c r="U188" i="5"/>
  <c r="W188" i="5" s="1"/>
  <c r="U178" i="5"/>
  <c r="X178" i="5" s="1"/>
  <c r="U133" i="5"/>
  <c r="W133" i="5" s="1"/>
  <c r="U196" i="5"/>
  <c r="X196" i="5" s="1"/>
  <c r="U105" i="5"/>
  <c r="W105" i="5" s="1"/>
  <c r="U142" i="5"/>
  <c r="X142" i="5" s="1"/>
  <c r="U120" i="5"/>
  <c r="X120" i="5" s="1"/>
  <c r="U182" i="5"/>
  <c r="X182" i="5" s="1"/>
  <c r="U149" i="5"/>
  <c r="X149" i="5" s="1"/>
  <c r="U164" i="5"/>
  <c r="X164" i="5" s="1"/>
  <c r="P102" i="5"/>
  <c r="S102" i="5" s="1"/>
  <c r="P86" i="5"/>
  <c r="R86" i="5" s="1"/>
  <c r="M228" i="5"/>
  <c r="N226" i="5"/>
  <c r="N227" i="5"/>
  <c r="M231" i="5"/>
  <c r="M212" i="5"/>
  <c r="M217" i="5"/>
  <c r="M207" i="5"/>
  <c r="N230" i="5"/>
  <c r="N214" i="5"/>
  <c r="U287" i="5"/>
  <c r="W287" i="5" s="1"/>
  <c r="U302" i="5"/>
  <c r="X302" i="5" s="1"/>
  <c r="M213" i="5"/>
  <c r="U259" i="5"/>
  <c r="X259" i="5" s="1"/>
  <c r="M232" i="5"/>
  <c r="N218" i="5"/>
  <c r="M225" i="5"/>
  <c r="M221" i="5"/>
  <c r="U223" i="5"/>
  <c r="W223" i="5" s="1"/>
  <c r="P213" i="5"/>
  <c r="S213" i="5" s="1"/>
  <c r="U254" i="5"/>
  <c r="W254" i="5" s="1"/>
  <c r="U339" i="5"/>
  <c r="W339" i="5" s="1"/>
  <c r="U270" i="5"/>
  <c r="X270" i="5" s="1"/>
  <c r="U319" i="5"/>
  <c r="X319" i="5" s="1"/>
  <c r="U296" i="5"/>
  <c r="W296" i="5" s="1"/>
  <c r="P217" i="5"/>
  <c r="R217" i="5" s="1"/>
  <c r="U289" i="5"/>
  <c r="W289" i="5" s="1"/>
  <c r="U365" i="5"/>
  <c r="X365" i="5" s="1"/>
  <c r="U210" i="5"/>
  <c r="W210" i="5" s="1"/>
  <c r="N205" i="5"/>
  <c r="N223" i="5"/>
  <c r="M219" i="5"/>
  <c r="U231" i="5"/>
  <c r="W231" i="5" s="1"/>
  <c r="U228" i="5"/>
  <c r="X228" i="5" s="1"/>
  <c r="U336" i="5"/>
  <c r="X336" i="5" s="1"/>
  <c r="P231" i="5"/>
  <c r="S231" i="5" s="1"/>
  <c r="U202" i="5"/>
  <c r="W202" i="5" s="1"/>
  <c r="U372" i="5"/>
  <c r="W372" i="5" s="1"/>
  <c r="U331" i="5"/>
  <c r="X331" i="5" s="1"/>
  <c r="P204" i="5"/>
  <c r="R204" i="5" s="1"/>
  <c r="M224" i="5"/>
  <c r="N206" i="5"/>
  <c r="U343" i="5"/>
  <c r="X343" i="5" s="1"/>
  <c r="M202" i="5"/>
  <c r="U354" i="5"/>
  <c r="X354" i="5" s="1"/>
  <c r="U234" i="5"/>
  <c r="X234" i="5" s="1"/>
  <c r="U258" i="5"/>
  <c r="W258" i="5" s="1"/>
  <c r="U204" i="5"/>
  <c r="X204" i="5" s="1"/>
  <c r="P205" i="5"/>
  <c r="R205" i="5" s="1"/>
  <c r="M211" i="5"/>
  <c r="U261" i="5"/>
  <c r="X261" i="5" s="1"/>
  <c r="U344" i="5"/>
  <c r="W344" i="5" s="1"/>
  <c r="U370" i="5"/>
  <c r="W370" i="5" s="1"/>
  <c r="U357" i="5"/>
  <c r="X357" i="5" s="1"/>
  <c r="U233" i="5"/>
  <c r="X233" i="5" s="1"/>
  <c r="U280" i="5"/>
  <c r="X280" i="5" s="1"/>
  <c r="P220" i="5"/>
  <c r="S220" i="5" s="1"/>
  <c r="N210" i="5"/>
  <c r="U322" i="5"/>
  <c r="W322" i="5" s="1"/>
  <c r="U274" i="5"/>
  <c r="X274" i="5" s="1"/>
  <c r="U251" i="5"/>
  <c r="W251" i="5" s="1"/>
  <c r="U318" i="5"/>
  <c r="X318" i="5" s="1"/>
  <c r="U314" i="5"/>
  <c r="X314" i="5" s="1"/>
  <c r="U213" i="5"/>
  <c r="X213" i="5" s="1"/>
  <c r="U382" i="5"/>
  <c r="W382" i="5" s="1"/>
  <c r="U288" i="5"/>
  <c r="W288" i="5" s="1"/>
  <c r="U263" i="5"/>
  <c r="X263" i="5" s="1"/>
  <c r="U379" i="5"/>
  <c r="X379" i="5" s="1"/>
  <c r="U303" i="5"/>
  <c r="W303" i="5" s="1"/>
  <c r="U224" i="5"/>
  <c r="W224" i="5" s="1"/>
  <c r="P226" i="5"/>
  <c r="S226" i="5" s="1"/>
  <c r="U363" i="5"/>
  <c r="W363" i="5" s="1"/>
  <c r="P210" i="5"/>
  <c r="R210" i="5" s="1"/>
  <c r="U227" i="5"/>
  <c r="W227" i="5" s="1"/>
  <c r="U293" i="5"/>
  <c r="W293" i="5" s="1"/>
  <c r="P202" i="5"/>
  <c r="R202" i="5" s="1"/>
  <c r="M220" i="5"/>
  <c r="U212" i="5"/>
  <c r="W212" i="5" s="1"/>
  <c r="U359" i="5"/>
  <c r="X359" i="5" s="1"/>
  <c r="U352" i="5"/>
  <c r="W352" i="5" s="1"/>
  <c r="U276" i="5"/>
  <c r="W276" i="5" s="1"/>
  <c r="U207" i="5"/>
  <c r="W207" i="5" s="1"/>
  <c r="U256" i="5"/>
  <c r="X256" i="5" s="1"/>
  <c r="U380" i="5"/>
  <c r="X380" i="5" s="1"/>
  <c r="U337" i="5"/>
  <c r="W337" i="5" s="1"/>
  <c r="U297" i="5"/>
  <c r="X297" i="5" s="1"/>
  <c r="P207" i="5"/>
  <c r="R207" i="5" s="1"/>
  <c r="P230" i="5"/>
  <c r="R230" i="5" s="1"/>
  <c r="U221" i="5"/>
  <c r="X221" i="5" s="1"/>
  <c r="U335" i="5"/>
  <c r="X335" i="5" s="1"/>
  <c r="U238" i="5"/>
  <c r="X238" i="5" s="1"/>
  <c r="U350" i="5"/>
  <c r="W350" i="5" s="1"/>
  <c r="U332" i="5"/>
  <c r="X332" i="5" s="1"/>
  <c r="U349" i="5"/>
  <c r="X349" i="5" s="1"/>
  <c r="U260" i="5"/>
  <c r="X260" i="5" s="1"/>
  <c r="U239" i="5"/>
  <c r="W239" i="5" s="1"/>
  <c r="P224" i="5"/>
  <c r="R224" i="5" s="1"/>
  <c r="P212" i="5"/>
  <c r="S212" i="5" s="1"/>
  <c r="U217" i="5"/>
  <c r="X217" i="5" s="1"/>
  <c r="U333" i="5"/>
  <c r="X333" i="5" s="1"/>
  <c r="U315" i="5"/>
  <c r="X315" i="5" s="1"/>
  <c r="U253" i="5"/>
  <c r="X253" i="5" s="1"/>
  <c r="U375" i="5"/>
  <c r="X375" i="5" s="1"/>
  <c r="U262" i="5"/>
  <c r="X262" i="5" s="1"/>
  <c r="U214" i="5"/>
  <c r="W214" i="5" s="1"/>
  <c r="U312" i="5"/>
  <c r="W312" i="5" s="1"/>
  <c r="U325" i="5"/>
  <c r="W325" i="5" s="1"/>
  <c r="U381" i="5"/>
  <c r="W381" i="5" s="1"/>
  <c r="U242" i="5"/>
  <c r="X242" i="5" s="1"/>
  <c r="P203" i="5"/>
  <c r="S203" i="5" s="1"/>
  <c r="P206" i="5"/>
  <c r="R206" i="5" s="1"/>
  <c r="U317" i="5"/>
  <c r="W317" i="5" s="1"/>
  <c r="U283" i="5"/>
  <c r="W283" i="5" s="1"/>
  <c r="U356" i="5"/>
  <c r="X356" i="5" s="1"/>
  <c r="U240" i="5"/>
  <c r="W240" i="5" s="1"/>
  <c r="U235" i="5"/>
  <c r="W235" i="5" s="1"/>
  <c r="U272" i="5"/>
  <c r="X272" i="5" s="1"/>
  <c r="U255" i="5"/>
  <c r="X255" i="5" s="1"/>
  <c r="U329" i="5"/>
  <c r="W329" i="5" s="1"/>
  <c r="U374" i="5"/>
  <c r="W374" i="5" s="1"/>
  <c r="U265" i="5"/>
  <c r="W265" i="5" s="1"/>
  <c r="U342" i="5"/>
  <c r="X342" i="5" s="1"/>
  <c r="U219" i="5"/>
  <c r="W219" i="5" s="1"/>
  <c r="U275" i="5"/>
  <c r="X275" i="5" s="1"/>
  <c r="U353" i="5"/>
  <c r="W353" i="5" s="1"/>
  <c r="U226" i="5"/>
  <c r="W226" i="5" s="1"/>
  <c r="U282" i="5"/>
  <c r="X282" i="5" s="1"/>
  <c r="U284" i="5"/>
  <c r="X284" i="5" s="1"/>
  <c r="U326" i="5"/>
  <c r="X326" i="5" s="1"/>
  <c r="U232" i="5"/>
  <c r="X232" i="5" s="1"/>
  <c r="U366" i="5"/>
  <c r="X366" i="5" s="1"/>
  <c r="U358" i="5"/>
  <c r="X358" i="5" s="1"/>
  <c r="P221" i="5"/>
  <c r="S221" i="5" s="1"/>
  <c r="P214" i="5"/>
  <c r="R214" i="5" s="1"/>
  <c r="N203" i="5"/>
  <c r="U237" i="5"/>
  <c r="X237" i="5" s="1"/>
  <c r="U209" i="5"/>
  <c r="X209" i="5" s="1"/>
  <c r="U330" i="5"/>
  <c r="X330" i="5" s="1"/>
  <c r="U310" i="5"/>
  <c r="X310" i="5" s="1"/>
  <c r="U205" i="5"/>
  <c r="W205" i="5" s="1"/>
  <c r="U291" i="5"/>
  <c r="X291" i="5" s="1"/>
  <c r="U241" i="5"/>
  <c r="W241" i="5" s="1"/>
  <c r="U309" i="5"/>
  <c r="X309" i="5" s="1"/>
  <c r="U218" i="5"/>
  <c r="X218" i="5" s="1"/>
  <c r="U321" i="5"/>
  <c r="X321" i="5" s="1"/>
  <c r="U295" i="5"/>
  <c r="X295" i="5" s="1"/>
  <c r="U252" i="5"/>
  <c r="W252" i="5" s="1"/>
  <c r="U225" i="5"/>
  <c r="X225" i="5" s="1"/>
  <c r="U345" i="5"/>
  <c r="X345" i="5" s="1"/>
  <c r="P228" i="5"/>
  <c r="S228" i="5" s="1"/>
  <c r="P227" i="5"/>
  <c r="S227" i="5" s="1"/>
  <c r="P209" i="5"/>
  <c r="S209" i="5" s="1"/>
  <c r="U371" i="5"/>
  <c r="X371" i="5" s="1"/>
  <c r="U294" i="5"/>
  <c r="W294" i="5" s="1"/>
  <c r="U269" i="5"/>
  <c r="X269" i="5" s="1"/>
  <c r="U377" i="5"/>
  <c r="W377" i="5" s="1"/>
  <c r="U203" i="5"/>
  <c r="W203" i="5" s="1"/>
  <c r="U268" i="5"/>
  <c r="X268" i="5" s="1"/>
  <c r="U277" i="5"/>
  <c r="X277" i="5" s="1"/>
  <c r="U266" i="5"/>
  <c r="X266" i="5" s="1"/>
  <c r="U220" i="5"/>
  <c r="W220" i="5" s="1"/>
  <c r="U206" i="5"/>
  <c r="X206" i="5" s="1"/>
  <c r="U230" i="5"/>
  <c r="X230" i="5" s="1"/>
  <c r="U298" i="5"/>
  <c r="X298" i="5" s="1"/>
  <c r="U367" i="5"/>
  <c r="X367" i="5" s="1"/>
  <c r="U249" i="5"/>
  <c r="W249" i="5" s="1"/>
  <c r="U373" i="5"/>
  <c r="W373" i="5" s="1"/>
  <c r="U267" i="5"/>
  <c r="X267" i="5" s="1"/>
  <c r="U308" i="5"/>
  <c r="X308" i="5" s="1"/>
  <c r="U305" i="5"/>
  <c r="X305" i="5" s="1"/>
  <c r="U338" i="5"/>
  <c r="W338" i="5" s="1"/>
  <c r="U351" i="5"/>
  <c r="X351" i="5" s="1"/>
  <c r="P223" i="5"/>
  <c r="R223" i="5" s="1"/>
  <c r="P218" i="5"/>
  <c r="R218" i="5" s="1"/>
  <c r="P211" i="5"/>
  <c r="R211" i="5" s="1"/>
  <c r="U340" i="5"/>
  <c r="X340" i="5" s="1"/>
  <c r="U364" i="5"/>
  <c r="W364" i="5" s="1"/>
  <c r="U300" i="5"/>
  <c r="W300" i="5" s="1"/>
  <c r="U281" i="5"/>
  <c r="W281" i="5" s="1"/>
  <c r="U360" i="5"/>
  <c r="X360" i="5" s="1"/>
  <c r="U211" i="5"/>
  <c r="W211" i="5" s="1"/>
  <c r="U301" i="5"/>
  <c r="X301" i="5" s="1"/>
  <c r="U361" i="5"/>
  <c r="W361" i="5" s="1"/>
  <c r="U368" i="5"/>
  <c r="X368" i="5" s="1"/>
  <c r="U290" i="5"/>
  <c r="W290" i="5" s="1"/>
  <c r="U323" i="5"/>
  <c r="X323" i="5" s="1"/>
  <c r="U316" i="5"/>
  <c r="W316" i="5" s="1"/>
  <c r="U311" i="5"/>
  <c r="X311" i="5" s="1"/>
  <c r="U346" i="5"/>
  <c r="X346" i="5" s="1"/>
  <c r="U273" i="5"/>
  <c r="W273" i="5" s="1"/>
  <c r="U378" i="5"/>
  <c r="W378" i="5" s="1"/>
  <c r="U304" i="5"/>
  <c r="W304" i="5" s="1"/>
  <c r="U324" i="5"/>
  <c r="W324" i="5" s="1"/>
  <c r="P225" i="5"/>
  <c r="R225" i="5" s="1"/>
  <c r="P232" i="5"/>
  <c r="R232" i="5" s="1"/>
  <c r="P219" i="5"/>
  <c r="R219" i="5" s="1"/>
  <c r="E29" i="12"/>
  <c r="Y30" i="12"/>
  <c r="Z31" i="12"/>
  <c r="G30" i="12"/>
  <c r="C10" i="7"/>
  <c r="L10" i="7" s="1"/>
  <c r="B11" i="7"/>
  <c r="R352" i="5"/>
  <c r="S352" i="5"/>
  <c r="W65" i="5"/>
  <c r="X65" i="5"/>
  <c r="S337" i="5"/>
  <c r="R337" i="5"/>
  <c r="R340" i="5"/>
  <c r="S340" i="5"/>
  <c r="R331" i="5"/>
  <c r="S331" i="5"/>
  <c r="S335" i="5"/>
  <c r="R335" i="5"/>
  <c r="S354" i="5"/>
  <c r="R354" i="5"/>
  <c r="X77" i="5"/>
  <c r="W77" i="5"/>
  <c r="X78" i="5"/>
  <c r="W78" i="5"/>
  <c r="W70" i="5"/>
  <c r="X70" i="5"/>
  <c r="R63" i="5"/>
  <c r="S63" i="5"/>
  <c r="S59" i="5"/>
  <c r="R59" i="5"/>
  <c r="W60" i="5"/>
  <c r="X60" i="5"/>
  <c r="R72" i="5"/>
  <c r="S72" i="5"/>
  <c r="R67" i="5"/>
  <c r="S67" i="5"/>
  <c r="R60" i="5"/>
  <c r="S60" i="5"/>
  <c r="S65" i="5"/>
  <c r="R65" i="5"/>
  <c r="S51" i="5"/>
  <c r="R51" i="5"/>
  <c r="S69" i="5"/>
  <c r="R69" i="5"/>
  <c r="X57" i="5"/>
  <c r="W57" i="5"/>
  <c r="S55" i="5"/>
  <c r="R55" i="5"/>
  <c r="R53" i="5"/>
  <c r="S53" i="5"/>
  <c r="S74" i="5"/>
  <c r="R74" i="5"/>
  <c r="R77" i="5"/>
  <c r="S77" i="5"/>
  <c r="R64" i="5"/>
  <c r="S64" i="5"/>
  <c r="S78" i="5"/>
  <c r="R78" i="5"/>
  <c r="R339" i="5"/>
  <c r="S339" i="5"/>
  <c r="W59" i="5"/>
  <c r="X59" i="5"/>
  <c r="R333" i="5"/>
  <c r="S333" i="5"/>
  <c r="R342" i="5"/>
  <c r="S342" i="5"/>
  <c r="W52" i="5"/>
  <c r="X52" i="5"/>
  <c r="S353" i="5"/>
  <c r="R353" i="5"/>
  <c r="S329" i="5"/>
  <c r="R329" i="5"/>
  <c r="S349" i="5"/>
  <c r="R349" i="5"/>
  <c r="W79" i="5"/>
  <c r="X79" i="5"/>
  <c r="X56" i="5"/>
  <c r="W56" i="5"/>
  <c r="W76" i="5"/>
  <c r="X76" i="5"/>
  <c r="R71" i="5"/>
  <c r="S71" i="5"/>
  <c r="S70" i="5"/>
  <c r="R70" i="5"/>
  <c r="S66" i="5"/>
  <c r="R66" i="5"/>
  <c r="R351" i="5"/>
  <c r="S351" i="5"/>
  <c r="W51" i="5"/>
  <c r="X51" i="5"/>
  <c r="S325" i="5"/>
  <c r="R325" i="5"/>
  <c r="X64" i="5"/>
  <c r="W64" i="5"/>
  <c r="S346" i="5"/>
  <c r="R346" i="5"/>
  <c r="X71" i="5"/>
  <c r="W71" i="5"/>
  <c r="X55" i="5"/>
  <c r="W55" i="5"/>
  <c r="S56" i="5"/>
  <c r="R56" i="5"/>
  <c r="R76" i="5"/>
  <c r="S76" i="5"/>
  <c r="R57" i="5"/>
  <c r="S57" i="5"/>
  <c r="S332" i="5"/>
  <c r="R332" i="5"/>
  <c r="S326" i="5"/>
  <c r="R326" i="5"/>
  <c r="X74" i="5"/>
  <c r="W74" i="5"/>
  <c r="W63" i="5"/>
  <c r="X63" i="5"/>
  <c r="X67" i="5"/>
  <c r="W67" i="5"/>
  <c r="S343" i="5"/>
  <c r="R343" i="5"/>
  <c r="S338" i="5"/>
  <c r="R338" i="5"/>
  <c r="S344" i="5"/>
  <c r="R344" i="5"/>
  <c r="X53" i="5"/>
  <c r="W53" i="5"/>
  <c r="AA27" i="5"/>
  <c r="E26" i="5"/>
  <c r="S336" i="5"/>
  <c r="R336" i="5"/>
  <c r="R330" i="5"/>
  <c r="S330" i="5"/>
  <c r="S345" i="5"/>
  <c r="R345" i="5"/>
  <c r="S350" i="5"/>
  <c r="R350" i="5"/>
  <c r="X66" i="5"/>
  <c r="W66" i="5"/>
  <c r="X58" i="5"/>
  <c r="W58" i="5"/>
  <c r="W69" i="5"/>
  <c r="X69" i="5"/>
  <c r="W72" i="5"/>
  <c r="X72" i="5"/>
  <c r="S52" i="5"/>
  <c r="R52" i="5"/>
  <c r="S79" i="5"/>
  <c r="R79" i="5"/>
  <c r="R58" i="5"/>
  <c r="S58" i="5"/>
  <c r="S80" i="5"/>
  <c r="R80" i="5"/>
  <c r="E26" i="3"/>
  <c r="G27" i="3"/>
  <c r="D81" i="14" l="1"/>
  <c r="C82" i="14" s="1"/>
  <c r="Z27" i="5"/>
  <c r="G26" i="5"/>
  <c r="R85" i="5"/>
  <c r="S81" i="5"/>
  <c r="W85" i="5"/>
  <c r="X113" i="5"/>
  <c r="W80" i="5"/>
  <c r="W83" i="5"/>
  <c r="W81" i="5"/>
  <c r="W84" i="5"/>
  <c r="S83" i="5"/>
  <c r="R88" i="5"/>
  <c r="W107" i="5"/>
  <c r="S91" i="5"/>
  <c r="X108" i="5"/>
  <c r="X95" i="5"/>
  <c r="X167" i="5"/>
  <c r="W170" i="5"/>
  <c r="R100" i="5"/>
  <c r="S84" i="5"/>
  <c r="X122" i="5"/>
  <c r="X102" i="5"/>
  <c r="W164" i="5"/>
  <c r="W137" i="5"/>
  <c r="R102" i="5"/>
  <c r="W193" i="5"/>
  <c r="W135" i="5"/>
  <c r="W101" i="5"/>
  <c r="W171" i="5"/>
  <c r="X177" i="5"/>
  <c r="W197" i="5"/>
  <c r="X184" i="5"/>
  <c r="W179" i="5"/>
  <c r="W109" i="5"/>
  <c r="X198" i="5"/>
  <c r="X140" i="5"/>
  <c r="W175" i="5"/>
  <c r="S94" i="5"/>
  <c r="X150" i="5"/>
  <c r="W119" i="5"/>
  <c r="W111" i="5"/>
  <c r="W181" i="5"/>
  <c r="X195" i="5"/>
  <c r="X162" i="5"/>
  <c r="W176" i="5"/>
  <c r="W168" i="5"/>
  <c r="X156" i="5"/>
  <c r="X91" i="5"/>
  <c r="X112" i="5"/>
  <c r="X165" i="5"/>
  <c r="W155" i="5"/>
  <c r="W153" i="5"/>
  <c r="W120" i="5"/>
  <c r="W132" i="5"/>
  <c r="X161" i="5"/>
  <c r="W92" i="5"/>
  <c r="W116" i="5"/>
  <c r="W189" i="5"/>
  <c r="W163" i="5"/>
  <c r="W190" i="5"/>
  <c r="X199" i="5"/>
  <c r="X136" i="5"/>
  <c r="W174" i="5"/>
  <c r="X87" i="5"/>
  <c r="W123" i="5"/>
  <c r="S109" i="5"/>
  <c r="X191" i="5"/>
  <c r="W178" i="5"/>
  <c r="X130" i="5"/>
  <c r="S86" i="5"/>
  <c r="W172" i="5"/>
  <c r="W158" i="5"/>
  <c r="X121" i="5"/>
  <c r="W154" i="5"/>
  <c r="W134" i="5"/>
  <c r="W192" i="5"/>
  <c r="S93" i="5"/>
  <c r="X186" i="5"/>
  <c r="R105" i="5"/>
  <c r="S107" i="5"/>
  <c r="X185" i="5"/>
  <c r="W183" i="5"/>
  <c r="W196" i="5"/>
  <c r="R95" i="5"/>
  <c r="S98" i="5"/>
  <c r="W147" i="5"/>
  <c r="X188" i="5"/>
  <c r="X160" i="5"/>
  <c r="X98" i="5"/>
  <c r="X118" i="5"/>
  <c r="X141" i="5"/>
  <c r="W115" i="5"/>
  <c r="X86" i="5"/>
  <c r="W97" i="5"/>
  <c r="S92" i="5"/>
  <c r="X129" i="5"/>
  <c r="X100" i="5"/>
  <c r="X104" i="5"/>
  <c r="X88" i="5"/>
  <c r="X287" i="5"/>
  <c r="W142" i="5"/>
  <c r="W90" i="5"/>
  <c r="S108" i="5"/>
  <c r="W126" i="5"/>
  <c r="S106" i="5"/>
  <c r="W151" i="5"/>
  <c r="X128" i="5"/>
  <c r="W182" i="5"/>
  <c r="X157" i="5"/>
  <c r="W94" i="5"/>
  <c r="R101" i="5"/>
  <c r="W200" i="5"/>
  <c r="X125" i="5"/>
  <c r="W106" i="5"/>
  <c r="R97" i="5"/>
  <c r="X169" i="5"/>
  <c r="S90" i="5"/>
  <c r="S87" i="5"/>
  <c r="S104" i="5"/>
  <c r="W114" i="5"/>
  <c r="X148" i="5"/>
  <c r="X127" i="5"/>
  <c r="X133" i="5"/>
  <c r="W93" i="5"/>
  <c r="W149" i="5"/>
  <c r="X105" i="5"/>
  <c r="W354" i="5"/>
  <c r="W259" i="5"/>
  <c r="X339" i="5"/>
  <c r="W204" i="5"/>
  <c r="W331" i="5"/>
  <c r="S204" i="5"/>
  <c r="R226" i="5"/>
  <c r="W314" i="5"/>
  <c r="W270" i="5"/>
  <c r="W357" i="5"/>
  <c r="X258" i="5"/>
  <c r="W233" i="5"/>
  <c r="W319" i="5"/>
  <c r="X202" i="5"/>
  <c r="S205" i="5"/>
  <c r="W272" i="5"/>
  <c r="W318" i="5"/>
  <c r="X353" i="5"/>
  <c r="W375" i="5"/>
  <c r="X235" i="5"/>
  <c r="W277" i="5"/>
  <c r="X377" i="5"/>
  <c r="X223" i="5"/>
  <c r="X382" i="5"/>
  <c r="W359" i="5"/>
  <c r="W302" i="5"/>
  <c r="R213" i="5"/>
  <c r="W228" i="5"/>
  <c r="X381" i="5"/>
  <c r="W262" i="5"/>
  <c r="W358" i="5"/>
  <c r="W275" i="5"/>
  <c r="W234" i="5"/>
  <c r="W333" i="5"/>
  <c r="R228" i="5"/>
  <c r="W349" i="5"/>
  <c r="X205" i="5"/>
  <c r="X350" i="5"/>
  <c r="W297" i="5"/>
  <c r="W298" i="5"/>
  <c r="X241" i="5"/>
  <c r="X231" i="5"/>
  <c r="X316" i="5"/>
  <c r="S232" i="5"/>
  <c r="R203" i="5"/>
  <c r="W360" i="5"/>
  <c r="S214" i="5"/>
  <c r="S223" i="5"/>
  <c r="W367" i="5"/>
  <c r="W380" i="5"/>
  <c r="X372" i="5"/>
  <c r="X212" i="5"/>
  <c r="W315" i="5"/>
  <c r="X203" i="5"/>
  <c r="X224" i="5"/>
  <c r="X296" i="5"/>
  <c r="W351" i="5"/>
  <c r="W253" i="5"/>
  <c r="W255" i="5"/>
  <c r="W242" i="5"/>
  <c r="W311" i="5"/>
  <c r="S230" i="5"/>
  <c r="X251" i="5"/>
  <c r="W261" i="5"/>
  <c r="W217" i="5"/>
  <c r="X300" i="5"/>
  <c r="S202" i="5"/>
  <c r="X303" i="5"/>
  <c r="X210" i="5"/>
  <c r="W256" i="5"/>
  <c r="X329" i="5"/>
  <c r="X325" i="5"/>
  <c r="X254" i="5"/>
  <c r="W366" i="5"/>
  <c r="W218" i="5"/>
  <c r="X370" i="5"/>
  <c r="X240" i="5"/>
  <c r="X219" i="5"/>
  <c r="W310" i="5"/>
  <c r="W238" i="5"/>
  <c r="W269" i="5"/>
  <c r="X211" i="5"/>
  <c r="W368" i="5"/>
  <c r="W356" i="5"/>
  <c r="W232" i="5"/>
  <c r="W343" i="5"/>
  <c r="R212" i="5"/>
  <c r="W263" i="5"/>
  <c r="X227" i="5"/>
  <c r="X249" i="5"/>
  <c r="W330" i="5"/>
  <c r="X364" i="5"/>
  <c r="X324" i="5"/>
  <c r="X312" i="5"/>
  <c r="X207" i="5"/>
  <c r="W365" i="5"/>
  <c r="W206" i="5"/>
  <c r="W335" i="5"/>
  <c r="X293" i="5"/>
  <c r="W280" i="5"/>
  <c r="X273" i="5"/>
  <c r="X294" i="5"/>
  <c r="R231" i="5"/>
  <c r="X239" i="5"/>
  <c r="S217" i="5"/>
  <c r="W266" i="5"/>
  <c r="W342" i="5"/>
  <c r="X283" i="5"/>
  <c r="R220" i="5"/>
  <c r="W305" i="5"/>
  <c r="X290" i="5"/>
  <c r="X289" i="5"/>
  <c r="X214" i="5"/>
  <c r="W282" i="5"/>
  <c r="W295" i="5"/>
  <c r="W336" i="5"/>
  <c r="W274" i="5"/>
  <c r="S206" i="5"/>
  <c r="W379" i="5"/>
  <c r="X344" i="5"/>
  <c r="X317" i="5"/>
  <c r="S224" i="5"/>
  <c r="W309" i="5"/>
  <c r="W237" i="5"/>
  <c r="X322" i="5"/>
  <c r="W308" i="5"/>
  <c r="R209" i="5"/>
  <c r="X265" i="5"/>
  <c r="X276" i="5"/>
  <c r="W301" i="5"/>
  <c r="X226" i="5"/>
  <c r="W260" i="5"/>
  <c r="S211" i="5"/>
  <c r="W267" i="5"/>
  <c r="S207" i="5"/>
  <c r="X352" i="5"/>
  <c r="X374" i="5"/>
  <c r="W213" i="5"/>
  <c r="X304" i="5"/>
  <c r="S210" i="5"/>
  <c r="W221" i="5"/>
  <c r="R227" i="5"/>
  <c r="W321" i="5"/>
  <c r="X220" i="5"/>
  <c r="W371" i="5"/>
  <c r="X288" i="5"/>
  <c r="X363" i="5"/>
  <c r="W340" i="5"/>
  <c r="W284" i="5"/>
  <c r="W346" i="5"/>
  <c r="S218" i="5"/>
  <c r="X373" i="5"/>
  <c r="W209" i="5"/>
  <c r="W268" i="5"/>
  <c r="W326" i="5"/>
  <c r="X378" i="5"/>
  <c r="X337" i="5"/>
  <c r="X361" i="5"/>
  <c r="W332" i="5"/>
  <c r="X281" i="5"/>
  <c r="W225" i="5"/>
  <c r="S225" i="5"/>
  <c r="X338" i="5"/>
  <c r="W323" i="5"/>
  <c r="R221" i="5"/>
  <c r="W230" i="5"/>
  <c r="S219" i="5"/>
  <c r="W345" i="5"/>
  <c r="X252" i="5"/>
  <c r="W291" i="5"/>
  <c r="Z32" i="12"/>
  <c r="G31" i="12"/>
  <c r="E30" i="12"/>
  <c r="Y31" i="12"/>
  <c r="C11" i="7"/>
  <c r="L11" i="7" s="1"/>
  <c r="B12" i="7"/>
  <c r="AA28" i="5"/>
  <c r="E27" i="5"/>
  <c r="E27" i="3"/>
  <c r="G28" i="3"/>
  <c r="Z28" i="5" l="1"/>
  <c r="G27" i="5"/>
  <c r="E31" i="12"/>
  <c r="Y32" i="12"/>
  <c r="Z33" i="12"/>
  <c r="G32" i="12"/>
  <c r="B13" i="7"/>
  <c r="C12" i="7"/>
  <c r="L12" i="7" s="1"/>
  <c r="E28" i="5"/>
  <c r="AA29" i="5"/>
  <c r="G29" i="3"/>
  <c r="E28" i="3"/>
  <c r="Z29" i="5" l="1"/>
  <c r="G28" i="5"/>
  <c r="Z34" i="12"/>
  <c r="G33" i="12"/>
  <c r="E32" i="12"/>
  <c r="Y33" i="12"/>
  <c r="B14" i="7"/>
  <c r="C13" i="7"/>
  <c r="L13" i="7" s="1"/>
  <c r="E29" i="5"/>
  <c r="AA30" i="5"/>
  <c r="G30" i="3"/>
  <c r="E29" i="3"/>
  <c r="Z30" i="5" l="1"/>
  <c r="G29" i="5"/>
  <c r="E33" i="12"/>
  <c r="Y34" i="12"/>
  <c r="Z35" i="12"/>
  <c r="G34" i="12"/>
  <c r="B15" i="7"/>
  <c r="C14" i="7"/>
  <c r="L14" i="7" s="1"/>
  <c r="AA31" i="5"/>
  <c r="E30" i="5"/>
  <c r="E30" i="3"/>
  <c r="G31" i="3"/>
  <c r="Z31" i="5" l="1"/>
  <c r="G30" i="5"/>
  <c r="Z36" i="12"/>
  <c r="G35" i="12"/>
  <c r="E34" i="12"/>
  <c r="Y35" i="12"/>
  <c r="B16" i="7"/>
  <c r="C15" i="7"/>
  <c r="L15" i="7" s="1"/>
  <c r="E31" i="5"/>
  <c r="AA32" i="5"/>
  <c r="G32" i="3"/>
  <c r="E31" i="3"/>
  <c r="Z32" i="5" l="1"/>
  <c r="G31" i="5"/>
  <c r="E35" i="12"/>
  <c r="Y36" i="12"/>
  <c r="G36" i="12"/>
  <c r="Z37" i="12"/>
  <c r="B17" i="7"/>
  <c r="C16" i="7"/>
  <c r="L16" i="7" s="1"/>
  <c r="E32" i="5"/>
  <c r="AA33" i="5"/>
  <c r="E32" i="3"/>
  <c r="G33" i="3"/>
  <c r="Z33" i="5" l="1"/>
  <c r="G32" i="5"/>
  <c r="G37" i="12"/>
  <c r="Z38" i="12"/>
  <c r="E36" i="12"/>
  <c r="Y37" i="12"/>
  <c r="B18" i="7"/>
  <c r="C17" i="7"/>
  <c r="L17" i="7" s="1"/>
  <c r="AA34" i="5"/>
  <c r="E33" i="5"/>
  <c r="G34" i="3"/>
  <c r="E33" i="3"/>
  <c r="Z34" i="5" l="1"/>
  <c r="G33" i="5"/>
  <c r="E37" i="12"/>
  <c r="Y38" i="12"/>
  <c r="G38" i="12"/>
  <c r="Z39" i="12"/>
  <c r="B19" i="7"/>
  <c r="C18" i="7"/>
  <c r="L18" i="7" s="1"/>
  <c r="E34" i="5"/>
  <c r="AA35" i="5"/>
  <c r="E34" i="3"/>
  <c r="G35" i="3"/>
  <c r="Z35" i="5" l="1"/>
  <c r="G34" i="5"/>
  <c r="Z40" i="12"/>
  <c r="G39" i="12"/>
  <c r="E38" i="12"/>
  <c r="Y39" i="12"/>
  <c r="B20" i="7"/>
  <c r="C19" i="7"/>
  <c r="L19" i="7" s="1"/>
  <c r="E35" i="5"/>
  <c r="AA36" i="5"/>
  <c r="G36" i="3"/>
  <c r="E35" i="3"/>
  <c r="Z36" i="5" l="1"/>
  <c r="G35" i="5"/>
  <c r="Y40" i="12"/>
  <c r="E39" i="12"/>
  <c r="G40" i="12"/>
  <c r="Z41" i="12"/>
  <c r="B21" i="7"/>
  <c r="C20" i="7"/>
  <c r="L20" i="7" s="1"/>
  <c r="E36" i="5"/>
  <c r="AA37" i="5"/>
  <c r="E36" i="3"/>
  <c r="G37" i="3"/>
  <c r="Z37" i="5" l="1"/>
  <c r="G36" i="5"/>
  <c r="Z42" i="12"/>
  <c r="G41" i="12"/>
  <c r="E40" i="12"/>
  <c r="Y41" i="12"/>
  <c r="B22" i="7"/>
  <c r="C21" i="7"/>
  <c r="L21" i="7" s="1"/>
  <c r="AA38" i="5"/>
  <c r="E37" i="5"/>
  <c r="G38" i="3"/>
  <c r="E37" i="3"/>
  <c r="Z38" i="5" l="1"/>
  <c r="G37" i="5"/>
  <c r="Y42" i="12"/>
  <c r="E41" i="12"/>
  <c r="G42" i="12"/>
  <c r="Z43" i="12"/>
  <c r="B23" i="7"/>
  <c r="C22" i="7"/>
  <c r="L22" i="7" s="1"/>
  <c r="E38" i="5"/>
  <c r="AA39" i="5"/>
  <c r="E38" i="3"/>
  <c r="G39" i="3"/>
  <c r="Z39" i="5" l="1"/>
  <c r="G38" i="5"/>
  <c r="G43" i="12"/>
  <c r="Z44" i="12"/>
  <c r="E42" i="12"/>
  <c r="Y43" i="12"/>
  <c r="B24" i="7"/>
  <c r="C23" i="7"/>
  <c r="L23" i="7" s="1"/>
  <c r="AA40" i="5"/>
  <c r="E39" i="5"/>
  <c r="G40" i="3"/>
  <c r="E39" i="3"/>
  <c r="Z40" i="5" l="1"/>
  <c r="G39" i="5"/>
  <c r="Y44" i="12"/>
  <c r="E43" i="12"/>
  <c r="G44" i="12"/>
  <c r="Z45" i="12"/>
  <c r="B25" i="7"/>
  <c r="C24" i="7"/>
  <c r="L24" i="7" s="1"/>
  <c r="AA41" i="5"/>
  <c r="E40" i="5"/>
  <c r="E40" i="3"/>
  <c r="G41" i="3"/>
  <c r="Z41" i="5" l="1"/>
  <c r="G40" i="5"/>
  <c r="Z46" i="12"/>
  <c r="G45" i="12"/>
  <c r="Y45" i="12"/>
  <c r="E44" i="12"/>
  <c r="C25" i="7"/>
  <c r="L25" i="7" s="1"/>
  <c r="B26" i="7"/>
  <c r="AA42" i="5"/>
  <c r="E41" i="5"/>
  <c r="G42" i="3"/>
  <c r="E41" i="3"/>
  <c r="Z42" i="5" l="1"/>
  <c r="G41" i="5"/>
  <c r="E45" i="12"/>
  <c r="Y46" i="12"/>
  <c r="Z47" i="12"/>
  <c r="G46" i="12"/>
  <c r="C26" i="7"/>
  <c r="L26" i="7" s="1"/>
  <c r="B27" i="7"/>
  <c r="AA43" i="5"/>
  <c r="E42" i="5"/>
  <c r="E42" i="3"/>
  <c r="G43" i="3"/>
  <c r="Z43" i="5" l="1"/>
  <c r="G42" i="5"/>
  <c r="G47" i="12"/>
  <c r="Z48" i="12"/>
  <c r="E46" i="12"/>
  <c r="Y47" i="12"/>
  <c r="B28" i="7"/>
  <c r="C27" i="7"/>
  <c r="L27" i="7" s="1"/>
  <c r="AA44" i="5"/>
  <c r="E43" i="5"/>
  <c r="G44" i="3"/>
  <c r="E43" i="3"/>
  <c r="Z44" i="5" l="1"/>
  <c r="G43" i="5"/>
  <c r="E47" i="12"/>
  <c r="Y48" i="12"/>
  <c r="Z49" i="12"/>
  <c r="G48" i="12"/>
  <c r="B29" i="7"/>
  <c r="C28" i="7"/>
  <c r="L28" i="7" s="1"/>
  <c r="AA45" i="5"/>
  <c r="E44" i="5"/>
  <c r="E44" i="3"/>
  <c r="G45" i="3"/>
  <c r="Z45" i="5" l="1"/>
  <c r="G44" i="5"/>
  <c r="G49" i="12"/>
  <c r="Z50" i="12"/>
  <c r="Y49" i="12"/>
  <c r="E48" i="12"/>
  <c r="B30" i="7"/>
  <c r="C29" i="7"/>
  <c r="L29" i="7" s="1"/>
  <c r="AA46" i="5"/>
  <c r="E45" i="5"/>
  <c r="G46" i="3"/>
  <c r="E45" i="3"/>
  <c r="Z46" i="5" l="1"/>
  <c r="G45" i="5"/>
  <c r="E49" i="12"/>
  <c r="Y50" i="12"/>
  <c r="Z51" i="12"/>
  <c r="G50" i="12"/>
  <c r="B31" i="7"/>
  <c r="C30" i="7"/>
  <c r="L30" i="7" s="1"/>
  <c r="AA47" i="5"/>
  <c r="E46" i="5"/>
  <c r="E46" i="3"/>
  <c r="G47" i="3"/>
  <c r="Z47" i="5" l="1"/>
  <c r="G46" i="5"/>
  <c r="G51" i="12"/>
  <c r="Z52" i="12"/>
  <c r="Y51" i="12"/>
  <c r="E50" i="12"/>
  <c r="C31" i="7"/>
  <c r="L31" i="7" s="1"/>
  <c r="B32" i="7"/>
  <c r="E47" i="5"/>
  <c r="AA48" i="5"/>
  <c r="G48" i="3"/>
  <c r="E47" i="3"/>
  <c r="Z48" i="5" l="1"/>
  <c r="G47" i="5"/>
  <c r="E51" i="12"/>
  <c r="Y52" i="12"/>
  <c r="G52" i="12"/>
  <c r="Z53" i="12"/>
  <c r="B33" i="7"/>
  <c r="C32" i="7"/>
  <c r="L32" i="7" s="1"/>
  <c r="E48" i="5"/>
  <c r="AA49" i="5"/>
  <c r="E48" i="3"/>
  <c r="G49" i="3"/>
  <c r="Z49" i="5" l="1"/>
  <c r="G48" i="5"/>
  <c r="G53" i="12"/>
  <c r="Z54" i="12"/>
  <c r="Y53" i="12"/>
  <c r="E52" i="12"/>
  <c r="C33" i="7"/>
  <c r="L33" i="7" s="1"/>
  <c r="B34" i="7"/>
  <c r="AA50" i="5"/>
  <c r="E49" i="5"/>
  <c r="G50" i="3"/>
  <c r="E49" i="3"/>
  <c r="Z50" i="5" l="1"/>
  <c r="G49" i="5"/>
  <c r="E53" i="12"/>
  <c r="Y54" i="12"/>
  <c r="G54" i="12"/>
  <c r="Z55" i="12"/>
  <c r="C34" i="7"/>
  <c r="L34" i="7" s="1"/>
  <c r="B38" i="7"/>
  <c r="E50" i="5"/>
  <c r="AA51" i="5"/>
  <c r="E50" i="3"/>
  <c r="G51" i="3"/>
  <c r="AC27" i="3" l="1"/>
  <c r="AD26" i="3"/>
  <c r="AC25" i="3"/>
  <c r="AD21" i="3"/>
  <c r="AC24" i="3"/>
  <c r="AD25" i="3"/>
  <c r="AC21" i="3"/>
  <c r="AC26" i="3"/>
  <c r="AD27" i="3"/>
  <c r="AC23" i="3"/>
  <c r="AD24" i="3"/>
  <c r="AD22" i="3"/>
  <c r="AC22" i="3"/>
  <c r="AD23" i="3"/>
  <c r="Z51" i="5"/>
  <c r="G50" i="5"/>
  <c r="AF23" i="5" s="1"/>
  <c r="Z56" i="12"/>
  <c r="G55" i="12"/>
  <c r="Y55" i="12"/>
  <c r="E54" i="12"/>
  <c r="C38" i="7"/>
  <c r="L38" i="7" s="1"/>
  <c r="B39" i="7"/>
  <c r="K38" i="7"/>
  <c r="E51" i="5"/>
  <c r="AA52" i="5"/>
  <c r="G52" i="3"/>
  <c r="E51" i="3"/>
  <c r="AE23" i="5" l="1"/>
  <c r="AH23" i="5" s="1"/>
  <c r="AI23" i="5" s="1"/>
  <c r="AE24" i="3" s="1"/>
  <c r="AF24" i="3" s="1"/>
  <c r="AE24" i="5"/>
  <c r="AF22" i="5"/>
  <c r="AE22" i="5"/>
  <c r="AE21" i="5"/>
  <c r="AF20" i="5"/>
  <c r="AE26" i="5"/>
  <c r="AF25" i="5"/>
  <c r="AF24" i="5"/>
  <c r="AF26" i="5"/>
  <c r="AE25" i="5"/>
  <c r="AG20" i="5"/>
  <c r="Z52" i="5"/>
  <c r="G51" i="5"/>
  <c r="AE20" i="5"/>
  <c r="AF21" i="5"/>
  <c r="E55" i="12"/>
  <c r="Y56" i="12"/>
  <c r="G56" i="12"/>
  <c r="Z57" i="12"/>
  <c r="B40" i="7"/>
  <c r="C39" i="7"/>
  <c r="L39" i="7" s="1"/>
  <c r="K39" i="7"/>
  <c r="E52" i="5"/>
  <c r="AA53" i="5"/>
  <c r="G53" i="3"/>
  <c r="E52" i="3"/>
  <c r="AH22" i="5" l="1"/>
  <c r="AI22" i="5" s="1"/>
  <c r="AE23" i="3" s="1"/>
  <c r="AF23" i="3" s="1"/>
  <c r="AH24" i="5"/>
  <c r="AI24" i="5" s="1"/>
  <c r="AE25" i="3" s="1"/>
  <c r="AF25" i="3" s="1"/>
  <c r="AH20" i="5"/>
  <c r="AI20" i="5" s="1"/>
  <c r="AE21" i="3" s="1"/>
  <c r="AF21" i="3" s="1"/>
  <c r="AH21" i="5"/>
  <c r="AI21" i="5" s="1"/>
  <c r="AE22" i="3" s="1"/>
  <c r="AF22" i="3" s="1"/>
  <c r="AH25" i="5"/>
  <c r="AI25" i="5" s="1"/>
  <c r="AE26" i="3" s="1"/>
  <c r="AF26" i="3" s="1"/>
  <c r="AH26" i="5"/>
  <c r="AI26" i="5" s="1"/>
  <c r="AE27" i="3" s="1"/>
  <c r="L29" i="3"/>
  <c r="L36" i="3"/>
  <c r="L43" i="3"/>
  <c r="L50" i="3"/>
  <c r="L49" i="3"/>
  <c r="L34" i="3"/>
  <c r="L41" i="3"/>
  <c r="Z53" i="5"/>
  <c r="G52" i="5"/>
  <c r="L47" i="3"/>
  <c r="G57" i="12"/>
  <c r="Z58" i="12"/>
  <c r="Y57" i="12"/>
  <c r="E56" i="12"/>
  <c r="B41" i="7"/>
  <c r="C40" i="7"/>
  <c r="L40" i="7" s="1"/>
  <c r="K40" i="7"/>
  <c r="AA54" i="5"/>
  <c r="E53" i="5"/>
  <c r="E53" i="3"/>
  <c r="G54" i="3"/>
  <c r="L42" i="3" l="1"/>
  <c r="M42" i="3" s="1"/>
  <c r="L35" i="3"/>
  <c r="N35" i="3" s="1"/>
  <c r="L28" i="3"/>
  <c r="N28" i="3" s="1"/>
  <c r="L45" i="3"/>
  <c r="M45" i="3" s="1"/>
  <c r="L48" i="3"/>
  <c r="N48" i="3" s="1"/>
  <c r="L44" i="3"/>
  <c r="M44" i="3" s="1"/>
  <c r="L51" i="3"/>
  <c r="M51" i="3" s="1"/>
  <c r="L37" i="3"/>
  <c r="M37" i="3" s="1"/>
  <c r="L30" i="3"/>
  <c r="N30" i="3" s="1"/>
  <c r="L40" i="3"/>
  <c r="M40" i="3" s="1"/>
  <c r="L26" i="3"/>
  <c r="N26" i="3" s="1"/>
  <c r="AF27" i="3"/>
  <c r="L27" i="3"/>
  <c r="N27" i="3" s="1"/>
  <c r="L38" i="3"/>
  <c r="N38" i="3" s="1"/>
  <c r="AJ20" i="5"/>
  <c r="L31" i="3"/>
  <c r="M41" i="3"/>
  <c r="N41" i="3"/>
  <c r="Z54" i="5"/>
  <c r="G53" i="5"/>
  <c r="M34" i="3"/>
  <c r="N34" i="3"/>
  <c r="N50" i="3"/>
  <c r="M50" i="3"/>
  <c r="M47" i="3"/>
  <c r="N47" i="3"/>
  <c r="N49" i="3"/>
  <c r="M49" i="3"/>
  <c r="M43" i="3"/>
  <c r="N43" i="3"/>
  <c r="N36" i="3"/>
  <c r="M36" i="3"/>
  <c r="N29" i="3"/>
  <c r="M29" i="3"/>
  <c r="Y58" i="12"/>
  <c r="E57" i="12"/>
  <c r="Z59" i="12"/>
  <c r="G58" i="12"/>
  <c r="C41" i="7"/>
  <c r="L41" i="7" s="1"/>
  <c r="K41" i="7"/>
  <c r="B42" i="7"/>
  <c r="E54" i="5"/>
  <c r="AA55" i="5"/>
  <c r="G55" i="3"/>
  <c r="E54" i="3"/>
  <c r="N42" i="3" l="1"/>
  <c r="M28" i="3"/>
  <c r="M35" i="3"/>
  <c r="N45" i="3"/>
  <c r="M48" i="3"/>
  <c r="N44" i="3"/>
  <c r="N51" i="3"/>
  <c r="P26" i="3"/>
  <c r="R26" i="3" s="1"/>
  <c r="U26" i="3"/>
  <c r="X26" i="3" s="1"/>
  <c r="N37" i="3"/>
  <c r="M26" i="3"/>
  <c r="M30" i="3"/>
  <c r="M27" i="3"/>
  <c r="N40" i="3"/>
  <c r="P27" i="3"/>
  <c r="R27" i="3" s="1"/>
  <c r="U28" i="3"/>
  <c r="X28" i="3" s="1"/>
  <c r="U27" i="3"/>
  <c r="W27" i="3" s="1"/>
  <c r="P29" i="3"/>
  <c r="S29" i="3" s="1"/>
  <c r="U30" i="3"/>
  <c r="W30" i="3" s="1"/>
  <c r="U29" i="3"/>
  <c r="W29" i="3" s="1"/>
  <c r="P30" i="3"/>
  <c r="R30" i="3" s="1"/>
  <c r="P28" i="3"/>
  <c r="S28" i="3" s="1"/>
  <c r="P50" i="3"/>
  <c r="R50" i="3" s="1"/>
  <c r="P38" i="3"/>
  <c r="S38" i="3" s="1"/>
  <c r="P48" i="3"/>
  <c r="R48" i="3" s="1"/>
  <c r="P45" i="3"/>
  <c r="S45" i="3" s="1"/>
  <c r="U49" i="3"/>
  <c r="X49" i="3" s="1"/>
  <c r="U42" i="3"/>
  <c r="W42" i="3" s="1"/>
  <c r="U34" i="3"/>
  <c r="W34" i="3" s="1"/>
  <c r="U41" i="3"/>
  <c r="W41" i="3" s="1"/>
  <c r="U51" i="3"/>
  <c r="X51" i="3" s="1"/>
  <c r="M38" i="3"/>
  <c r="U47" i="3"/>
  <c r="X47" i="3" s="1"/>
  <c r="U45" i="3"/>
  <c r="W45" i="3" s="1"/>
  <c r="U44" i="3"/>
  <c r="X44" i="3" s="1"/>
  <c r="P36" i="3"/>
  <c r="S36" i="3" s="1"/>
  <c r="P44" i="3"/>
  <c r="R44" i="3" s="1"/>
  <c r="P43" i="3"/>
  <c r="R43" i="3" s="1"/>
  <c r="P35" i="3"/>
  <c r="R35" i="3" s="1"/>
  <c r="P49" i="3"/>
  <c r="S49" i="3" s="1"/>
  <c r="P47" i="3"/>
  <c r="R47" i="3" s="1"/>
  <c r="P40" i="3"/>
  <c r="S40" i="3" s="1"/>
  <c r="U43" i="3"/>
  <c r="W43" i="3" s="1"/>
  <c r="P34" i="3"/>
  <c r="R34" i="3" s="1"/>
  <c r="M31" i="3"/>
  <c r="P41" i="3"/>
  <c r="R41" i="3" s="1"/>
  <c r="U31" i="3"/>
  <c r="W31" i="3" s="1"/>
  <c r="U48" i="3"/>
  <c r="X48" i="3" s="1"/>
  <c r="P42" i="3"/>
  <c r="R42" i="3" s="1"/>
  <c r="U40" i="3"/>
  <c r="X40" i="3" s="1"/>
  <c r="N31" i="3"/>
  <c r="U35" i="3"/>
  <c r="X35" i="3" s="1"/>
  <c r="U50" i="3"/>
  <c r="X50" i="3" s="1"/>
  <c r="P31" i="3"/>
  <c r="S31" i="3" s="1"/>
  <c r="U37" i="3"/>
  <c r="W37" i="3" s="1"/>
  <c r="P51" i="3"/>
  <c r="S51" i="3" s="1"/>
  <c r="P37" i="3"/>
  <c r="S37" i="3" s="1"/>
  <c r="U36" i="3"/>
  <c r="W36" i="3" s="1"/>
  <c r="U38" i="3"/>
  <c r="W38" i="3" s="1"/>
  <c r="Z55" i="5"/>
  <c r="G54" i="5"/>
  <c r="Z60" i="12"/>
  <c r="G59" i="12"/>
  <c r="Y59" i="12"/>
  <c r="E58" i="12"/>
  <c r="K42" i="7"/>
  <c r="C42" i="7"/>
  <c r="L42" i="7" s="1"/>
  <c r="B43" i="7"/>
  <c r="AA56" i="5"/>
  <c r="E55" i="5"/>
  <c r="E55" i="3"/>
  <c r="G56" i="3"/>
  <c r="W26" i="3" l="1"/>
  <c r="W28" i="3"/>
  <c r="X27" i="3"/>
  <c r="S26" i="3"/>
  <c r="R29" i="3"/>
  <c r="R45" i="3"/>
  <c r="S48" i="3"/>
  <c r="S30" i="3"/>
  <c r="S27" i="3"/>
  <c r="S47" i="3"/>
  <c r="S42" i="3"/>
  <c r="S43" i="3"/>
  <c r="S50" i="3"/>
  <c r="X30" i="3"/>
  <c r="R28" i="3"/>
  <c r="X41" i="3"/>
  <c r="X29" i="3"/>
  <c r="W48" i="3"/>
  <c r="R38" i="3"/>
  <c r="R37" i="3"/>
  <c r="W47" i="3"/>
  <c r="X43" i="3"/>
  <c r="R40" i="3"/>
  <c r="W51" i="3"/>
  <c r="R49" i="3"/>
  <c r="X45" i="3"/>
  <c r="W35" i="3"/>
  <c r="R36" i="3"/>
  <c r="W49" i="3"/>
  <c r="W44" i="3"/>
  <c r="X38" i="3"/>
  <c r="X36" i="3"/>
  <c r="S44" i="3"/>
  <c r="X34" i="3"/>
  <c r="X31" i="3"/>
  <c r="S35" i="3"/>
  <c r="W50" i="3"/>
  <c r="X42" i="3"/>
  <c r="R51" i="3"/>
  <c r="S34" i="3"/>
  <c r="X37" i="3"/>
  <c r="S41" i="3"/>
  <c r="W40" i="3"/>
  <c r="R31" i="3"/>
  <c r="Z56" i="5"/>
  <c r="G55" i="5"/>
  <c r="E59" i="12"/>
  <c r="Y60" i="12"/>
  <c r="G60" i="12"/>
  <c r="Z61" i="12"/>
  <c r="K43" i="7"/>
  <c r="C43" i="7"/>
  <c r="L43" i="7" s="1"/>
  <c r="B44" i="7"/>
  <c r="AA57" i="5"/>
  <c r="E56" i="5"/>
  <c r="G57" i="3"/>
  <c r="E56" i="3"/>
  <c r="Z57" i="5" l="1"/>
  <c r="G56" i="5"/>
  <c r="Z62" i="12"/>
  <c r="G61" i="12"/>
  <c r="Y61" i="12"/>
  <c r="E60" i="12"/>
  <c r="K44" i="7"/>
  <c r="B45" i="7"/>
  <c r="C44" i="7"/>
  <c r="L44" i="7" s="1"/>
  <c r="AA58" i="5"/>
  <c r="E57" i="5"/>
  <c r="E57" i="3"/>
  <c r="G58" i="3"/>
  <c r="Z58" i="5" l="1"/>
  <c r="G57" i="5"/>
  <c r="Y62" i="12"/>
  <c r="E61" i="12"/>
  <c r="Z63" i="12"/>
  <c r="G62" i="12"/>
  <c r="K45" i="7"/>
  <c r="C45" i="7"/>
  <c r="L45" i="7" s="1"/>
  <c r="B46" i="7"/>
  <c r="AA59" i="5"/>
  <c r="E58" i="5"/>
  <c r="G59" i="3"/>
  <c r="E58" i="3"/>
  <c r="Z59" i="5" l="1"/>
  <c r="G58" i="5"/>
  <c r="G63" i="12"/>
  <c r="Z64" i="12"/>
  <c r="Y63" i="12"/>
  <c r="E62" i="12"/>
  <c r="B47" i="7"/>
  <c r="K46" i="7"/>
  <c r="C46" i="7"/>
  <c r="L46" i="7" s="1"/>
  <c r="E59" i="5"/>
  <c r="AA60" i="5"/>
  <c r="E59" i="3"/>
  <c r="G60" i="3"/>
  <c r="Z60" i="5" l="1"/>
  <c r="G59" i="5"/>
  <c r="Y64" i="12"/>
  <c r="E63" i="12"/>
  <c r="G64" i="12"/>
  <c r="Z65" i="12"/>
  <c r="B48" i="7"/>
  <c r="C47" i="7"/>
  <c r="L47" i="7" s="1"/>
  <c r="K47" i="7"/>
  <c r="AA61" i="5"/>
  <c r="E60" i="5"/>
  <c r="G61" i="3"/>
  <c r="E60" i="3"/>
  <c r="Z61" i="5" l="1"/>
  <c r="G60" i="5"/>
  <c r="Z66" i="12"/>
  <c r="G65" i="12"/>
  <c r="E64" i="12"/>
  <c r="Y65" i="12"/>
  <c r="C48" i="7"/>
  <c r="L48" i="7" s="1"/>
  <c r="K48" i="7"/>
  <c r="B49" i="7"/>
  <c r="AA62" i="5"/>
  <c r="E61" i="5"/>
  <c r="E61" i="3"/>
  <c r="G62" i="3"/>
  <c r="Z62" i="5" l="1"/>
  <c r="G61" i="5"/>
  <c r="Y66" i="12"/>
  <c r="E65" i="12"/>
  <c r="Z67" i="12"/>
  <c r="G66" i="12"/>
  <c r="C49" i="7"/>
  <c r="L49" i="7" s="1"/>
  <c r="B50" i="7"/>
  <c r="K49" i="7"/>
  <c r="AA63" i="5"/>
  <c r="E62" i="5"/>
  <c r="E62" i="3"/>
  <c r="G63" i="3"/>
  <c r="Z63" i="5" l="1"/>
  <c r="G62" i="5"/>
  <c r="G67" i="12"/>
  <c r="Z68" i="12"/>
  <c r="Y67" i="12"/>
  <c r="E66" i="12"/>
  <c r="K50" i="7"/>
  <c r="C50" i="7"/>
  <c r="L50" i="7" s="1"/>
  <c r="B51" i="7"/>
  <c r="AA64" i="5"/>
  <c r="E63" i="5"/>
  <c r="G64" i="3"/>
  <c r="E63" i="3"/>
  <c r="Z64" i="5" l="1"/>
  <c r="G63" i="5"/>
  <c r="Y68" i="12"/>
  <c r="E67" i="12"/>
  <c r="G68" i="12"/>
  <c r="Z69" i="12"/>
  <c r="C51" i="7"/>
  <c r="L51" i="7" s="1"/>
  <c r="K51" i="7"/>
  <c r="B52" i="7"/>
  <c r="E64" i="5"/>
  <c r="AA65" i="5"/>
  <c r="E64" i="3"/>
  <c r="G65" i="3"/>
  <c r="Z65" i="5" l="1"/>
  <c r="G64" i="5"/>
  <c r="G69" i="12"/>
  <c r="Z70" i="12"/>
  <c r="E68" i="12"/>
  <c r="Y69" i="12"/>
  <c r="C52" i="7"/>
  <c r="L52" i="7" s="1"/>
  <c r="B53" i="7"/>
  <c r="K52" i="7"/>
  <c r="AA66" i="5"/>
  <c r="E65" i="5"/>
  <c r="G66" i="3"/>
  <c r="E65" i="3"/>
  <c r="Z66" i="5" l="1"/>
  <c r="G65" i="5"/>
  <c r="Y70" i="12"/>
  <c r="E69" i="12"/>
  <c r="Z71" i="12"/>
  <c r="G70" i="12"/>
  <c r="K53" i="7"/>
  <c r="C53" i="7"/>
  <c r="L53" i="7" s="1"/>
  <c r="B54" i="7"/>
  <c r="AA67" i="5"/>
  <c r="E66" i="5"/>
  <c r="E66" i="3"/>
  <c r="G67" i="3"/>
  <c r="Z67" i="5" l="1"/>
  <c r="G66" i="5"/>
  <c r="G71" i="12"/>
  <c r="Z72" i="12"/>
  <c r="Y71" i="12"/>
  <c r="E70" i="12"/>
  <c r="K54" i="7"/>
  <c r="B55" i="7"/>
  <c r="C54" i="7"/>
  <c r="L54" i="7" s="1"/>
  <c r="AA68" i="5"/>
  <c r="E67" i="5"/>
  <c r="E67" i="3"/>
  <c r="G68" i="3"/>
  <c r="Z68" i="5" l="1"/>
  <c r="G67" i="5"/>
  <c r="Y72" i="12"/>
  <c r="E71" i="12"/>
  <c r="G72" i="12"/>
  <c r="Z73" i="12"/>
  <c r="B56" i="7"/>
  <c r="C55" i="7"/>
  <c r="L55" i="7" s="1"/>
  <c r="K55" i="7"/>
  <c r="E68" i="5"/>
  <c r="AA69" i="5"/>
  <c r="G69" i="3"/>
  <c r="E68" i="3"/>
  <c r="Z69" i="5" l="1"/>
  <c r="G68" i="5"/>
  <c r="G73" i="12"/>
  <c r="Z74" i="12"/>
  <c r="E72" i="12"/>
  <c r="Y73" i="12"/>
  <c r="C56" i="7"/>
  <c r="L56" i="7" s="1"/>
  <c r="K56" i="7"/>
  <c r="B57" i="7"/>
  <c r="AA70" i="5"/>
  <c r="E69" i="5"/>
  <c r="E69" i="3"/>
  <c r="G70" i="3"/>
  <c r="Z70" i="5" l="1"/>
  <c r="G69" i="5"/>
  <c r="E73" i="12"/>
  <c r="Y74" i="12"/>
  <c r="G74" i="12"/>
  <c r="Z75" i="12"/>
  <c r="K57" i="7"/>
  <c r="C57" i="7"/>
  <c r="L57" i="7" s="1"/>
  <c r="B58" i="7"/>
  <c r="E70" i="5"/>
  <c r="AA71" i="5"/>
  <c r="G71" i="3"/>
  <c r="E70" i="3"/>
  <c r="Z71" i="5" l="1"/>
  <c r="G70" i="5"/>
  <c r="Z76" i="12"/>
  <c r="G75" i="12"/>
  <c r="Y75" i="12"/>
  <c r="E74" i="12"/>
  <c r="K58" i="7"/>
  <c r="C58" i="7"/>
  <c r="L58" i="7" s="1"/>
  <c r="B59" i="7"/>
  <c r="E71" i="5"/>
  <c r="AA72" i="5"/>
  <c r="E71" i="3"/>
  <c r="G72" i="3"/>
  <c r="Z72" i="5" l="1"/>
  <c r="G71" i="5"/>
  <c r="Y76" i="12"/>
  <c r="E75" i="12"/>
  <c r="G76" i="12"/>
  <c r="Z77" i="12"/>
  <c r="C59" i="7"/>
  <c r="L59" i="7" s="1"/>
  <c r="K59" i="7"/>
  <c r="B60" i="7"/>
  <c r="AA73" i="5"/>
  <c r="E72" i="5"/>
  <c r="G73" i="3"/>
  <c r="E72" i="3"/>
  <c r="Z73" i="5" l="1"/>
  <c r="G72" i="5"/>
  <c r="G77" i="12"/>
  <c r="Z78" i="12"/>
  <c r="Y77" i="12"/>
  <c r="E76" i="12"/>
  <c r="K60" i="7"/>
  <c r="C60" i="7"/>
  <c r="L60" i="7" s="1"/>
  <c r="B61" i="7"/>
  <c r="AA74" i="5"/>
  <c r="E73" i="5"/>
  <c r="E73" i="3"/>
  <c r="G74" i="3"/>
  <c r="Z74" i="5" l="1"/>
  <c r="G73" i="5"/>
  <c r="E77" i="12"/>
  <c r="Y78" i="12"/>
  <c r="G78" i="12"/>
  <c r="Z79" i="12"/>
  <c r="C61" i="7"/>
  <c r="L61" i="7" s="1"/>
  <c r="K61" i="7"/>
  <c r="B62" i="7"/>
  <c r="AA75" i="5"/>
  <c r="E74" i="5"/>
  <c r="G75" i="3"/>
  <c r="E74" i="3"/>
  <c r="Z75" i="5" l="1"/>
  <c r="G74" i="5"/>
  <c r="Z80" i="12"/>
  <c r="G79" i="12"/>
  <c r="Y79" i="12"/>
  <c r="E78" i="12"/>
  <c r="B63" i="7"/>
  <c r="K62" i="7"/>
  <c r="C62" i="7"/>
  <c r="L62" i="7" s="1"/>
  <c r="E75" i="5"/>
  <c r="AA76" i="5"/>
  <c r="E75" i="3"/>
  <c r="G76" i="3"/>
  <c r="Z76" i="5" l="1"/>
  <c r="G75" i="5"/>
  <c r="Y80" i="12"/>
  <c r="E79" i="12"/>
  <c r="Z81" i="12"/>
  <c r="G80" i="12"/>
  <c r="C63" i="7"/>
  <c r="L63" i="7" s="1"/>
  <c r="B64" i="7"/>
  <c r="K63" i="7"/>
  <c r="E76" i="5"/>
  <c r="AA77" i="5"/>
  <c r="G77" i="3"/>
  <c r="E76" i="3"/>
  <c r="Z77" i="5" l="1"/>
  <c r="G76" i="5"/>
  <c r="G81" i="12"/>
  <c r="Z82" i="12"/>
  <c r="E80" i="12"/>
  <c r="Y81" i="12"/>
  <c r="B65" i="7"/>
  <c r="C64" i="7"/>
  <c r="L64" i="7" s="1"/>
  <c r="K64" i="7"/>
  <c r="AA78" i="5"/>
  <c r="E77" i="5"/>
  <c r="E77" i="3"/>
  <c r="G78" i="3"/>
  <c r="Z78" i="5" l="1"/>
  <c r="G77" i="5"/>
  <c r="E81" i="12"/>
  <c r="Y82" i="12"/>
  <c r="G82" i="12"/>
  <c r="Z83" i="12"/>
  <c r="B71" i="7"/>
  <c r="K65" i="7"/>
  <c r="C65" i="7"/>
  <c r="L65" i="7" s="1"/>
  <c r="E78" i="5"/>
  <c r="AA79" i="5"/>
  <c r="G79" i="3"/>
  <c r="E78" i="3"/>
  <c r="Z79" i="5" l="1"/>
  <c r="G78" i="5"/>
  <c r="AC31" i="3"/>
  <c r="AD28" i="3"/>
  <c r="AC30" i="3"/>
  <c r="AD29" i="3"/>
  <c r="AC33" i="3"/>
  <c r="AD31" i="3"/>
  <c r="AD34" i="3"/>
  <c r="AD33" i="3"/>
  <c r="AD30" i="3"/>
  <c r="AC34" i="3"/>
  <c r="AD32" i="3"/>
  <c r="AC28" i="3"/>
  <c r="AC32" i="3"/>
  <c r="Z84" i="12"/>
  <c r="G83" i="12"/>
  <c r="E82" i="12"/>
  <c r="Y83" i="12"/>
  <c r="B72" i="7"/>
  <c r="K71" i="7"/>
  <c r="C71" i="7"/>
  <c r="L71" i="7" s="1"/>
  <c r="E79" i="5"/>
  <c r="AA80" i="5"/>
  <c r="E79" i="3"/>
  <c r="G80" i="3"/>
  <c r="AC29" i="3" l="1"/>
  <c r="Z80" i="5"/>
  <c r="G79" i="5"/>
  <c r="AE33" i="5" s="1"/>
  <c r="AE29" i="5"/>
  <c r="AF32" i="5"/>
  <c r="AF31" i="5"/>
  <c r="Y84" i="12"/>
  <c r="E83" i="12"/>
  <c r="Z85" i="12"/>
  <c r="G84" i="12"/>
  <c r="C72" i="7"/>
  <c r="L72" i="7" s="1"/>
  <c r="B73" i="7"/>
  <c r="K72" i="7"/>
  <c r="E80" i="5"/>
  <c r="AA81" i="5"/>
  <c r="G81" i="3"/>
  <c r="E80" i="3"/>
  <c r="AE27" i="5" l="1"/>
  <c r="AF33" i="5"/>
  <c r="AH33" i="5" s="1"/>
  <c r="AI33" i="5" s="1"/>
  <c r="AE34" i="3" s="1"/>
  <c r="AE31" i="5"/>
  <c r="AH31" i="5" s="1"/>
  <c r="AI31" i="5" s="1"/>
  <c r="AE32" i="3" s="1"/>
  <c r="AE32" i="5"/>
  <c r="AH32" i="5" s="1"/>
  <c r="AI32" i="5" s="1"/>
  <c r="AE33" i="3" s="1"/>
  <c r="AF28" i="5"/>
  <c r="Z81" i="5"/>
  <c r="G80" i="5"/>
  <c r="AF27" i="5"/>
  <c r="AF30" i="5"/>
  <c r="AE30" i="5"/>
  <c r="AF29" i="5"/>
  <c r="AH29" i="5" s="1"/>
  <c r="AI29" i="5" s="1"/>
  <c r="AE30" i="3" s="1"/>
  <c r="AF30" i="3" s="1"/>
  <c r="AE28" i="5"/>
  <c r="Z86" i="12"/>
  <c r="G85" i="12"/>
  <c r="Y85" i="12"/>
  <c r="E84" i="12"/>
  <c r="B74" i="7"/>
  <c r="K73" i="7"/>
  <c r="C73" i="7"/>
  <c r="L73" i="7" s="1"/>
  <c r="AA82" i="5"/>
  <c r="E81" i="5"/>
  <c r="G82" i="3"/>
  <c r="E81" i="3"/>
  <c r="AH27" i="5" l="1"/>
  <c r="AI27" i="5" s="1"/>
  <c r="AE28" i="3" s="1"/>
  <c r="L54" i="3" s="1"/>
  <c r="N54" i="3" s="1"/>
  <c r="AH28" i="5"/>
  <c r="AI28" i="5" s="1"/>
  <c r="AE29" i="3" s="1"/>
  <c r="L76" i="3" s="1"/>
  <c r="N76" i="3" s="1"/>
  <c r="L61" i="3"/>
  <c r="N61" i="3" s="1"/>
  <c r="AF33" i="3"/>
  <c r="L73" i="3"/>
  <c r="N73" i="3" s="1"/>
  <c r="L77" i="3"/>
  <c r="N77" i="3" s="1"/>
  <c r="L69" i="3"/>
  <c r="M69" i="3" s="1"/>
  <c r="L52" i="3"/>
  <c r="L66" i="3"/>
  <c r="M66" i="3" s="1"/>
  <c r="AF32" i="3"/>
  <c r="L58" i="3"/>
  <c r="N58" i="3" s="1"/>
  <c r="L79" i="3"/>
  <c r="N79" i="3" s="1"/>
  <c r="L65" i="3"/>
  <c r="N65" i="3" s="1"/>
  <c r="L72" i="3"/>
  <c r="M72" i="3" s="1"/>
  <c r="L70" i="3"/>
  <c r="N70" i="3" s="1"/>
  <c r="L63" i="3"/>
  <c r="N63" i="3" s="1"/>
  <c r="L56" i="3"/>
  <c r="AF28" i="3"/>
  <c r="L68" i="3"/>
  <c r="M68" i="3" s="1"/>
  <c r="L59" i="3"/>
  <c r="N59" i="3" s="1"/>
  <c r="AH30" i="5"/>
  <c r="AI30" i="5" s="1"/>
  <c r="AE31" i="3" s="1"/>
  <c r="Z82" i="5"/>
  <c r="G81" i="5"/>
  <c r="E85" i="12"/>
  <c r="Y86" i="12"/>
  <c r="G86" i="12"/>
  <c r="Z87" i="12"/>
  <c r="B75" i="7"/>
  <c r="C74" i="7"/>
  <c r="L74" i="7" s="1"/>
  <c r="K74" i="7"/>
  <c r="E82" i="5"/>
  <c r="AA83" i="5"/>
  <c r="E82" i="3"/>
  <c r="G83" i="3"/>
  <c r="M54" i="3" l="1"/>
  <c r="M61" i="3"/>
  <c r="M77" i="3"/>
  <c r="AF29" i="3"/>
  <c r="L55" i="3"/>
  <c r="U56" i="3" s="1"/>
  <c r="X56" i="3" s="1"/>
  <c r="M73" i="3"/>
  <c r="N69" i="3"/>
  <c r="AJ27" i="5"/>
  <c r="M76" i="3"/>
  <c r="N66" i="3"/>
  <c r="P52" i="3"/>
  <c r="R52" i="3" s="1"/>
  <c r="M52" i="3"/>
  <c r="N72" i="3"/>
  <c r="M70" i="3"/>
  <c r="M58" i="3"/>
  <c r="U54" i="3"/>
  <c r="X54" i="3" s="1"/>
  <c r="N52" i="3"/>
  <c r="P54" i="3"/>
  <c r="R54" i="3" s="1"/>
  <c r="U52" i="3"/>
  <c r="X52" i="3" s="1"/>
  <c r="M65" i="3"/>
  <c r="N56" i="3"/>
  <c r="M79" i="3"/>
  <c r="N68" i="3"/>
  <c r="M59" i="3"/>
  <c r="M63" i="3"/>
  <c r="AF31" i="3"/>
  <c r="L64" i="3"/>
  <c r="L71" i="3"/>
  <c r="L78" i="3"/>
  <c r="L57" i="3"/>
  <c r="M56" i="3"/>
  <c r="Z83" i="5"/>
  <c r="G82" i="5"/>
  <c r="G87" i="12"/>
  <c r="Z88" i="12"/>
  <c r="E86" i="12"/>
  <c r="Y87" i="12"/>
  <c r="B76" i="7"/>
  <c r="C75" i="7"/>
  <c r="L75" i="7" s="1"/>
  <c r="K75" i="7"/>
  <c r="E83" i="5"/>
  <c r="AA84" i="5"/>
  <c r="G84" i="3"/>
  <c r="E83" i="3"/>
  <c r="P55" i="3" l="1"/>
  <c r="R55" i="3" s="1"/>
  <c r="AF34" i="3"/>
  <c r="N55" i="3"/>
  <c r="M55" i="3"/>
  <c r="P56" i="3"/>
  <c r="U55" i="3"/>
  <c r="S52" i="3"/>
  <c r="S54" i="3"/>
  <c r="W52" i="3"/>
  <c r="W54" i="3"/>
  <c r="W56" i="3"/>
  <c r="M57" i="3"/>
  <c r="N57" i="3"/>
  <c r="U68" i="3"/>
  <c r="U66" i="3"/>
  <c r="U63" i="3"/>
  <c r="P78" i="3"/>
  <c r="U59" i="3"/>
  <c r="M71" i="3"/>
  <c r="N71" i="3"/>
  <c r="P70" i="3"/>
  <c r="P61" i="3"/>
  <c r="P63" i="3"/>
  <c r="P58" i="3"/>
  <c r="U57" i="3"/>
  <c r="U79" i="3"/>
  <c r="U64" i="3"/>
  <c r="U73" i="3"/>
  <c r="N78" i="3"/>
  <c r="M78" i="3"/>
  <c r="U65" i="3"/>
  <c r="P77" i="3"/>
  <c r="U58" i="3"/>
  <c r="U76" i="3"/>
  <c r="U69" i="3"/>
  <c r="P79" i="3"/>
  <c r="P57" i="3"/>
  <c r="P72" i="3"/>
  <c r="P59" i="3"/>
  <c r="P71" i="3"/>
  <c r="U70" i="3"/>
  <c r="U61" i="3"/>
  <c r="P73" i="3"/>
  <c r="U72" i="3"/>
  <c r="P65" i="3"/>
  <c r="P64" i="3"/>
  <c r="N64" i="3"/>
  <c r="M64" i="3"/>
  <c r="P76" i="3"/>
  <c r="U78" i="3"/>
  <c r="P68" i="3"/>
  <c r="U77" i="3"/>
  <c r="P69" i="3"/>
  <c r="U71" i="3"/>
  <c r="P66" i="3"/>
  <c r="Z84" i="5"/>
  <c r="G83" i="5"/>
  <c r="Y88" i="12"/>
  <c r="E87" i="12"/>
  <c r="Z89" i="12"/>
  <c r="G88" i="12"/>
  <c r="K76" i="7"/>
  <c r="C76" i="7"/>
  <c r="L76" i="7" s="1"/>
  <c r="B77" i="7"/>
  <c r="E84" i="5"/>
  <c r="AA85" i="5"/>
  <c r="E84" i="3"/>
  <c r="G85" i="3"/>
  <c r="S55" i="3" l="1"/>
  <c r="S56" i="3"/>
  <c r="R56" i="3"/>
  <c r="W55" i="3"/>
  <c r="X55" i="3"/>
  <c r="S68" i="3"/>
  <c r="R68" i="3"/>
  <c r="X69" i="3"/>
  <c r="W69" i="3"/>
  <c r="W78" i="3"/>
  <c r="X78" i="3"/>
  <c r="W57" i="3"/>
  <c r="X57" i="3"/>
  <c r="S76" i="3"/>
  <c r="R76" i="3"/>
  <c r="R71" i="3"/>
  <c r="S71" i="3"/>
  <c r="S77" i="3"/>
  <c r="R77" i="3"/>
  <c r="W63" i="3"/>
  <c r="X63" i="3"/>
  <c r="R66" i="3"/>
  <c r="S66" i="3"/>
  <c r="S59" i="3"/>
  <c r="R59" i="3"/>
  <c r="X65" i="3"/>
  <c r="W65" i="3"/>
  <c r="R63" i="3"/>
  <c r="S63" i="3"/>
  <c r="X66" i="3"/>
  <c r="W66" i="3"/>
  <c r="W71" i="3"/>
  <c r="X71" i="3"/>
  <c r="S64" i="3"/>
  <c r="R64" i="3"/>
  <c r="S72" i="3"/>
  <c r="R72" i="3"/>
  <c r="R61" i="3"/>
  <c r="S61" i="3"/>
  <c r="W68" i="3"/>
  <c r="X68" i="3"/>
  <c r="W61" i="3"/>
  <c r="X61" i="3"/>
  <c r="X79" i="3"/>
  <c r="W79" i="3"/>
  <c r="X59" i="3"/>
  <c r="W59" i="3"/>
  <c r="X58" i="3"/>
  <c r="W58" i="3"/>
  <c r="R69" i="3"/>
  <c r="S69" i="3"/>
  <c r="S65" i="3"/>
  <c r="R65" i="3"/>
  <c r="S57" i="3"/>
  <c r="R57" i="3"/>
  <c r="R70" i="3"/>
  <c r="S70" i="3"/>
  <c r="S73" i="3"/>
  <c r="R73" i="3"/>
  <c r="X64" i="3"/>
  <c r="W64" i="3"/>
  <c r="W76" i="3"/>
  <c r="X76" i="3"/>
  <c r="W70" i="3"/>
  <c r="X70" i="3"/>
  <c r="S78" i="3"/>
  <c r="R78" i="3"/>
  <c r="R58" i="3"/>
  <c r="S58" i="3"/>
  <c r="X77" i="3"/>
  <c r="W77" i="3"/>
  <c r="W72" i="3"/>
  <c r="X72" i="3"/>
  <c r="R79" i="3"/>
  <c r="S79" i="3"/>
  <c r="W73" i="3"/>
  <c r="X73" i="3"/>
  <c r="Z85" i="5"/>
  <c r="G84" i="5"/>
  <c r="G89" i="12"/>
  <c r="Z90" i="12"/>
  <c r="Y89" i="12"/>
  <c r="E88" i="12"/>
  <c r="C77" i="7"/>
  <c r="L77" i="7" s="1"/>
  <c r="K77" i="7"/>
  <c r="B78" i="7"/>
  <c r="AA86" i="5"/>
  <c r="E85" i="5"/>
  <c r="G86" i="3"/>
  <c r="E85" i="3"/>
  <c r="Z86" i="5" l="1"/>
  <c r="G85" i="5"/>
  <c r="Y90" i="12"/>
  <c r="E89" i="12"/>
  <c r="G90" i="12"/>
  <c r="Z91" i="12"/>
  <c r="K78" i="7"/>
  <c r="C78" i="7"/>
  <c r="L78" i="7" s="1"/>
  <c r="B79" i="7"/>
  <c r="E86" i="5"/>
  <c r="AA87" i="5"/>
  <c r="G87" i="3"/>
  <c r="E86" i="3"/>
  <c r="Z87" i="5" l="1"/>
  <c r="G86" i="5"/>
  <c r="G91" i="12"/>
  <c r="Z92" i="12"/>
  <c r="E90" i="12"/>
  <c r="Y91" i="12"/>
  <c r="C79" i="7"/>
  <c r="L79" i="7" s="1"/>
  <c r="B80" i="7"/>
  <c r="K79" i="7"/>
  <c r="AA88" i="5"/>
  <c r="E87" i="5"/>
  <c r="E87" i="3"/>
  <c r="G88" i="3"/>
  <c r="Z88" i="5" l="1"/>
  <c r="G87" i="5"/>
  <c r="Z93" i="12"/>
  <c r="G92" i="12"/>
  <c r="Y92" i="12"/>
  <c r="E91" i="12"/>
  <c r="B81" i="7"/>
  <c r="K80" i="7"/>
  <c r="C80" i="7"/>
  <c r="L80" i="7" s="1"/>
  <c r="AA89" i="5"/>
  <c r="E88" i="5"/>
  <c r="G89" i="3"/>
  <c r="E88" i="3"/>
  <c r="Z89" i="5" l="1"/>
  <c r="G88" i="5"/>
  <c r="Y93" i="12"/>
  <c r="E92" i="12"/>
  <c r="G93" i="12"/>
  <c r="Z94" i="12"/>
  <c r="C81" i="7"/>
  <c r="L81" i="7" s="1"/>
  <c r="K81" i="7"/>
  <c r="B82" i="7"/>
  <c r="AA90" i="5"/>
  <c r="E89" i="5"/>
  <c r="E89" i="3"/>
  <c r="G90" i="3"/>
  <c r="Z90" i="5" l="1"/>
  <c r="G89" i="5"/>
  <c r="G94" i="12"/>
  <c r="Z95" i="12"/>
  <c r="Y94" i="12"/>
  <c r="E93" i="12"/>
  <c r="B83" i="7"/>
  <c r="C82" i="7"/>
  <c r="L82" i="7" s="1"/>
  <c r="K82" i="7"/>
  <c r="AA91" i="5"/>
  <c r="E90" i="5"/>
  <c r="G91" i="3"/>
  <c r="E90" i="3"/>
  <c r="Z91" i="5" l="1"/>
  <c r="G90" i="5"/>
  <c r="E94" i="12"/>
  <c r="Y95" i="12"/>
  <c r="G95" i="12"/>
  <c r="Z96" i="12"/>
  <c r="K83" i="7"/>
  <c r="C83" i="7"/>
  <c r="L83" i="7" s="1"/>
  <c r="B84" i="7"/>
  <c r="D10" i="10"/>
  <c r="E10" i="10" s="1"/>
  <c r="G11" i="10" s="1"/>
  <c r="I10" i="10" s="1"/>
  <c r="J10" i="10" s="1"/>
  <c r="D12" i="10"/>
  <c r="E12" i="10" s="1"/>
  <c r="G13" i="10" s="1"/>
  <c r="I12" i="10" s="1"/>
  <c r="D20" i="10"/>
  <c r="E20" i="10" s="1"/>
  <c r="G21" i="10" s="1"/>
  <c r="I20" i="10" s="1"/>
  <c r="J20" i="10" s="1"/>
  <c r="D8" i="10"/>
  <c r="E8" i="10" s="1"/>
  <c r="G9" i="10" s="1"/>
  <c r="I8" i="10" s="1"/>
  <c r="J8" i="10" s="1"/>
  <c r="L8" i="10" s="1"/>
  <c r="L9" i="10" s="1"/>
  <c r="D26" i="10"/>
  <c r="E26" i="10" s="1"/>
  <c r="G27" i="10" s="1"/>
  <c r="I26" i="10" s="1"/>
  <c r="J26" i="10" s="1"/>
  <c r="L26" i="10" s="1"/>
  <c r="L27" i="10" s="1"/>
  <c r="D4" i="10"/>
  <c r="E4" i="10" s="1"/>
  <c r="G5" i="10" s="1"/>
  <c r="I4" i="10" s="1"/>
  <c r="J4" i="10" s="1"/>
  <c r="D16" i="10"/>
  <c r="E16" i="10" s="1"/>
  <c r="G17" i="10" s="1"/>
  <c r="I16" i="10" s="1"/>
  <c r="J16" i="10" s="1"/>
  <c r="L16" i="10" s="1"/>
  <c r="L17" i="10" s="1"/>
  <c r="D18" i="10"/>
  <c r="E18" i="10" s="1"/>
  <c r="G19" i="10" s="1"/>
  <c r="I18" i="10" s="1"/>
  <c r="J18" i="10" s="1"/>
  <c r="AA92" i="5"/>
  <c r="E91" i="5"/>
  <c r="E91" i="3"/>
  <c r="G92" i="3"/>
  <c r="Z92" i="5" l="1"/>
  <c r="G91" i="5"/>
  <c r="Z97" i="12"/>
  <c r="G96" i="12"/>
  <c r="E95" i="12"/>
  <c r="Y96" i="12"/>
  <c r="C84" i="7"/>
  <c r="L84" i="7" s="1"/>
  <c r="K84" i="7"/>
  <c r="B85" i="7"/>
  <c r="F9" i="9"/>
  <c r="I9" i="9" s="1"/>
  <c r="F8" i="9"/>
  <c r="I8" i="9" s="1"/>
  <c r="L4" i="10"/>
  <c r="L5" i="10" s="1"/>
  <c r="D24" i="10"/>
  <c r="E24" i="10" s="1"/>
  <c r="G25" i="10" s="1"/>
  <c r="I24" i="10" s="1"/>
  <c r="J24" i="10" s="1"/>
  <c r="D22" i="10"/>
  <c r="E22" i="10" s="1"/>
  <c r="G23" i="10" s="1"/>
  <c r="I22" i="10" s="1"/>
  <c r="J22" i="10" s="1"/>
  <c r="C2" i="10"/>
  <c r="D6" i="10"/>
  <c r="E6" i="10" s="1"/>
  <c r="G7" i="10" s="1"/>
  <c r="I6" i="10" s="1"/>
  <c r="J6" i="10" s="1"/>
  <c r="F18" i="9"/>
  <c r="I18" i="9" s="1"/>
  <c r="F19" i="9"/>
  <c r="I19" i="9" s="1"/>
  <c r="F12" i="9"/>
  <c r="I12" i="9" s="1"/>
  <c r="F13" i="9"/>
  <c r="I13" i="9" s="1"/>
  <c r="F16" i="9"/>
  <c r="I16" i="9" s="1"/>
  <c r="F17" i="9"/>
  <c r="I17" i="9" s="1"/>
  <c r="C2" i="9"/>
  <c r="F5" i="9"/>
  <c r="I5" i="9" s="1"/>
  <c r="F4" i="9"/>
  <c r="I4" i="9" s="1"/>
  <c r="F25" i="9"/>
  <c r="I25" i="9" s="1"/>
  <c r="F24" i="9"/>
  <c r="I24" i="9" s="1"/>
  <c r="F22" i="9"/>
  <c r="I22" i="9" s="1"/>
  <c r="F23" i="9"/>
  <c r="I23" i="9" s="1"/>
  <c r="F7" i="9"/>
  <c r="I7" i="9" s="1"/>
  <c r="F6" i="9"/>
  <c r="I6" i="9" s="1"/>
  <c r="F20" i="9"/>
  <c r="I20" i="9" s="1"/>
  <c r="F21" i="9"/>
  <c r="I21" i="9" s="1"/>
  <c r="D14" i="10"/>
  <c r="E14" i="10" s="1"/>
  <c r="G15" i="10" s="1"/>
  <c r="I14" i="10" s="1"/>
  <c r="J14" i="10" s="1"/>
  <c r="L20" i="10"/>
  <c r="L21" i="10" s="1"/>
  <c r="F14" i="9"/>
  <c r="I14" i="9" s="1"/>
  <c r="F15" i="9"/>
  <c r="I15" i="9" s="1"/>
  <c r="L18" i="10"/>
  <c r="L19" i="10" s="1"/>
  <c r="F27" i="9"/>
  <c r="I27" i="9" s="1"/>
  <c r="F26" i="9"/>
  <c r="I26" i="9" s="1"/>
  <c r="J12" i="10"/>
  <c r="F11" i="9"/>
  <c r="I11" i="9" s="1"/>
  <c r="F10" i="9"/>
  <c r="I10" i="9" s="1"/>
  <c r="L10" i="10"/>
  <c r="L11" i="10" s="1"/>
  <c r="AA93" i="5"/>
  <c r="E92" i="5"/>
  <c r="G93" i="3"/>
  <c r="E92" i="3"/>
  <c r="B9" i="6" a="1"/>
  <c r="Z93" i="5" l="1"/>
  <c r="G92" i="5"/>
  <c r="Y97" i="12"/>
  <c r="E96" i="12"/>
  <c r="Z98" i="12"/>
  <c r="G97" i="12"/>
  <c r="B5" i="6" a="1"/>
  <c r="B4" i="6" a="1"/>
  <c r="O4" i="9"/>
  <c r="C85" i="7"/>
  <c r="L85" i="7" s="1"/>
  <c r="B86" i="7"/>
  <c r="K85" i="7"/>
  <c r="L24" i="10"/>
  <c r="L25" i="10" s="1"/>
  <c r="L22" i="10"/>
  <c r="L23" i="10" s="1"/>
  <c r="L6" i="10"/>
  <c r="L7" i="10" s="1"/>
  <c r="L12" i="10"/>
  <c r="L13" i="10" s="1"/>
  <c r="M22" i="9"/>
  <c r="J22" i="9"/>
  <c r="O22" i="9"/>
  <c r="M13" i="9"/>
  <c r="J13" i="9"/>
  <c r="O26" i="9"/>
  <c r="M26" i="9"/>
  <c r="J26" i="9"/>
  <c r="L14" i="10"/>
  <c r="L15" i="10" s="1"/>
  <c r="O24" i="9"/>
  <c r="M24" i="9"/>
  <c r="J24" i="9"/>
  <c r="O12" i="9"/>
  <c r="M12" i="9"/>
  <c r="J12" i="9"/>
  <c r="M27" i="9"/>
  <c r="J27" i="9"/>
  <c r="J25" i="9"/>
  <c r="M25" i="9"/>
  <c r="J19" i="9"/>
  <c r="M19" i="9"/>
  <c r="M21" i="9"/>
  <c r="J21" i="9"/>
  <c r="I28" i="9"/>
  <c r="J28" i="9" s="1"/>
  <c r="M4" i="9"/>
  <c r="J4" i="9"/>
  <c r="M18" i="9"/>
  <c r="J18" i="9"/>
  <c r="O18" i="9"/>
  <c r="J20" i="9"/>
  <c r="M20" i="9"/>
  <c r="O20" i="9"/>
  <c r="M5" i="9"/>
  <c r="J5" i="9"/>
  <c r="J15" i="9"/>
  <c r="M15" i="9"/>
  <c r="M6" i="9"/>
  <c r="J6" i="9"/>
  <c r="O6" i="9"/>
  <c r="M8" i="9"/>
  <c r="O8" i="9"/>
  <c r="J8" i="9"/>
  <c r="M10" i="9"/>
  <c r="O10" i="9"/>
  <c r="J10" i="9"/>
  <c r="M14" i="9"/>
  <c r="J14" i="9"/>
  <c r="O14" i="9"/>
  <c r="M7" i="9"/>
  <c r="J7" i="9"/>
  <c r="M17" i="9"/>
  <c r="J17" i="9"/>
  <c r="M9" i="9"/>
  <c r="J9" i="9"/>
  <c r="J11" i="9"/>
  <c r="M11" i="9"/>
  <c r="M23" i="9"/>
  <c r="J23" i="9"/>
  <c r="M16" i="9"/>
  <c r="J16" i="9"/>
  <c r="O16" i="9"/>
  <c r="AA94" i="5"/>
  <c r="E93" i="5"/>
  <c r="E93" i="3"/>
  <c r="G94" i="3"/>
  <c r="Z94" i="5" l="1"/>
  <c r="G93" i="5"/>
  <c r="Z99" i="12"/>
  <c r="G98" i="12"/>
  <c r="E97" i="12"/>
  <c r="Y98" i="12"/>
  <c r="N374" i="7"/>
  <c r="N381" i="7"/>
  <c r="N377" i="7"/>
  <c r="N384" i="7"/>
  <c r="N399" i="7"/>
  <c r="N394" i="7"/>
  <c r="N391" i="7"/>
  <c r="N398" i="7"/>
  <c r="N392" i="7"/>
  <c r="N383" i="7"/>
  <c r="N390" i="7"/>
  <c r="N376" i="7"/>
  <c r="N375" i="7"/>
  <c r="N382" i="7"/>
  <c r="N385" i="7"/>
  <c r="N378" i="7"/>
  <c r="N373" i="7"/>
  <c r="N387" i="7"/>
  <c r="N395" i="7"/>
  <c r="N388" i="7"/>
  <c r="N389" i="7"/>
  <c r="N380" i="7"/>
  <c r="N397" i="7"/>
  <c r="N396" i="7"/>
  <c r="E385" i="7"/>
  <c r="E390" i="7"/>
  <c r="E398" i="7"/>
  <c r="E374" i="7"/>
  <c r="E391" i="7"/>
  <c r="E375" i="7"/>
  <c r="E392" i="7"/>
  <c r="E376" i="7"/>
  <c r="E382" i="7"/>
  <c r="E394" i="7"/>
  <c r="E383" i="7"/>
  <c r="E384" i="7"/>
  <c r="E399" i="7"/>
  <c r="E373" i="7"/>
  <c r="E397" i="7"/>
  <c r="E396" i="7"/>
  <c r="E389" i="7"/>
  <c r="E388" i="7"/>
  <c r="E380" i="7"/>
  <c r="E395" i="7"/>
  <c r="E387" i="7"/>
  <c r="E377" i="7"/>
  <c r="E378" i="7"/>
  <c r="E381" i="7"/>
  <c r="N360" i="7"/>
  <c r="N349" i="7"/>
  <c r="N359" i="7"/>
  <c r="N350" i="7"/>
  <c r="N354" i="7"/>
  <c r="N351" i="7"/>
  <c r="N366" i="7"/>
  <c r="N343" i="7"/>
  <c r="N347" i="7"/>
  <c r="N346" i="7"/>
  <c r="N340" i="7"/>
  <c r="N352" i="7"/>
  <c r="N357" i="7"/>
  <c r="N344" i="7"/>
  <c r="N358" i="7"/>
  <c r="N345" i="7"/>
  <c r="N367" i="7"/>
  <c r="N365" i="7"/>
  <c r="N361" i="7"/>
  <c r="N356" i="7"/>
  <c r="N364" i="7"/>
  <c r="N353" i="7"/>
  <c r="N368" i="7"/>
  <c r="E340" i="7"/>
  <c r="E366" i="7"/>
  <c r="E350" i="7"/>
  <c r="E357" i="7"/>
  <c r="E358" i="7"/>
  <c r="E343" i="7"/>
  <c r="E347" i="7"/>
  <c r="E368" i="7"/>
  <c r="E352" i="7"/>
  <c r="E361" i="7"/>
  <c r="E360" i="7"/>
  <c r="E354" i="7"/>
  <c r="E353" i="7"/>
  <c r="E356" i="7"/>
  <c r="E367" i="7"/>
  <c r="E346" i="7"/>
  <c r="E345" i="7"/>
  <c r="E359" i="7"/>
  <c r="E349" i="7"/>
  <c r="E344" i="7"/>
  <c r="E351" i="7"/>
  <c r="E364" i="7"/>
  <c r="E365" i="7"/>
  <c r="N306" i="7"/>
  <c r="N307" i="7"/>
  <c r="N326" i="7"/>
  <c r="N333" i="7"/>
  <c r="N315" i="7"/>
  <c r="N330" i="7"/>
  <c r="N325" i="7"/>
  <c r="N332" i="7"/>
  <c r="N334" i="7"/>
  <c r="N322" i="7"/>
  <c r="N309" i="7"/>
  <c r="N316" i="7"/>
  <c r="N314" i="7"/>
  <c r="N308" i="7"/>
  <c r="N323" i="7"/>
  <c r="N312" i="7"/>
  <c r="N311" i="7"/>
  <c r="N321" i="7"/>
  <c r="N320" i="7"/>
  <c r="N313" i="7"/>
  <c r="N319" i="7"/>
  <c r="N335" i="7"/>
  <c r="N329" i="7"/>
  <c r="N327" i="7"/>
  <c r="N336" i="7"/>
  <c r="N328" i="7"/>
  <c r="E306" i="7"/>
  <c r="E307" i="7"/>
  <c r="E308" i="7"/>
  <c r="E315" i="7"/>
  <c r="E316" i="7"/>
  <c r="E332" i="7"/>
  <c r="E333" i="7"/>
  <c r="E319" i="7"/>
  <c r="E313" i="7"/>
  <c r="E311" i="7"/>
  <c r="E336" i="7"/>
  <c r="E334" i="7"/>
  <c r="E309" i="7"/>
  <c r="E325" i="7"/>
  <c r="E328" i="7"/>
  <c r="E326" i="7"/>
  <c r="E320" i="7"/>
  <c r="E335" i="7"/>
  <c r="E323" i="7"/>
  <c r="E312" i="7"/>
  <c r="E327" i="7"/>
  <c r="E330" i="7"/>
  <c r="E322" i="7"/>
  <c r="E329" i="7"/>
  <c r="E314" i="7"/>
  <c r="E321" i="7"/>
  <c r="N290" i="7"/>
  <c r="N291" i="7"/>
  <c r="N278" i="7"/>
  <c r="N283" i="7"/>
  <c r="N281" i="7"/>
  <c r="N275" i="7"/>
  <c r="N301" i="7"/>
  <c r="N292" i="7"/>
  <c r="N282" i="7"/>
  <c r="N276" i="7"/>
  <c r="N274" i="7"/>
  <c r="N296" i="7"/>
  <c r="N285" i="7"/>
  <c r="N297" i="7"/>
  <c r="N288" i="7"/>
  <c r="N298" i="7"/>
  <c r="N289" i="7"/>
  <c r="N280" i="7"/>
  <c r="N284" i="7"/>
  <c r="N299" i="7"/>
  <c r="N273" i="7"/>
  <c r="N302" i="7"/>
  <c r="N294" i="7"/>
  <c r="N277" i="7"/>
  <c r="E298" i="7"/>
  <c r="E274" i="7"/>
  <c r="E299" i="7"/>
  <c r="E282" i="7"/>
  <c r="E273" i="7"/>
  <c r="E283" i="7"/>
  <c r="E284" i="7"/>
  <c r="E290" i="7"/>
  <c r="E291" i="7"/>
  <c r="E292" i="7"/>
  <c r="E296" i="7"/>
  <c r="E289" i="7"/>
  <c r="E288" i="7"/>
  <c r="E280" i="7"/>
  <c r="E278" i="7"/>
  <c r="E285" i="7"/>
  <c r="E302" i="7"/>
  <c r="E294" i="7"/>
  <c r="E276" i="7"/>
  <c r="E275" i="7"/>
  <c r="E277" i="7"/>
  <c r="E301" i="7"/>
  <c r="E281" i="7"/>
  <c r="E297" i="7"/>
  <c r="N243" i="7"/>
  <c r="N240" i="7"/>
  <c r="N242" i="7"/>
  <c r="N260" i="7"/>
  <c r="N258" i="7"/>
  <c r="N261" i="7"/>
  <c r="N246" i="7"/>
  <c r="N244" i="7"/>
  <c r="N267" i="7"/>
  <c r="N266" i="7"/>
  <c r="N268" i="7"/>
  <c r="N245" i="7"/>
  <c r="N247" i="7"/>
  <c r="N257" i="7"/>
  <c r="N239" i="7"/>
  <c r="N259" i="7"/>
  <c r="N264" i="7"/>
  <c r="N265" i="7"/>
  <c r="N256" i="7"/>
  <c r="N263" i="7"/>
  <c r="E261" i="7"/>
  <c r="E240" i="7"/>
  <c r="E256" i="7"/>
  <c r="E266" i="7"/>
  <c r="E257" i="7"/>
  <c r="E268" i="7"/>
  <c r="E265" i="7"/>
  <c r="E242" i="7"/>
  <c r="E258" i="7"/>
  <c r="E259" i="7"/>
  <c r="E260" i="7"/>
  <c r="E264" i="7"/>
  <c r="E246" i="7"/>
  <c r="E245" i="7"/>
  <c r="E247" i="7"/>
  <c r="E267" i="7"/>
  <c r="E243" i="7"/>
  <c r="E244" i="7"/>
  <c r="E263" i="7"/>
  <c r="E239" i="7"/>
  <c r="N213" i="7"/>
  <c r="N234" i="7"/>
  <c r="N211" i="7"/>
  <c r="N205" i="7"/>
  <c r="N215" i="7"/>
  <c r="N216" i="7"/>
  <c r="N223" i="7"/>
  <c r="N207" i="7"/>
  <c r="N226" i="7"/>
  <c r="N229" i="7"/>
  <c r="N218" i="7"/>
  <c r="N227" i="7"/>
  <c r="N221" i="7"/>
  <c r="N208" i="7"/>
  <c r="N228" i="7"/>
  <c r="N219" i="7"/>
  <c r="N235" i="7"/>
  <c r="N214" i="7"/>
  <c r="N209" i="7"/>
  <c r="N230" i="7"/>
  <c r="N222" i="7"/>
  <c r="N206" i="7"/>
  <c r="N220" i="7"/>
  <c r="N212" i="7"/>
  <c r="N232" i="7"/>
  <c r="N233" i="7"/>
  <c r="E215" i="7"/>
  <c r="E228" i="7"/>
  <c r="E216" i="7"/>
  <c r="E234" i="7"/>
  <c r="E235" i="7"/>
  <c r="E218" i="7"/>
  <c r="E205" i="7"/>
  <c r="E219" i="7"/>
  <c r="E206" i="7"/>
  <c r="E220" i="7"/>
  <c r="E207" i="7"/>
  <c r="E226" i="7"/>
  <c r="E214" i="7"/>
  <c r="E227" i="7"/>
  <c r="E209" i="7"/>
  <c r="E208" i="7"/>
  <c r="E230" i="7"/>
  <c r="E212" i="7"/>
  <c r="E229" i="7"/>
  <c r="E222" i="7"/>
  <c r="E221" i="7"/>
  <c r="E232" i="7"/>
  <c r="E211" i="7"/>
  <c r="E233" i="7"/>
  <c r="E223" i="7"/>
  <c r="E213" i="7"/>
  <c r="N176" i="7"/>
  <c r="N192" i="7"/>
  <c r="N198" i="7"/>
  <c r="N199" i="7"/>
  <c r="N175" i="7"/>
  <c r="N194" i="7"/>
  <c r="N191" i="7"/>
  <c r="N189" i="7"/>
  <c r="N195" i="7"/>
  <c r="N183" i="7"/>
  <c r="N190" i="7"/>
  <c r="N184" i="7"/>
  <c r="N187" i="7"/>
  <c r="N182" i="7"/>
  <c r="N196" i="7"/>
  <c r="N174" i="7"/>
  <c r="N188" i="7"/>
  <c r="N180" i="7"/>
  <c r="N185" i="7"/>
  <c r="N173" i="7"/>
  <c r="N178" i="7"/>
  <c r="N197" i="7"/>
  <c r="N201" i="7"/>
  <c r="N177" i="7"/>
  <c r="N181" i="7"/>
  <c r="E187" i="7"/>
  <c r="E190" i="7"/>
  <c r="E191" i="7"/>
  <c r="E198" i="7"/>
  <c r="E174" i="7"/>
  <c r="E199" i="7"/>
  <c r="E175" i="7"/>
  <c r="E182" i="7"/>
  <c r="E183" i="7"/>
  <c r="E189" i="7"/>
  <c r="E178" i="7"/>
  <c r="E177" i="7"/>
  <c r="E181" i="7"/>
  <c r="E173" i="7"/>
  <c r="E192" i="7"/>
  <c r="E196" i="7"/>
  <c r="E184" i="7"/>
  <c r="E188" i="7"/>
  <c r="E180" i="7"/>
  <c r="E176" i="7"/>
  <c r="E195" i="7"/>
  <c r="E201" i="7"/>
  <c r="E194" i="7"/>
  <c r="E197" i="7"/>
  <c r="E185" i="7"/>
  <c r="F5" i="6" a="1"/>
  <c r="N163" i="7"/>
  <c r="N139" i="7"/>
  <c r="N161" i="7"/>
  <c r="N149" i="7"/>
  <c r="N138" i="7"/>
  <c r="N156" i="7"/>
  <c r="N152" i="7"/>
  <c r="N145" i="7"/>
  <c r="N165" i="7"/>
  <c r="N157" i="7"/>
  <c r="N167" i="7"/>
  <c r="N166" i="7"/>
  <c r="N164" i="7"/>
  <c r="N151" i="7"/>
  <c r="N147" i="7"/>
  <c r="N153" i="7"/>
  <c r="N154" i="7"/>
  <c r="N168" i="7"/>
  <c r="N159" i="7"/>
  <c r="N150" i="7"/>
  <c r="N158" i="7"/>
  <c r="N144" i="7"/>
  <c r="N160" i="7"/>
  <c r="N146" i="7"/>
  <c r="E153" i="7"/>
  <c r="E144" i="7"/>
  <c r="E154" i="7"/>
  <c r="E146" i="7"/>
  <c r="E157" i="7"/>
  <c r="E147" i="7"/>
  <c r="E163" i="7"/>
  <c r="E138" i="7"/>
  <c r="E139" i="7"/>
  <c r="E149" i="7"/>
  <c r="E152" i="7"/>
  <c r="E145" i="7"/>
  <c r="E167" i="7"/>
  <c r="E161" i="7"/>
  <c r="E159" i="7"/>
  <c r="E166" i="7"/>
  <c r="E158" i="7"/>
  <c r="E168" i="7"/>
  <c r="E151" i="7"/>
  <c r="E160" i="7"/>
  <c r="E165" i="7"/>
  <c r="E156" i="7"/>
  <c r="E150" i="7"/>
  <c r="E164" i="7"/>
  <c r="F4" i="6" a="1"/>
  <c r="N107" i="7"/>
  <c r="N115" i="7"/>
  <c r="N113" i="7"/>
  <c r="N109" i="7"/>
  <c r="N130" i="7"/>
  <c r="N123" i="7"/>
  <c r="N114" i="7"/>
  <c r="N125" i="7"/>
  <c r="N105" i="7"/>
  <c r="N129" i="7"/>
  <c r="N122" i="7"/>
  <c r="N121" i="7"/>
  <c r="N106" i="7"/>
  <c r="N112" i="7"/>
  <c r="N118" i="7"/>
  <c r="N116" i="7"/>
  <c r="N126" i="7"/>
  <c r="N120" i="7"/>
  <c r="N108" i="7"/>
  <c r="N111" i="7"/>
  <c r="N119" i="7"/>
  <c r="N132" i="7"/>
  <c r="N128" i="7"/>
  <c r="N127" i="7"/>
  <c r="N134" i="7"/>
  <c r="E114" i="7"/>
  <c r="E105" i="7"/>
  <c r="E106" i="7"/>
  <c r="E115" i="7"/>
  <c r="E123" i="7"/>
  <c r="E107" i="7"/>
  <c r="E130" i="7"/>
  <c r="E111" i="7"/>
  <c r="E119" i="7"/>
  <c r="E120" i="7"/>
  <c r="E126" i="7"/>
  <c r="E108" i="7"/>
  <c r="E112" i="7"/>
  <c r="E132" i="7"/>
  <c r="E118" i="7"/>
  <c r="E122" i="7"/>
  <c r="E127" i="7"/>
  <c r="E129" i="7"/>
  <c r="E134" i="7"/>
  <c r="E109" i="7"/>
  <c r="E125" i="7"/>
  <c r="E121" i="7"/>
  <c r="E116" i="7"/>
  <c r="E113" i="7"/>
  <c r="E128" i="7"/>
  <c r="N85" i="7"/>
  <c r="N91" i="7"/>
  <c r="N74" i="7"/>
  <c r="N84" i="7"/>
  <c r="N75" i="7"/>
  <c r="N73" i="7"/>
  <c r="N80" i="7"/>
  <c r="N94" i="7"/>
  <c r="N95" i="7"/>
  <c r="N82" i="7"/>
  <c r="N71" i="7"/>
  <c r="N99" i="7"/>
  <c r="N92" i="7"/>
  <c r="N78" i="7"/>
  <c r="N101" i="7"/>
  <c r="N83" i="7"/>
  <c r="N77" i="7"/>
  <c r="N87" i="7"/>
  <c r="N88" i="7"/>
  <c r="N96" i="7"/>
  <c r="N81" i="7"/>
  <c r="N97" i="7"/>
  <c r="N76" i="7"/>
  <c r="N89" i="7"/>
  <c r="N98" i="7"/>
  <c r="E76" i="7"/>
  <c r="E92" i="7"/>
  <c r="E77" i="7"/>
  <c r="E99" i="7"/>
  <c r="E78" i="7"/>
  <c r="E83" i="7"/>
  <c r="E101" i="7"/>
  <c r="E84" i="7"/>
  <c r="E71" i="7"/>
  <c r="E85" i="7"/>
  <c r="E91" i="7"/>
  <c r="E75" i="7"/>
  <c r="E82" i="7"/>
  <c r="E95" i="7"/>
  <c r="E89" i="7"/>
  <c r="E74" i="7"/>
  <c r="E80" i="7"/>
  <c r="E96" i="7"/>
  <c r="E98" i="7"/>
  <c r="E88" i="7"/>
  <c r="E87" i="7"/>
  <c r="E94" i="7"/>
  <c r="E81" i="7"/>
  <c r="E73" i="7"/>
  <c r="E97" i="7"/>
  <c r="N40" i="7"/>
  <c r="N50" i="7"/>
  <c r="N42" i="7"/>
  <c r="N58" i="7"/>
  <c r="N54" i="7"/>
  <c r="N65" i="7"/>
  <c r="N63" i="7"/>
  <c r="N57" i="7"/>
  <c r="N56" i="7"/>
  <c r="N55" i="7"/>
  <c r="N38" i="7"/>
  <c r="N47" i="7"/>
  <c r="N44" i="7"/>
  <c r="N49" i="7"/>
  <c r="N64" i="7"/>
  <c r="N41" i="7"/>
  <c r="N45" i="7"/>
  <c r="N51" i="7"/>
  <c r="N43" i="7"/>
  <c r="N62" i="7"/>
  <c r="N59" i="7"/>
  <c r="N52" i="7"/>
  <c r="E40" i="7"/>
  <c r="E63" i="7"/>
  <c r="E41" i="7"/>
  <c r="E47" i="7"/>
  <c r="E38" i="7"/>
  <c r="E49" i="7"/>
  <c r="E64" i="7"/>
  <c r="E55" i="7"/>
  <c r="E56" i="7"/>
  <c r="E57" i="7"/>
  <c r="E65" i="7"/>
  <c r="E58" i="7"/>
  <c r="E54" i="7"/>
  <c r="E45" i="7"/>
  <c r="E62" i="7"/>
  <c r="E44" i="7"/>
  <c r="E50" i="7"/>
  <c r="E59" i="7"/>
  <c r="E42" i="7"/>
  <c r="E51" i="7"/>
  <c r="E43" i="7"/>
  <c r="E52" i="7"/>
  <c r="N17" i="7"/>
  <c r="N18" i="7"/>
  <c r="N32" i="7"/>
  <c r="N24" i="7"/>
  <c r="N31" i="7"/>
  <c r="N10" i="7"/>
  <c r="N9" i="7"/>
  <c r="N26" i="7"/>
  <c r="N13" i="7"/>
  <c r="N25" i="7"/>
  <c r="N21" i="7"/>
  <c r="N34" i="7"/>
  <c r="N33" i="7"/>
  <c r="N30" i="7"/>
  <c r="N12" i="7"/>
  <c r="N28" i="7"/>
  <c r="N14" i="7"/>
  <c r="N23" i="7"/>
  <c r="N20" i="7"/>
  <c r="N11" i="7"/>
  <c r="N27" i="7"/>
  <c r="N19" i="7"/>
  <c r="O22" i="7" s="1"/>
  <c r="R22" i="7" s="1"/>
  <c r="E13" i="7"/>
  <c r="E24" i="7"/>
  <c r="E32" i="7"/>
  <c r="E21" i="7"/>
  <c r="E9" i="7"/>
  <c r="E17" i="7"/>
  <c r="E23" i="7"/>
  <c r="E30" i="7"/>
  <c r="E27" i="7"/>
  <c r="E20" i="7"/>
  <c r="E14" i="7"/>
  <c r="E19" i="7"/>
  <c r="E11" i="7"/>
  <c r="E12" i="7"/>
  <c r="E33" i="7"/>
  <c r="E10" i="7"/>
  <c r="E34" i="7"/>
  <c r="E25" i="7"/>
  <c r="E26" i="7"/>
  <c r="E31" i="7"/>
  <c r="E18" i="7"/>
  <c r="E28" i="7"/>
  <c r="B87" i="7"/>
  <c r="C86" i="7"/>
  <c r="L86" i="7" s="1"/>
  <c r="K86" i="7"/>
  <c r="D9" i="6"/>
  <c r="D10" i="6"/>
  <c r="G9" i="6"/>
  <c r="G10" i="6"/>
  <c r="AA95" i="5"/>
  <c r="E94" i="5"/>
  <c r="G95" i="3"/>
  <c r="E94" i="3"/>
  <c r="Z95" i="5" l="1"/>
  <c r="G94" i="5"/>
  <c r="E98" i="12"/>
  <c r="Y99" i="12"/>
  <c r="Z100" i="12"/>
  <c r="G99" i="12"/>
  <c r="O307" i="7"/>
  <c r="R307" i="7" s="1"/>
  <c r="O211" i="7"/>
  <c r="R211" i="7" s="1"/>
  <c r="F57" i="7"/>
  <c r="I57" i="7" s="1"/>
  <c r="O374" i="7"/>
  <c r="R374" i="7" s="1"/>
  <c r="O377" i="7"/>
  <c r="R377" i="7" s="1"/>
  <c r="O376" i="7"/>
  <c r="R376" i="7" s="1"/>
  <c r="O378" i="7"/>
  <c r="R378" i="7" s="1"/>
  <c r="O373" i="7"/>
  <c r="R373" i="7" s="1"/>
  <c r="O375" i="7"/>
  <c r="R375" i="7" s="1"/>
  <c r="O381" i="7"/>
  <c r="R381" i="7" s="1"/>
  <c r="O385" i="7"/>
  <c r="R385" i="7" s="1"/>
  <c r="O390" i="7"/>
  <c r="R390" i="7" s="1"/>
  <c r="N404" i="7"/>
  <c r="O397" i="7"/>
  <c r="R397" i="7" s="1"/>
  <c r="O383" i="7"/>
  <c r="R383" i="7" s="1"/>
  <c r="O398" i="7"/>
  <c r="R398" i="7" s="1"/>
  <c r="O391" i="7"/>
  <c r="R391" i="7" s="1"/>
  <c r="O387" i="7"/>
  <c r="R387" i="7" s="1"/>
  <c r="O382" i="7"/>
  <c r="R382" i="7" s="1"/>
  <c r="O392" i="7"/>
  <c r="R392" i="7" s="1"/>
  <c r="O399" i="7"/>
  <c r="R399" i="7" s="1"/>
  <c r="O388" i="7"/>
  <c r="R388" i="7" s="1"/>
  <c r="O396" i="7"/>
  <c r="R396" i="7" s="1"/>
  <c r="O395" i="7"/>
  <c r="R395" i="7" s="1"/>
  <c r="O384" i="7"/>
  <c r="R384" i="7" s="1"/>
  <c r="O394" i="7"/>
  <c r="R394" i="7" s="1"/>
  <c r="O389" i="7"/>
  <c r="R389" i="7" s="1"/>
  <c r="O380" i="7"/>
  <c r="R380" i="7" s="1"/>
  <c r="F377" i="7"/>
  <c r="I377" i="7" s="1"/>
  <c r="F376" i="7"/>
  <c r="I376" i="7" s="1"/>
  <c r="F374" i="7"/>
  <c r="I374" i="7" s="1"/>
  <c r="F375" i="7"/>
  <c r="I375" i="7" s="1"/>
  <c r="F391" i="7"/>
  <c r="I391" i="7" s="1"/>
  <c r="F373" i="7"/>
  <c r="I373" i="7" s="1"/>
  <c r="F389" i="7"/>
  <c r="I389" i="7" s="1"/>
  <c r="F378" i="7"/>
  <c r="I378" i="7" s="1"/>
  <c r="F396" i="7"/>
  <c r="I396" i="7" s="1"/>
  <c r="F395" i="7"/>
  <c r="I395" i="7" s="1"/>
  <c r="F392" i="7"/>
  <c r="I392" i="7" s="1"/>
  <c r="F387" i="7"/>
  <c r="I387" i="7" s="1"/>
  <c r="F394" i="7"/>
  <c r="I394" i="7" s="1"/>
  <c r="F390" i="7"/>
  <c r="I390" i="7" s="1"/>
  <c r="F382" i="7"/>
  <c r="I382" i="7" s="1"/>
  <c r="F385" i="7"/>
  <c r="I385" i="7" s="1"/>
  <c r="F388" i="7"/>
  <c r="I388" i="7" s="1"/>
  <c r="F380" i="7"/>
  <c r="I380" i="7" s="1"/>
  <c r="F398" i="7"/>
  <c r="I398" i="7" s="1"/>
  <c r="F397" i="7"/>
  <c r="I397" i="7" s="1"/>
  <c r="F399" i="7"/>
  <c r="I399" i="7" s="1"/>
  <c r="F384" i="7"/>
  <c r="I384" i="7" s="1"/>
  <c r="E404" i="7"/>
  <c r="F381" i="7"/>
  <c r="I381" i="7" s="1"/>
  <c r="F383" i="7"/>
  <c r="I383" i="7" s="1"/>
  <c r="O345" i="7"/>
  <c r="R345" i="7" s="1"/>
  <c r="O344" i="7"/>
  <c r="R344" i="7" s="1"/>
  <c r="O340" i="7"/>
  <c r="R340" i="7" s="1"/>
  <c r="O351" i="7"/>
  <c r="R351" i="7" s="1"/>
  <c r="O347" i="7"/>
  <c r="R347" i="7" s="1"/>
  <c r="O352" i="7"/>
  <c r="R352" i="7" s="1"/>
  <c r="O349" i="7"/>
  <c r="R349" i="7" s="1"/>
  <c r="O346" i="7"/>
  <c r="R346" i="7" s="1"/>
  <c r="O343" i="7"/>
  <c r="R343" i="7" s="1"/>
  <c r="O350" i="7"/>
  <c r="R350" i="7" s="1"/>
  <c r="O354" i="7"/>
  <c r="R354" i="7" s="1"/>
  <c r="O364" i="7"/>
  <c r="R364" i="7" s="1"/>
  <c r="O358" i="7"/>
  <c r="R358" i="7" s="1"/>
  <c r="O368" i="7"/>
  <c r="R368" i="7" s="1"/>
  <c r="O356" i="7"/>
  <c r="R356" i="7" s="1"/>
  <c r="O359" i="7"/>
  <c r="R359" i="7" s="1"/>
  <c r="O360" i="7"/>
  <c r="R360" i="7" s="1"/>
  <c r="O357" i="7"/>
  <c r="R357" i="7" s="1"/>
  <c r="O353" i="7"/>
  <c r="R353" i="7" s="1"/>
  <c r="N370" i="7"/>
  <c r="O365" i="7"/>
  <c r="R365" i="7" s="1"/>
  <c r="O367" i="7"/>
  <c r="R367" i="7" s="1"/>
  <c r="O361" i="7"/>
  <c r="R361" i="7" s="1"/>
  <c r="O366" i="7"/>
  <c r="R366" i="7" s="1"/>
  <c r="F344" i="7"/>
  <c r="I344" i="7" s="1"/>
  <c r="F340" i="7"/>
  <c r="I340" i="7" s="1"/>
  <c r="F350" i="7"/>
  <c r="I350" i="7" s="1"/>
  <c r="F343" i="7"/>
  <c r="I343" i="7" s="1"/>
  <c r="F367" i="7"/>
  <c r="I367" i="7" s="1"/>
  <c r="F365" i="7"/>
  <c r="I365" i="7" s="1"/>
  <c r="F360" i="7"/>
  <c r="I360" i="7" s="1"/>
  <c r="F368" i="7"/>
  <c r="I368" i="7" s="1"/>
  <c r="F361" i="7"/>
  <c r="I361" i="7" s="1"/>
  <c r="F345" i="7"/>
  <c r="I345" i="7" s="1"/>
  <c r="F358" i="7"/>
  <c r="I358" i="7" s="1"/>
  <c r="F352" i="7"/>
  <c r="I352" i="7" s="1"/>
  <c r="F354" i="7"/>
  <c r="I354" i="7" s="1"/>
  <c r="F357" i="7"/>
  <c r="I357" i="7" s="1"/>
  <c r="F353" i="7"/>
  <c r="I353" i="7" s="1"/>
  <c r="E370" i="7"/>
  <c r="F349" i="7"/>
  <c r="I349" i="7" s="1"/>
  <c r="F351" i="7"/>
  <c r="I351" i="7" s="1"/>
  <c r="F359" i="7"/>
  <c r="I359" i="7" s="1"/>
  <c r="F366" i="7"/>
  <c r="I366" i="7" s="1"/>
  <c r="F347" i="7"/>
  <c r="I347" i="7" s="1"/>
  <c r="F356" i="7"/>
  <c r="I356" i="7" s="1"/>
  <c r="F364" i="7"/>
  <c r="I364" i="7" s="1"/>
  <c r="F346" i="7"/>
  <c r="I346" i="7" s="1"/>
  <c r="O306" i="7"/>
  <c r="R306" i="7" s="1"/>
  <c r="O308" i="7"/>
  <c r="R308" i="7" s="1"/>
  <c r="O309" i="7"/>
  <c r="R309" i="7" s="1"/>
  <c r="O312" i="7"/>
  <c r="R312" i="7" s="1"/>
  <c r="O314" i="7"/>
  <c r="R314" i="7" s="1"/>
  <c r="O319" i="7"/>
  <c r="R319" i="7" s="1"/>
  <c r="O328" i="7"/>
  <c r="R328" i="7" s="1"/>
  <c r="O327" i="7"/>
  <c r="R327" i="7" s="1"/>
  <c r="O329" i="7"/>
  <c r="R329" i="7" s="1"/>
  <c r="N337" i="7"/>
  <c r="O336" i="7"/>
  <c r="R336" i="7" s="1"/>
  <c r="O315" i="7"/>
  <c r="R315" i="7" s="1"/>
  <c r="O335" i="7"/>
  <c r="R335" i="7" s="1"/>
  <c r="O332" i="7"/>
  <c r="R332" i="7" s="1"/>
  <c r="O320" i="7"/>
  <c r="R320" i="7" s="1"/>
  <c r="O334" i="7"/>
  <c r="R334" i="7" s="1"/>
  <c r="O321" i="7"/>
  <c r="R321" i="7" s="1"/>
  <c r="O322" i="7"/>
  <c r="R322" i="7" s="1"/>
  <c r="O316" i="7"/>
  <c r="R316" i="7" s="1"/>
  <c r="O330" i="7"/>
  <c r="R330" i="7" s="1"/>
  <c r="O323" i="7"/>
  <c r="R323" i="7" s="1"/>
  <c r="O326" i="7"/>
  <c r="R326" i="7" s="1"/>
  <c r="O313" i="7"/>
  <c r="R313" i="7" s="1"/>
  <c r="O325" i="7"/>
  <c r="R325" i="7" s="1"/>
  <c r="O311" i="7"/>
  <c r="R311" i="7" s="1"/>
  <c r="O333" i="7"/>
  <c r="R333" i="7" s="1"/>
  <c r="F314" i="7"/>
  <c r="I314" i="7" s="1"/>
  <c r="F307" i="7"/>
  <c r="I307" i="7" s="1"/>
  <c r="F308" i="7"/>
  <c r="I308" i="7" s="1"/>
  <c r="F309" i="7"/>
  <c r="I309" i="7" s="1"/>
  <c r="F311" i="7"/>
  <c r="I311" i="7" s="1"/>
  <c r="F306" i="7"/>
  <c r="I306" i="7" s="1"/>
  <c r="F322" i="7"/>
  <c r="I322" i="7" s="1"/>
  <c r="F328" i="7"/>
  <c r="I328" i="7" s="1"/>
  <c r="F335" i="7"/>
  <c r="I335" i="7" s="1"/>
  <c r="F333" i="7"/>
  <c r="I333" i="7" s="1"/>
  <c r="F316" i="7"/>
  <c r="I316" i="7" s="1"/>
  <c r="F320" i="7"/>
  <c r="I320" i="7" s="1"/>
  <c r="F330" i="7"/>
  <c r="I330" i="7" s="1"/>
  <c r="F334" i="7"/>
  <c r="I334" i="7" s="1"/>
  <c r="F313" i="7"/>
  <c r="I313" i="7" s="1"/>
  <c r="F326" i="7"/>
  <c r="I326" i="7" s="1"/>
  <c r="F336" i="7"/>
  <c r="I336" i="7" s="1"/>
  <c r="F319" i="7"/>
  <c r="I319" i="7" s="1"/>
  <c r="E337" i="7"/>
  <c r="F312" i="7"/>
  <c r="I312" i="7" s="1"/>
  <c r="F321" i="7"/>
  <c r="I321" i="7" s="1"/>
  <c r="F323" i="7"/>
  <c r="I323" i="7" s="1"/>
  <c r="F315" i="7"/>
  <c r="I315" i="7" s="1"/>
  <c r="F325" i="7"/>
  <c r="I325" i="7" s="1"/>
  <c r="F327" i="7"/>
  <c r="I327" i="7" s="1"/>
  <c r="F332" i="7"/>
  <c r="I332" i="7" s="1"/>
  <c r="F329" i="7"/>
  <c r="I329" i="7" s="1"/>
  <c r="O273" i="7"/>
  <c r="R273" i="7" s="1"/>
  <c r="O282" i="7"/>
  <c r="R282" i="7" s="1"/>
  <c r="O277" i="7"/>
  <c r="R277" i="7" s="1"/>
  <c r="O276" i="7"/>
  <c r="R276" i="7" s="1"/>
  <c r="O284" i="7"/>
  <c r="R284" i="7" s="1"/>
  <c r="O281" i="7"/>
  <c r="R281" i="7" s="1"/>
  <c r="O274" i="7"/>
  <c r="R274" i="7" s="1"/>
  <c r="O278" i="7"/>
  <c r="R278" i="7" s="1"/>
  <c r="O283" i="7"/>
  <c r="R283" i="7" s="1"/>
  <c r="O275" i="7"/>
  <c r="R275" i="7" s="1"/>
  <c r="O280" i="7"/>
  <c r="R280" i="7" s="1"/>
  <c r="O285" i="7"/>
  <c r="R285" i="7" s="1"/>
  <c r="O289" i="7"/>
  <c r="R289" i="7" s="1"/>
  <c r="O296" i="7"/>
  <c r="R296" i="7" s="1"/>
  <c r="O292" i="7"/>
  <c r="R292" i="7" s="1"/>
  <c r="O288" i="7"/>
  <c r="R288" i="7" s="1"/>
  <c r="O301" i="7"/>
  <c r="R301" i="7" s="1"/>
  <c r="O298" i="7"/>
  <c r="R298" i="7" s="1"/>
  <c r="O291" i="7"/>
  <c r="R291" i="7" s="1"/>
  <c r="O297" i="7"/>
  <c r="R297" i="7" s="1"/>
  <c r="O290" i="7"/>
  <c r="R290" i="7" s="1"/>
  <c r="O299" i="7"/>
  <c r="R299" i="7" s="1"/>
  <c r="O302" i="7"/>
  <c r="R302" i="7" s="1"/>
  <c r="O294" i="7"/>
  <c r="R294" i="7" s="1"/>
  <c r="N303" i="7"/>
  <c r="F291" i="7"/>
  <c r="I291" i="7" s="1"/>
  <c r="F274" i="7"/>
  <c r="I274" i="7" s="1"/>
  <c r="F273" i="7"/>
  <c r="I273" i="7" s="1"/>
  <c r="F278" i="7"/>
  <c r="I278" i="7" s="1"/>
  <c r="F281" i="7"/>
  <c r="I281" i="7" s="1"/>
  <c r="F288" i="7"/>
  <c r="I288" i="7" s="1"/>
  <c r="F285" i="7"/>
  <c r="I285" i="7" s="1"/>
  <c r="F280" i="7"/>
  <c r="I280" i="7" s="1"/>
  <c r="F283" i="7"/>
  <c r="I283" i="7" s="1"/>
  <c r="F284" i="7"/>
  <c r="I284" i="7" s="1"/>
  <c r="F276" i="7"/>
  <c r="I276" i="7" s="1"/>
  <c r="F277" i="7"/>
  <c r="I277" i="7" s="1"/>
  <c r="F275" i="7"/>
  <c r="I275" i="7" s="1"/>
  <c r="F282" i="7"/>
  <c r="I282" i="7" s="1"/>
  <c r="F302" i="7"/>
  <c r="I302" i="7" s="1"/>
  <c r="F290" i="7"/>
  <c r="I290" i="7" s="1"/>
  <c r="E303" i="7"/>
  <c r="F294" i="7"/>
  <c r="I294" i="7" s="1"/>
  <c r="F292" i="7"/>
  <c r="I292" i="7" s="1"/>
  <c r="F296" i="7"/>
  <c r="I296" i="7" s="1"/>
  <c r="F299" i="7"/>
  <c r="I299" i="7" s="1"/>
  <c r="F298" i="7"/>
  <c r="I298" i="7" s="1"/>
  <c r="F297" i="7"/>
  <c r="I297" i="7" s="1"/>
  <c r="F289" i="7"/>
  <c r="I289" i="7" s="1"/>
  <c r="F301" i="7"/>
  <c r="I301" i="7" s="1"/>
  <c r="O246" i="7"/>
  <c r="R246" i="7" s="1"/>
  <c r="O240" i="7"/>
  <c r="R240" i="7" s="1"/>
  <c r="O244" i="7"/>
  <c r="R244" i="7" s="1"/>
  <c r="O239" i="7"/>
  <c r="R239" i="7" s="1"/>
  <c r="O245" i="7"/>
  <c r="R245" i="7" s="1"/>
  <c r="O243" i="7"/>
  <c r="R243" i="7" s="1"/>
  <c r="O268" i="7"/>
  <c r="R268" i="7" s="1"/>
  <c r="O261" i="7"/>
  <c r="R261" i="7" s="1"/>
  <c r="O242" i="7"/>
  <c r="R242" i="7" s="1"/>
  <c r="O247" i="7"/>
  <c r="R247" i="7" s="1"/>
  <c r="O258" i="7"/>
  <c r="R258" i="7" s="1"/>
  <c r="O265" i="7"/>
  <c r="R265" i="7" s="1"/>
  <c r="O257" i="7"/>
  <c r="R257" i="7" s="1"/>
  <c r="O256" i="7"/>
  <c r="R256" i="7" s="1"/>
  <c r="O266" i="7"/>
  <c r="R266" i="7" s="1"/>
  <c r="O264" i="7"/>
  <c r="R264" i="7" s="1"/>
  <c r="O263" i="7"/>
  <c r="R263" i="7" s="1"/>
  <c r="O260" i="7"/>
  <c r="R260" i="7" s="1"/>
  <c r="N270" i="7"/>
  <c r="O259" i="7"/>
  <c r="R259" i="7" s="1"/>
  <c r="O267" i="7"/>
  <c r="R267" i="7" s="1"/>
  <c r="F260" i="7"/>
  <c r="I260" i="7" s="1"/>
  <c r="F243" i="7"/>
  <c r="I243" i="7" s="1"/>
  <c r="F245" i="7"/>
  <c r="I245" i="7" s="1"/>
  <c r="F244" i="7"/>
  <c r="I244" i="7" s="1"/>
  <c r="F239" i="7"/>
  <c r="I239" i="7" s="1"/>
  <c r="F242" i="7"/>
  <c r="I242" i="7" s="1"/>
  <c r="F257" i="7"/>
  <c r="I257" i="7" s="1"/>
  <c r="F267" i="7"/>
  <c r="I267" i="7" s="1"/>
  <c r="F268" i="7"/>
  <c r="I268" i="7" s="1"/>
  <c r="F259" i="7"/>
  <c r="I259" i="7" s="1"/>
  <c r="F264" i="7"/>
  <c r="I264" i="7" s="1"/>
  <c r="F266" i="7"/>
  <c r="I266" i="7" s="1"/>
  <c r="F240" i="7"/>
  <c r="I240" i="7" s="1"/>
  <c r="E270" i="7"/>
  <c r="F261" i="7"/>
  <c r="I261" i="7" s="1"/>
  <c r="F256" i="7"/>
  <c r="I256" i="7" s="1"/>
  <c r="F246" i="7"/>
  <c r="I246" i="7" s="1"/>
  <c r="F265" i="7"/>
  <c r="I265" i="7" s="1"/>
  <c r="F263" i="7"/>
  <c r="I263" i="7" s="1"/>
  <c r="F258" i="7"/>
  <c r="I258" i="7" s="1"/>
  <c r="F247" i="7"/>
  <c r="I247" i="7" s="1"/>
  <c r="O216" i="7"/>
  <c r="R216" i="7" s="1"/>
  <c r="O206" i="7"/>
  <c r="R206" i="7" s="1"/>
  <c r="O209" i="7"/>
  <c r="R209" i="7" s="1"/>
  <c r="O205" i="7"/>
  <c r="R205" i="7" s="1"/>
  <c r="O208" i="7"/>
  <c r="R208" i="7" s="1"/>
  <c r="O207" i="7"/>
  <c r="R207" i="7" s="1"/>
  <c r="O220" i="7"/>
  <c r="R220" i="7" s="1"/>
  <c r="O227" i="7"/>
  <c r="R227" i="7" s="1"/>
  <c r="O214" i="7"/>
  <c r="R214" i="7" s="1"/>
  <c r="O234" i="7"/>
  <c r="R234" i="7" s="1"/>
  <c r="O213" i="7"/>
  <c r="R213" i="7" s="1"/>
  <c r="O221" i="7"/>
  <c r="R221" i="7" s="1"/>
  <c r="O219" i="7"/>
  <c r="R219" i="7" s="1"/>
  <c r="O226" i="7"/>
  <c r="R226" i="7" s="1"/>
  <c r="O212" i="7"/>
  <c r="R212" i="7" s="1"/>
  <c r="O218" i="7"/>
  <c r="R218" i="7" s="1"/>
  <c r="N236" i="7"/>
  <c r="O228" i="7"/>
  <c r="R228" i="7" s="1"/>
  <c r="O222" i="7"/>
  <c r="R222" i="7" s="1"/>
  <c r="O230" i="7"/>
  <c r="R230" i="7" s="1"/>
  <c r="O215" i="7"/>
  <c r="R215" i="7" s="1"/>
  <c r="O229" i="7"/>
  <c r="R229" i="7" s="1"/>
  <c r="O233" i="7"/>
  <c r="R233" i="7" s="1"/>
  <c r="O235" i="7"/>
  <c r="R235" i="7" s="1"/>
  <c r="O223" i="7"/>
  <c r="R223" i="7" s="1"/>
  <c r="O232" i="7"/>
  <c r="R232" i="7" s="1"/>
  <c r="F207" i="7"/>
  <c r="I207" i="7" s="1"/>
  <c r="F206" i="7"/>
  <c r="I206" i="7" s="1"/>
  <c r="F208" i="7"/>
  <c r="I208" i="7" s="1"/>
  <c r="F205" i="7"/>
  <c r="I205" i="7" s="1"/>
  <c r="F211" i="7"/>
  <c r="I211" i="7" s="1"/>
  <c r="F209" i="7"/>
  <c r="I209" i="7" s="1"/>
  <c r="E236" i="7"/>
  <c r="F222" i="7"/>
  <c r="I222" i="7" s="1"/>
  <c r="F223" i="7"/>
  <c r="I223" i="7" s="1"/>
  <c r="F221" i="7"/>
  <c r="I221" i="7" s="1"/>
  <c r="F218" i="7"/>
  <c r="I218" i="7" s="1"/>
  <c r="F228" i="7"/>
  <c r="I228" i="7" s="1"/>
  <c r="F234" i="7"/>
  <c r="I234" i="7" s="1"/>
  <c r="F213" i="7"/>
  <c r="I213" i="7" s="1"/>
  <c r="F220" i="7"/>
  <c r="I220" i="7" s="1"/>
  <c r="F226" i="7"/>
  <c r="I226" i="7" s="1"/>
  <c r="F235" i="7"/>
  <c r="I235" i="7" s="1"/>
  <c r="F233" i="7"/>
  <c r="I233" i="7" s="1"/>
  <c r="F229" i="7"/>
  <c r="I229" i="7" s="1"/>
  <c r="F227" i="7"/>
  <c r="I227" i="7" s="1"/>
  <c r="F212" i="7"/>
  <c r="I212" i="7" s="1"/>
  <c r="F214" i="7"/>
  <c r="I214" i="7" s="1"/>
  <c r="F215" i="7"/>
  <c r="I215" i="7" s="1"/>
  <c r="F216" i="7"/>
  <c r="I216" i="7" s="1"/>
  <c r="F230" i="7"/>
  <c r="I230" i="7" s="1"/>
  <c r="F232" i="7"/>
  <c r="I232" i="7" s="1"/>
  <c r="F219" i="7"/>
  <c r="I219" i="7" s="1"/>
  <c r="O173" i="7"/>
  <c r="R173" i="7" s="1"/>
  <c r="O175" i="7"/>
  <c r="R175" i="7" s="1"/>
  <c r="O187" i="7"/>
  <c r="R187" i="7" s="1"/>
  <c r="O177" i="7"/>
  <c r="R177" i="7" s="1"/>
  <c r="O174" i="7"/>
  <c r="R174" i="7" s="1"/>
  <c r="O184" i="7"/>
  <c r="R184" i="7" s="1"/>
  <c r="O199" i="7"/>
  <c r="R199" i="7" s="1"/>
  <c r="O192" i="7"/>
  <c r="R192" i="7" s="1"/>
  <c r="O180" i="7"/>
  <c r="R180" i="7" s="1"/>
  <c r="O182" i="7"/>
  <c r="R182" i="7" s="1"/>
  <c r="O183" i="7"/>
  <c r="R183" i="7" s="1"/>
  <c r="O194" i="7"/>
  <c r="R194" i="7" s="1"/>
  <c r="O178" i="7"/>
  <c r="R178" i="7" s="1"/>
  <c r="O195" i="7"/>
  <c r="R195" i="7" s="1"/>
  <c r="O197" i="7"/>
  <c r="R197" i="7" s="1"/>
  <c r="O188" i="7"/>
  <c r="R188" i="7" s="1"/>
  <c r="O198" i="7"/>
  <c r="R198" i="7" s="1"/>
  <c r="O190" i="7"/>
  <c r="R190" i="7" s="1"/>
  <c r="N202" i="7"/>
  <c r="O196" i="7"/>
  <c r="R196" i="7" s="1"/>
  <c r="O191" i="7"/>
  <c r="R191" i="7" s="1"/>
  <c r="O189" i="7"/>
  <c r="R189" i="7" s="1"/>
  <c r="O181" i="7"/>
  <c r="R181" i="7" s="1"/>
  <c r="O185" i="7"/>
  <c r="R185" i="7" s="1"/>
  <c r="O201" i="7"/>
  <c r="R201" i="7" s="1"/>
  <c r="O176" i="7"/>
  <c r="R176" i="7" s="1"/>
  <c r="F176" i="7"/>
  <c r="I176" i="7" s="1"/>
  <c r="F174" i="7"/>
  <c r="I174" i="7" s="1"/>
  <c r="F175" i="7"/>
  <c r="I175" i="7" s="1"/>
  <c r="F173" i="7"/>
  <c r="I173" i="7" s="1"/>
  <c r="F181" i="7"/>
  <c r="I181" i="7" s="1"/>
  <c r="F185" i="7"/>
  <c r="I185" i="7" s="1"/>
  <c r="F187" i="7"/>
  <c r="I187" i="7" s="1"/>
  <c r="F192" i="7"/>
  <c r="I192" i="7" s="1"/>
  <c r="F184" i="7"/>
  <c r="I184" i="7" s="1"/>
  <c r="E202" i="7"/>
  <c r="F189" i="7"/>
  <c r="I189" i="7" s="1"/>
  <c r="F194" i="7"/>
  <c r="I194" i="7" s="1"/>
  <c r="F180" i="7"/>
  <c r="I180" i="7" s="1"/>
  <c r="F182" i="7"/>
  <c r="I182" i="7" s="1"/>
  <c r="F195" i="7"/>
  <c r="I195" i="7" s="1"/>
  <c r="F197" i="7"/>
  <c r="I197" i="7" s="1"/>
  <c r="F188" i="7"/>
  <c r="I188" i="7" s="1"/>
  <c r="F191" i="7"/>
  <c r="I191" i="7" s="1"/>
  <c r="F183" i="7"/>
  <c r="I183" i="7" s="1"/>
  <c r="F198" i="7"/>
  <c r="I198" i="7" s="1"/>
  <c r="F177" i="7"/>
  <c r="I177" i="7" s="1"/>
  <c r="F196" i="7"/>
  <c r="I196" i="7" s="1"/>
  <c r="F178" i="7"/>
  <c r="I178" i="7" s="1"/>
  <c r="F199" i="7"/>
  <c r="I199" i="7" s="1"/>
  <c r="F201" i="7"/>
  <c r="I201" i="7" s="1"/>
  <c r="F190" i="7"/>
  <c r="I190" i="7" s="1"/>
  <c r="O146" i="7"/>
  <c r="R146" i="7" s="1"/>
  <c r="O147" i="7"/>
  <c r="R147" i="7" s="1"/>
  <c r="O139" i="7"/>
  <c r="R139" i="7" s="1"/>
  <c r="O138" i="7"/>
  <c r="R138" i="7" s="1"/>
  <c r="O145" i="7"/>
  <c r="R145" i="7" s="1"/>
  <c r="O144" i="7"/>
  <c r="R144" i="7" s="1"/>
  <c r="O151" i="7"/>
  <c r="R151" i="7" s="1"/>
  <c r="O168" i="7"/>
  <c r="R168" i="7" s="1"/>
  <c r="O156" i="7"/>
  <c r="R156" i="7" s="1"/>
  <c r="O157" i="7"/>
  <c r="R157" i="7" s="1"/>
  <c r="O165" i="7"/>
  <c r="R165" i="7" s="1"/>
  <c r="O158" i="7"/>
  <c r="R158" i="7" s="1"/>
  <c r="O150" i="7"/>
  <c r="R150" i="7" s="1"/>
  <c r="O163" i="7"/>
  <c r="R163" i="7" s="1"/>
  <c r="O167" i="7"/>
  <c r="R167" i="7" s="1"/>
  <c r="O153" i="7"/>
  <c r="R153" i="7" s="1"/>
  <c r="O164" i="7"/>
  <c r="R164" i="7" s="1"/>
  <c r="O154" i="7"/>
  <c r="R154" i="7" s="1"/>
  <c r="O161" i="7"/>
  <c r="R161" i="7" s="1"/>
  <c r="O160" i="7"/>
  <c r="R160" i="7" s="1"/>
  <c r="O152" i="7"/>
  <c r="R152" i="7" s="1"/>
  <c r="O159" i="7"/>
  <c r="R159" i="7" s="1"/>
  <c r="O166" i="7"/>
  <c r="R166" i="7" s="1"/>
  <c r="O149" i="7"/>
  <c r="R149" i="7" s="1"/>
  <c r="F156" i="7"/>
  <c r="I156" i="7" s="1"/>
  <c r="F147" i="7"/>
  <c r="I147" i="7" s="1"/>
  <c r="F149" i="7"/>
  <c r="I149" i="7" s="1"/>
  <c r="F159" i="7"/>
  <c r="I159" i="7" s="1"/>
  <c r="F158" i="7"/>
  <c r="I158" i="7" s="1"/>
  <c r="F146" i="7"/>
  <c r="I146" i="7" s="1"/>
  <c r="F145" i="7"/>
  <c r="I145" i="7" s="1"/>
  <c r="F139" i="7"/>
  <c r="I139" i="7" s="1"/>
  <c r="F144" i="7"/>
  <c r="I144" i="7" s="1"/>
  <c r="F153" i="7"/>
  <c r="I153" i="7" s="1"/>
  <c r="F166" i="7"/>
  <c r="I166" i="7" s="1"/>
  <c r="F152" i="7"/>
  <c r="I152" i="7" s="1"/>
  <c r="F165" i="7"/>
  <c r="I165" i="7" s="1"/>
  <c r="F150" i="7"/>
  <c r="I150" i="7" s="1"/>
  <c r="F164" i="7"/>
  <c r="I164" i="7" s="1"/>
  <c r="F160" i="7"/>
  <c r="I160" i="7" s="1"/>
  <c r="F161" i="7"/>
  <c r="I161" i="7" s="1"/>
  <c r="F154" i="7"/>
  <c r="I154" i="7" s="1"/>
  <c r="F163" i="7"/>
  <c r="I163" i="7" s="1"/>
  <c r="F157" i="7"/>
  <c r="I157" i="7" s="1"/>
  <c r="F168" i="7"/>
  <c r="I168" i="7" s="1"/>
  <c r="F167" i="7"/>
  <c r="I167" i="7" s="1"/>
  <c r="F151" i="7"/>
  <c r="I151" i="7" s="1"/>
  <c r="O108" i="7"/>
  <c r="R108" i="7" s="1"/>
  <c r="O105" i="7"/>
  <c r="R105" i="7" s="1"/>
  <c r="O109" i="7"/>
  <c r="R109" i="7" s="1"/>
  <c r="O107" i="7"/>
  <c r="R107" i="7" s="1"/>
  <c r="O116" i="7"/>
  <c r="R116" i="7" s="1"/>
  <c r="O106" i="7"/>
  <c r="R106" i="7" s="1"/>
  <c r="O132" i="7"/>
  <c r="R132" i="7" s="1"/>
  <c r="O127" i="7"/>
  <c r="R127" i="7" s="1"/>
  <c r="O125" i="7"/>
  <c r="R125" i="7" s="1"/>
  <c r="N135" i="7"/>
  <c r="O120" i="7"/>
  <c r="R120" i="7" s="1"/>
  <c r="O111" i="7"/>
  <c r="R111" i="7" s="1"/>
  <c r="O121" i="7"/>
  <c r="R121" i="7" s="1"/>
  <c r="O129" i="7"/>
  <c r="R129" i="7" s="1"/>
  <c r="O115" i="7"/>
  <c r="R115" i="7" s="1"/>
  <c r="O113" i="7"/>
  <c r="R113" i="7" s="1"/>
  <c r="O123" i="7"/>
  <c r="R123" i="7" s="1"/>
  <c r="O118" i="7"/>
  <c r="R118" i="7" s="1"/>
  <c r="O134" i="7"/>
  <c r="R134" i="7" s="1"/>
  <c r="O128" i="7"/>
  <c r="R128" i="7" s="1"/>
  <c r="O126" i="7"/>
  <c r="R126" i="7" s="1"/>
  <c r="O122" i="7"/>
  <c r="R122" i="7" s="1"/>
  <c r="O119" i="7"/>
  <c r="R119" i="7" s="1"/>
  <c r="O112" i="7"/>
  <c r="R112" i="7" s="1"/>
  <c r="O130" i="7"/>
  <c r="R130" i="7" s="1"/>
  <c r="O114" i="7"/>
  <c r="R114" i="7" s="1"/>
  <c r="F128" i="7"/>
  <c r="I128" i="7" s="1"/>
  <c r="F107" i="7"/>
  <c r="I107" i="7" s="1"/>
  <c r="F111" i="7"/>
  <c r="I111" i="7" s="1"/>
  <c r="F105" i="7"/>
  <c r="I105" i="7" s="1"/>
  <c r="F106" i="7"/>
  <c r="I106" i="7" s="1"/>
  <c r="F108" i="7"/>
  <c r="I108" i="7" s="1"/>
  <c r="F109" i="7"/>
  <c r="I109" i="7" s="1"/>
  <c r="F122" i="7"/>
  <c r="I122" i="7" s="1"/>
  <c r="F132" i="7"/>
  <c r="I132" i="7" s="1"/>
  <c r="F125" i="7"/>
  <c r="I125" i="7" s="1"/>
  <c r="F126" i="7"/>
  <c r="I126" i="7" s="1"/>
  <c r="F118" i="7"/>
  <c r="I118" i="7" s="1"/>
  <c r="F121" i="7"/>
  <c r="I121" i="7" s="1"/>
  <c r="F115" i="7"/>
  <c r="I115" i="7" s="1"/>
  <c r="F116" i="7"/>
  <c r="I116" i="7" s="1"/>
  <c r="E135" i="7"/>
  <c r="F130" i="7"/>
  <c r="I130" i="7" s="1"/>
  <c r="F113" i="7"/>
  <c r="I113" i="7" s="1"/>
  <c r="F123" i="7"/>
  <c r="I123" i="7" s="1"/>
  <c r="F127" i="7"/>
  <c r="I127" i="7" s="1"/>
  <c r="F134" i="7"/>
  <c r="I134" i="7" s="1"/>
  <c r="F120" i="7"/>
  <c r="I120" i="7" s="1"/>
  <c r="F112" i="7"/>
  <c r="I112" i="7" s="1"/>
  <c r="F129" i="7"/>
  <c r="I129" i="7" s="1"/>
  <c r="F114" i="7"/>
  <c r="I114" i="7" s="1"/>
  <c r="F119" i="7"/>
  <c r="I119" i="7" s="1"/>
  <c r="O82" i="7"/>
  <c r="R82" i="7" s="1"/>
  <c r="O71" i="7"/>
  <c r="R71" i="7" s="1"/>
  <c r="O96" i="7"/>
  <c r="R96" i="7" s="1"/>
  <c r="O77" i="7"/>
  <c r="R77" i="7" s="1"/>
  <c r="O74" i="7"/>
  <c r="R74" i="7" s="1"/>
  <c r="O73" i="7"/>
  <c r="R73" i="7" s="1"/>
  <c r="O76" i="7"/>
  <c r="R76" i="7" s="1"/>
  <c r="O75" i="7"/>
  <c r="R75" i="7" s="1"/>
  <c r="O87" i="7"/>
  <c r="R87" i="7" s="1"/>
  <c r="O89" i="7"/>
  <c r="R89" i="7" s="1"/>
  <c r="O101" i="7"/>
  <c r="R101" i="7" s="1"/>
  <c r="O91" i="7"/>
  <c r="R91" i="7" s="1"/>
  <c r="O83" i="7"/>
  <c r="R83" i="7" s="1"/>
  <c r="O99" i="7"/>
  <c r="R99" i="7" s="1"/>
  <c r="O92" i="7"/>
  <c r="R92" i="7" s="1"/>
  <c r="O84" i="7"/>
  <c r="R84" i="7" s="1"/>
  <c r="O80" i="7"/>
  <c r="R80" i="7" s="1"/>
  <c r="O85" i="7"/>
  <c r="R85" i="7" s="1"/>
  <c r="O94" i="7"/>
  <c r="R94" i="7" s="1"/>
  <c r="O81" i="7"/>
  <c r="R81" i="7" s="1"/>
  <c r="O88" i="7"/>
  <c r="R88" i="7" s="1"/>
  <c r="O78" i="7"/>
  <c r="R78" i="7" s="1"/>
  <c r="N102" i="7"/>
  <c r="O98" i="7"/>
  <c r="R98" i="7" s="1"/>
  <c r="O97" i="7"/>
  <c r="R97" i="7" s="1"/>
  <c r="O95" i="7"/>
  <c r="R95" i="7" s="1"/>
  <c r="F101" i="7"/>
  <c r="I101" i="7" s="1"/>
  <c r="F71" i="7"/>
  <c r="I71" i="7" s="1"/>
  <c r="F83" i="7"/>
  <c r="I83" i="7" s="1"/>
  <c r="F87" i="7"/>
  <c r="I87" i="7" s="1"/>
  <c r="F81" i="7"/>
  <c r="I81" i="7" s="1"/>
  <c r="F74" i="7"/>
  <c r="I74" i="7" s="1"/>
  <c r="F76" i="7"/>
  <c r="I76" i="7" s="1"/>
  <c r="F77" i="7"/>
  <c r="I77" i="7" s="1"/>
  <c r="F75" i="7"/>
  <c r="I75" i="7" s="1"/>
  <c r="F78" i="7"/>
  <c r="I78" i="7" s="1"/>
  <c r="F82" i="7"/>
  <c r="I82" i="7" s="1"/>
  <c r="F85" i="7"/>
  <c r="I85" i="7" s="1"/>
  <c r="F80" i="7"/>
  <c r="I80" i="7" s="1"/>
  <c r="F73" i="7"/>
  <c r="I73" i="7" s="1"/>
  <c r="F88" i="7"/>
  <c r="I88" i="7" s="1"/>
  <c r="F84" i="7"/>
  <c r="I84" i="7" s="1"/>
  <c r="F98" i="7"/>
  <c r="I98" i="7" s="1"/>
  <c r="E102" i="7"/>
  <c r="F96" i="7"/>
  <c r="I96" i="7" s="1"/>
  <c r="F89" i="7"/>
  <c r="I89" i="7" s="1"/>
  <c r="F95" i="7"/>
  <c r="I95" i="7" s="1"/>
  <c r="F94" i="7"/>
  <c r="I94" i="7" s="1"/>
  <c r="F92" i="7"/>
  <c r="I92" i="7" s="1"/>
  <c r="F91" i="7"/>
  <c r="I91" i="7" s="1"/>
  <c r="F99" i="7"/>
  <c r="I99" i="7" s="1"/>
  <c r="F97" i="7"/>
  <c r="I97" i="7" s="1"/>
  <c r="O44" i="7"/>
  <c r="R44" i="7" s="1"/>
  <c r="O38" i="7"/>
  <c r="R38" i="7" s="1"/>
  <c r="O41" i="7"/>
  <c r="R41" i="7" s="1"/>
  <c r="O42" i="7"/>
  <c r="R42" i="7" s="1"/>
  <c r="O49" i="7"/>
  <c r="R49" i="7" s="1"/>
  <c r="O56" i="7"/>
  <c r="R56" i="7" s="1"/>
  <c r="O45" i="7"/>
  <c r="R45" i="7" s="1"/>
  <c r="O47" i="7"/>
  <c r="R47" i="7" s="1"/>
  <c r="O40" i="7"/>
  <c r="R40" i="7" s="1"/>
  <c r="O43" i="7"/>
  <c r="R43" i="7" s="1"/>
  <c r="O50" i="7"/>
  <c r="R50" i="7" s="1"/>
  <c r="O59" i="7"/>
  <c r="R59" i="7" s="1"/>
  <c r="O63" i="7"/>
  <c r="R63" i="7" s="1"/>
  <c r="O64" i="7"/>
  <c r="R64" i="7" s="1"/>
  <c r="O57" i="7"/>
  <c r="R57" i="7" s="1"/>
  <c r="N66" i="7"/>
  <c r="O58" i="7"/>
  <c r="R58" i="7" s="1"/>
  <c r="O62" i="7"/>
  <c r="R62" i="7" s="1"/>
  <c r="O65" i="7"/>
  <c r="R65" i="7" s="1"/>
  <c r="O54" i="7"/>
  <c r="R54" i="7" s="1"/>
  <c r="O52" i="7"/>
  <c r="R52" i="7" s="1"/>
  <c r="O55" i="7"/>
  <c r="R55" i="7" s="1"/>
  <c r="O51" i="7"/>
  <c r="R51" i="7" s="1"/>
  <c r="F38" i="7"/>
  <c r="I38" i="7" s="1"/>
  <c r="F49" i="7"/>
  <c r="I49" i="7" s="1"/>
  <c r="F40" i="7"/>
  <c r="I40" i="7" s="1"/>
  <c r="F41" i="7"/>
  <c r="I41" i="7" s="1"/>
  <c r="F42" i="7"/>
  <c r="I42" i="7" s="1"/>
  <c r="F56" i="7"/>
  <c r="I56" i="7" s="1"/>
  <c r="F64" i="7"/>
  <c r="I64" i="7" s="1"/>
  <c r="E66" i="7"/>
  <c r="F62" i="7"/>
  <c r="I62" i="7" s="1"/>
  <c r="F44" i="7"/>
  <c r="I44" i="7" s="1"/>
  <c r="F59" i="7"/>
  <c r="I59" i="7" s="1"/>
  <c r="F55" i="7"/>
  <c r="I55" i="7" s="1"/>
  <c r="F43" i="7"/>
  <c r="I43" i="7" s="1"/>
  <c r="F50" i="7"/>
  <c r="I50" i="7" s="1"/>
  <c r="F45" i="7"/>
  <c r="I45" i="7" s="1"/>
  <c r="F54" i="7"/>
  <c r="I54" i="7" s="1"/>
  <c r="F58" i="7"/>
  <c r="I58" i="7" s="1"/>
  <c r="F47" i="7"/>
  <c r="I47" i="7" s="1"/>
  <c r="F51" i="7"/>
  <c r="I51" i="7" s="1"/>
  <c r="F63" i="7"/>
  <c r="I63" i="7" s="1"/>
  <c r="F52" i="7"/>
  <c r="I52" i="7" s="1"/>
  <c r="F65" i="7"/>
  <c r="I65" i="7" s="1"/>
  <c r="O17" i="7"/>
  <c r="R17" i="7" s="1"/>
  <c r="O18" i="7"/>
  <c r="R18" i="7" s="1"/>
  <c r="O12" i="7"/>
  <c r="R12" i="7" s="1"/>
  <c r="O9" i="7"/>
  <c r="R9" i="7" s="1"/>
  <c r="O14" i="7"/>
  <c r="R14" i="7" s="1"/>
  <c r="O10" i="7"/>
  <c r="R10" i="7" s="1"/>
  <c r="O11" i="7"/>
  <c r="R11" i="7" s="1"/>
  <c r="O13" i="7"/>
  <c r="R13" i="7" s="1"/>
  <c r="O21" i="7"/>
  <c r="R21" i="7" s="1"/>
  <c r="O19" i="7"/>
  <c r="R19" i="7" s="1"/>
  <c r="O28" i="7"/>
  <c r="R28" i="7" s="1"/>
  <c r="O33" i="7"/>
  <c r="R33" i="7" s="1"/>
  <c r="O23" i="7"/>
  <c r="R23" i="7" s="1"/>
  <c r="O25" i="7"/>
  <c r="R25" i="7" s="1"/>
  <c r="O32" i="7"/>
  <c r="R32" i="7" s="1"/>
  <c r="O34" i="7"/>
  <c r="R34" i="7" s="1"/>
  <c r="O27" i="7"/>
  <c r="R27" i="7" s="1"/>
  <c r="O26" i="7"/>
  <c r="R26" i="7" s="1"/>
  <c r="O24" i="7"/>
  <c r="R24" i="7" s="1"/>
  <c r="O20" i="7"/>
  <c r="R20" i="7" s="1"/>
  <c r="N35" i="7"/>
  <c r="O31" i="7"/>
  <c r="R31" i="7" s="1"/>
  <c r="O30" i="7"/>
  <c r="R30" i="7" s="1"/>
  <c r="F14" i="7"/>
  <c r="F9" i="7"/>
  <c r="I9" i="7" s="1"/>
  <c r="F11" i="7"/>
  <c r="I11" i="7" s="1"/>
  <c r="F10" i="7"/>
  <c r="I10" i="7" s="1"/>
  <c r="F21" i="7"/>
  <c r="I21" i="7" s="1"/>
  <c r="F23" i="7"/>
  <c r="I23" i="7" s="1"/>
  <c r="F24" i="7"/>
  <c r="I24" i="7" s="1"/>
  <c r="F25" i="7"/>
  <c r="I25" i="7" s="1"/>
  <c r="F33" i="7"/>
  <c r="I33" i="7" s="1"/>
  <c r="F30" i="7"/>
  <c r="I30" i="7" s="1"/>
  <c r="E35" i="7"/>
  <c r="F32" i="7"/>
  <c r="I32" i="7" s="1"/>
  <c r="F27" i="7"/>
  <c r="I27" i="7" s="1"/>
  <c r="F17" i="7"/>
  <c r="I17" i="7" s="1"/>
  <c r="F34" i="7"/>
  <c r="I34" i="7" s="1"/>
  <c r="F26" i="7"/>
  <c r="I26" i="7" s="1"/>
  <c r="F13" i="7"/>
  <c r="I13" i="7" s="1"/>
  <c r="F28" i="7"/>
  <c r="I28" i="7" s="1"/>
  <c r="F19" i="7"/>
  <c r="I19" i="7" s="1"/>
  <c r="F18" i="7"/>
  <c r="I18" i="7" s="1"/>
  <c r="F20" i="7"/>
  <c r="I20" i="7" s="1"/>
  <c r="F12" i="7"/>
  <c r="F31" i="7"/>
  <c r="I31" i="7" s="1"/>
  <c r="F138" i="7"/>
  <c r="I138" i="7" s="1"/>
  <c r="C87" i="7"/>
  <c r="L87" i="7" s="1"/>
  <c r="B88" i="7"/>
  <c r="K87" i="7"/>
  <c r="E169" i="7"/>
  <c r="N169" i="7"/>
  <c r="AA96" i="5"/>
  <c r="E95" i="5"/>
  <c r="E95" i="3"/>
  <c r="G96" i="3"/>
  <c r="Z96" i="5" l="1"/>
  <c r="G95" i="5"/>
  <c r="Y100" i="12"/>
  <c r="E99" i="12"/>
  <c r="G100" i="12"/>
  <c r="Z101" i="12"/>
  <c r="I14" i="7"/>
  <c r="I12" i="7"/>
  <c r="C88" i="7"/>
  <c r="L88" i="7" s="1"/>
  <c r="K88" i="7"/>
  <c r="B89" i="7"/>
  <c r="E96" i="5"/>
  <c r="AA97" i="5"/>
  <c r="G97" i="3"/>
  <c r="E96" i="3"/>
  <c r="Z97" i="5" l="1"/>
  <c r="G96" i="5"/>
  <c r="Z102" i="12"/>
  <c r="G101" i="12"/>
  <c r="Y101" i="12"/>
  <c r="E100" i="12"/>
  <c r="C89" i="7"/>
  <c r="L89" i="7" s="1"/>
  <c r="K89" i="7"/>
  <c r="B90" i="7"/>
  <c r="AA98" i="5"/>
  <c r="E97" i="5"/>
  <c r="E97" i="3"/>
  <c r="G98" i="3"/>
  <c r="Z98" i="5" l="1"/>
  <c r="G97" i="5"/>
  <c r="Y102" i="12"/>
  <c r="E101" i="12"/>
  <c r="G102" i="12"/>
  <c r="Z103" i="12"/>
  <c r="C90" i="7"/>
  <c r="L90" i="7" s="1"/>
  <c r="K90" i="7"/>
  <c r="B91" i="7"/>
  <c r="AA99" i="5"/>
  <c r="E98" i="5"/>
  <c r="G99" i="3"/>
  <c r="E98" i="3"/>
  <c r="Z99" i="5" l="1"/>
  <c r="G98" i="5"/>
  <c r="Z104" i="12"/>
  <c r="G103" i="12"/>
  <c r="Y103" i="12"/>
  <c r="E102" i="12"/>
  <c r="C91" i="7"/>
  <c r="L91" i="7" s="1"/>
  <c r="K91" i="7"/>
  <c r="B92" i="7"/>
  <c r="E99" i="5"/>
  <c r="AA100" i="5"/>
  <c r="E99" i="3"/>
  <c r="G100" i="3"/>
  <c r="Z100" i="5" l="1"/>
  <c r="G99" i="5"/>
  <c r="Y104" i="12"/>
  <c r="E103" i="12"/>
  <c r="Z105" i="12"/>
  <c r="G104" i="12"/>
  <c r="C92" i="7"/>
  <c r="L92" i="7" s="1"/>
  <c r="B93" i="7"/>
  <c r="K92" i="7"/>
  <c r="E100" i="5"/>
  <c r="AA101" i="5"/>
  <c r="G101" i="3"/>
  <c r="E100" i="3"/>
  <c r="Z101" i="5" l="1"/>
  <c r="G100" i="5"/>
  <c r="G105" i="12"/>
  <c r="Z106" i="12"/>
  <c r="Y105" i="12"/>
  <c r="E104" i="12"/>
  <c r="B94" i="7"/>
  <c r="C93" i="7"/>
  <c r="L93" i="7" s="1"/>
  <c r="K93" i="7"/>
  <c r="AA102" i="5"/>
  <c r="E101" i="5"/>
  <c r="E101" i="3"/>
  <c r="G102" i="3"/>
  <c r="Z102" i="5" l="1"/>
  <c r="G101" i="5"/>
  <c r="Y106" i="12"/>
  <c r="E105" i="12"/>
  <c r="Z107" i="12"/>
  <c r="G106" i="12"/>
  <c r="C94" i="7"/>
  <c r="L94" i="7" s="1"/>
  <c r="B95" i="7"/>
  <c r="K94" i="7"/>
  <c r="AA103" i="5"/>
  <c r="E102" i="5"/>
  <c r="G103" i="3"/>
  <c r="E102" i="3"/>
  <c r="Z103" i="5" l="1"/>
  <c r="G102" i="5"/>
  <c r="Z108" i="12"/>
  <c r="G107" i="12"/>
  <c r="Y107" i="12"/>
  <c r="E106" i="12"/>
  <c r="C95" i="7"/>
  <c r="L95" i="7" s="1"/>
  <c r="K95" i="7"/>
  <c r="B96" i="7"/>
  <c r="E103" i="5"/>
  <c r="AA104" i="5"/>
  <c r="AG104" i="5"/>
  <c r="E103" i="3"/>
  <c r="G104" i="3"/>
  <c r="Z104" i="5" l="1"/>
  <c r="G103" i="5"/>
  <c r="Y108" i="12"/>
  <c r="E107" i="12"/>
  <c r="G108" i="12"/>
  <c r="Z109" i="12"/>
  <c r="B97" i="7"/>
  <c r="C96" i="7"/>
  <c r="L96" i="7" s="1"/>
  <c r="K96" i="7"/>
  <c r="AG105" i="5"/>
  <c r="E104" i="5"/>
  <c r="AA105" i="5"/>
  <c r="G105" i="3"/>
  <c r="E104" i="3"/>
  <c r="Z105" i="5" l="1"/>
  <c r="G104" i="5"/>
  <c r="G109" i="12"/>
  <c r="Z110" i="12"/>
  <c r="Y109" i="12"/>
  <c r="E108" i="12"/>
  <c r="B98" i="7"/>
  <c r="C97" i="7"/>
  <c r="L97" i="7" s="1"/>
  <c r="K97" i="7"/>
  <c r="AA106" i="5"/>
  <c r="E105" i="5"/>
  <c r="AG106" i="5"/>
  <c r="E105" i="3"/>
  <c r="G106" i="3"/>
  <c r="Z106" i="5" l="1"/>
  <c r="G105" i="5"/>
  <c r="Y110" i="12"/>
  <c r="E109" i="12"/>
  <c r="G110" i="12"/>
  <c r="Z111" i="12"/>
  <c r="B99" i="7"/>
  <c r="C98" i="7"/>
  <c r="L98" i="7" s="1"/>
  <c r="K98" i="7"/>
  <c r="AG107" i="5"/>
  <c r="E106" i="5"/>
  <c r="AA107" i="5"/>
  <c r="G107" i="3"/>
  <c r="E106" i="3"/>
  <c r="Z107" i="5" l="1"/>
  <c r="G106" i="5"/>
  <c r="G111" i="12"/>
  <c r="Z112" i="12"/>
  <c r="Y111" i="12"/>
  <c r="E110" i="12"/>
  <c r="K99" i="7"/>
  <c r="C99" i="7"/>
  <c r="L99" i="7" s="1"/>
  <c r="B100" i="7"/>
  <c r="AG108" i="5"/>
  <c r="E107" i="5"/>
  <c r="AA108" i="5"/>
  <c r="E107" i="3"/>
  <c r="G108" i="3"/>
  <c r="Z108" i="5" l="1"/>
  <c r="G107" i="5"/>
  <c r="Y112" i="12"/>
  <c r="E111" i="12"/>
  <c r="G112" i="12"/>
  <c r="Z113" i="12"/>
  <c r="K100" i="7"/>
  <c r="B101" i="7"/>
  <c r="C100" i="7"/>
  <c r="L100" i="7" s="1"/>
  <c r="E108" i="5"/>
  <c r="AA109" i="5"/>
  <c r="AG109" i="5"/>
  <c r="G109" i="3"/>
  <c r="E108" i="3"/>
  <c r="Z109" i="5" l="1"/>
  <c r="G108" i="5"/>
  <c r="Z114" i="12"/>
  <c r="G113" i="12"/>
  <c r="Y113" i="12"/>
  <c r="E112" i="12"/>
  <c r="B105" i="7"/>
  <c r="C101" i="7"/>
  <c r="L101" i="7" s="1"/>
  <c r="K101" i="7"/>
  <c r="AG110" i="5"/>
  <c r="AA110" i="5"/>
  <c r="E109" i="5"/>
  <c r="E109" i="3"/>
  <c r="G110" i="3"/>
  <c r="AC38" i="3" l="1"/>
  <c r="AD39" i="3"/>
  <c r="AC40" i="3"/>
  <c r="AD35" i="3"/>
  <c r="AC35" i="3"/>
  <c r="AC36" i="3"/>
  <c r="AC37" i="3"/>
  <c r="AD41" i="3"/>
  <c r="AD37" i="3"/>
  <c r="AD36" i="3"/>
  <c r="AD38" i="3"/>
  <c r="AC39" i="3"/>
  <c r="AD40" i="3"/>
  <c r="AC41" i="3"/>
  <c r="Z110" i="5"/>
  <c r="G109" i="5"/>
  <c r="Y114" i="12"/>
  <c r="E113" i="12"/>
  <c r="Z115" i="12"/>
  <c r="G114" i="12"/>
  <c r="K105" i="7"/>
  <c r="C105" i="7"/>
  <c r="L105" i="7" s="1"/>
  <c r="B106" i="7"/>
  <c r="E110" i="5"/>
  <c r="AA111" i="5"/>
  <c r="AG111" i="5"/>
  <c r="G111" i="3"/>
  <c r="E110" i="3"/>
  <c r="Z111" i="5" l="1"/>
  <c r="G110" i="5"/>
  <c r="AE38" i="5"/>
  <c r="AF38" i="5"/>
  <c r="AF37" i="5"/>
  <c r="AF40" i="5"/>
  <c r="AH40" i="5" s="1"/>
  <c r="AI40" i="5" s="1"/>
  <c r="AE41" i="3" s="1"/>
  <c r="AF39" i="5"/>
  <c r="AE39" i="5"/>
  <c r="AF34" i="5"/>
  <c r="AF35" i="5"/>
  <c r="AF36" i="5"/>
  <c r="AE34" i="5"/>
  <c r="AE37" i="5"/>
  <c r="AE36" i="5"/>
  <c r="AE35" i="5"/>
  <c r="Z116" i="12"/>
  <c r="G115" i="12"/>
  <c r="Y115" i="12"/>
  <c r="E114" i="12"/>
  <c r="B107" i="7"/>
  <c r="C106" i="7"/>
  <c r="L106" i="7" s="1"/>
  <c r="K106" i="7"/>
  <c r="AG112" i="5"/>
  <c r="E111" i="5"/>
  <c r="AA112" i="5"/>
  <c r="E111" i="3"/>
  <c r="G112" i="3"/>
  <c r="AH39" i="5" l="1"/>
  <c r="AI39" i="5" s="1"/>
  <c r="AE40" i="3" s="1"/>
  <c r="AF40" i="3" s="1"/>
  <c r="AH36" i="5"/>
  <c r="AI36" i="5" s="1"/>
  <c r="AE37" i="3" s="1"/>
  <c r="AF37" i="3" s="1"/>
  <c r="L87" i="3"/>
  <c r="L94" i="3"/>
  <c r="L101" i="3"/>
  <c r="L108" i="3"/>
  <c r="Z112" i="5"/>
  <c r="G111" i="5"/>
  <c r="AH35" i="5"/>
  <c r="AI35" i="5" s="1"/>
  <c r="AE36" i="3" s="1"/>
  <c r="L83" i="3" s="1"/>
  <c r="AH37" i="5"/>
  <c r="AI37" i="5" s="1"/>
  <c r="AE38" i="3" s="1"/>
  <c r="AF38" i="3" s="1"/>
  <c r="AH34" i="5"/>
  <c r="AI34" i="5" s="1"/>
  <c r="AE35" i="3" s="1"/>
  <c r="AF35" i="3" s="1"/>
  <c r="AH38" i="5"/>
  <c r="AI38" i="5" s="1"/>
  <c r="AE39" i="3" s="1"/>
  <c r="AF39" i="3" s="1"/>
  <c r="Y116" i="12"/>
  <c r="E115" i="12"/>
  <c r="Z117" i="12"/>
  <c r="G116" i="12"/>
  <c r="B108" i="7"/>
  <c r="K107" i="7"/>
  <c r="C107" i="7"/>
  <c r="L107" i="7" s="1"/>
  <c r="AA113" i="5"/>
  <c r="E112" i="5"/>
  <c r="AG113" i="5"/>
  <c r="G113" i="3"/>
  <c r="E112" i="3"/>
  <c r="L80" i="3" l="1"/>
  <c r="L104" i="3"/>
  <c r="M104" i="3" s="1"/>
  <c r="L98" i="3"/>
  <c r="N98" i="3" s="1"/>
  <c r="L100" i="3"/>
  <c r="N100" i="3" s="1"/>
  <c r="L105" i="3"/>
  <c r="N105" i="3" s="1"/>
  <c r="L84" i="3"/>
  <c r="N84" i="3" s="1"/>
  <c r="L97" i="3"/>
  <c r="N97" i="3" s="1"/>
  <c r="L107" i="3"/>
  <c r="N107" i="3" s="1"/>
  <c r="L110" i="3"/>
  <c r="N110" i="3" s="1"/>
  <c r="L82" i="3"/>
  <c r="L93" i="3"/>
  <c r="N93" i="3" s="1"/>
  <c r="L90" i="3"/>
  <c r="N90" i="3" s="1"/>
  <c r="L106" i="3"/>
  <c r="M106" i="3" s="1"/>
  <c r="AF36" i="3"/>
  <c r="AF41" i="3" s="1"/>
  <c r="L96" i="3"/>
  <c r="N96" i="3" s="1"/>
  <c r="L92" i="3"/>
  <c r="N92" i="3" s="1"/>
  <c r="L103" i="3"/>
  <c r="M103" i="3" s="1"/>
  <c r="L89" i="3"/>
  <c r="N89" i="3" s="1"/>
  <c r="L85" i="3"/>
  <c r="L86" i="3"/>
  <c r="N86" i="3" s="1"/>
  <c r="L91" i="3"/>
  <c r="M91" i="3" s="1"/>
  <c r="N108" i="3"/>
  <c r="M108" i="3"/>
  <c r="M101" i="3"/>
  <c r="N101" i="3"/>
  <c r="M83" i="3"/>
  <c r="N83" i="3"/>
  <c r="Z113" i="5"/>
  <c r="G112" i="5"/>
  <c r="M94" i="3"/>
  <c r="N94" i="3"/>
  <c r="N87" i="3"/>
  <c r="M87" i="3"/>
  <c r="P80" i="3"/>
  <c r="M80" i="3"/>
  <c r="N80" i="3"/>
  <c r="U80" i="3"/>
  <c r="AJ34" i="5"/>
  <c r="Z118" i="12"/>
  <c r="G117" i="12"/>
  <c r="Y117" i="12"/>
  <c r="E116" i="12"/>
  <c r="C108" i="7"/>
  <c r="L108" i="7" s="1"/>
  <c r="B109" i="7"/>
  <c r="K108" i="7"/>
  <c r="AA114" i="5"/>
  <c r="E113" i="5"/>
  <c r="AG114" i="5"/>
  <c r="E113" i="3"/>
  <c r="G114" i="3"/>
  <c r="N104" i="3" l="1"/>
  <c r="M98" i="3"/>
  <c r="M100" i="3"/>
  <c r="M105" i="3"/>
  <c r="M97" i="3"/>
  <c r="M84" i="3"/>
  <c r="P84" i="3"/>
  <c r="S84" i="3" s="1"/>
  <c r="M107" i="3"/>
  <c r="P82" i="3"/>
  <c r="S82" i="3" s="1"/>
  <c r="M92" i="3"/>
  <c r="M110" i="3"/>
  <c r="N82" i="3"/>
  <c r="M96" i="3"/>
  <c r="M82" i="3"/>
  <c r="M93" i="3"/>
  <c r="U84" i="3"/>
  <c r="W84" i="3" s="1"/>
  <c r="P83" i="3"/>
  <c r="R83" i="3" s="1"/>
  <c r="U83" i="3"/>
  <c r="X83" i="3" s="1"/>
  <c r="U82" i="3"/>
  <c r="X82" i="3" s="1"/>
  <c r="M90" i="3"/>
  <c r="P97" i="3"/>
  <c r="S97" i="3" s="1"/>
  <c r="M86" i="3"/>
  <c r="N85" i="3"/>
  <c r="U98" i="3"/>
  <c r="W98" i="3" s="1"/>
  <c r="U89" i="3"/>
  <c r="W89" i="3" s="1"/>
  <c r="U92" i="3"/>
  <c r="X92" i="3" s="1"/>
  <c r="P93" i="3"/>
  <c r="R93" i="3" s="1"/>
  <c r="P100" i="3"/>
  <c r="S100" i="3" s="1"/>
  <c r="P98" i="3"/>
  <c r="S98" i="3" s="1"/>
  <c r="P107" i="3"/>
  <c r="S107" i="3" s="1"/>
  <c r="U97" i="3"/>
  <c r="X97" i="3" s="1"/>
  <c r="U105" i="3"/>
  <c r="X105" i="3" s="1"/>
  <c r="P108" i="3"/>
  <c r="S108" i="3" s="1"/>
  <c r="P91" i="3"/>
  <c r="R91" i="3" s="1"/>
  <c r="P110" i="3"/>
  <c r="S110" i="3" s="1"/>
  <c r="U94" i="3"/>
  <c r="W94" i="3" s="1"/>
  <c r="U91" i="3"/>
  <c r="X91" i="3" s="1"/>
  <c r="U110" i="3"/>
  <c r="X110" i="3" s="1"/>
  <c r="P90" i="3"/>
  <c r="S90" i="3" s="1"/>
  <c r="P101" i="3"/>
  <c r="S101" i="3" s="1"/>
  <c r="P104" i="3"/>
  <c r="R104" i="3" s="1"/>
  <c r="M85" i="3"/>
  <c r="N103" i="3"/>
  <c r="U101" i="3"/>
  <c r="W101" i="3" s="1"/>
  <c r="U103" i="3"/>
  <c r="X103" i="3" s="1"/>
  <c r="P85" i="3"/>
  <c r="S85" i="3" s="1"/>
  <c r="U108" i="3"/>
  <c r="W108" i="3" s="1"/>
  <c r="P94" i="3"/>
  <c r="R94" i="3" s="1"/>
  <c r="P92" i="3"/>
  <c r="S92" i="3" s="1"/>
  <c r="U100" i="3"/>
  <c r="W100" i="3" s="1"/>
  <c r="U106" i="3"/>
  <c r="X106" i="3" s="1"/>
  <c r="U96" i="3"/>
  <c r="W96" i="3" s="1"/>
  <c r="P105" i="3"/>
  <c r="S105" i="3" s="1"/>
  <c r="P89" i="3"/>
  <c r="R89" i="3" s="1"/>
  <c r="M89" i="3"/>
  <c r="N91" i="3"/>
  <c r="N106" i="3"/>
  <c r="U85" i="3"/>
  <c r="X85" i="3" s="1"/>
  <c r="U93" i="3"/>
  <c r="W93" i="3" s="1"/>
  <c r="P106" i="3"/>
  <c r="S106" i="3" s="1"/>
  <c r="P103" i="3"/>
  <c r="R103" i="3" s="1"/>
  <c r="U87" i="3"/>
  <c r="X87" i="3" s="1"/>
  <c r="U104" i="3"/>
  <c r="W104" i="3" s="1"/>
  <c r="P86" i="3"/>
  <c r="R86" i="3" s="1"/>
  <c r="U86" i="3"/>
  <c r="X86" i="3" s="1"/>
  <c r="U107" i="3"/>
  <c r="W107" i="3" s="1"/>
  <c r="U90" i="3"/>
  <c r="W90" i="3" s="1"/>
  <c r="P87" i="3"/>
  <c r="S87" i="3" s="1"/>
  <c r="P96" i="3"/>
  <c r="S96" i="3" s="1"/>
  <c r="W80" i="3"/>
  <c r="X80" i="3"/>
  <c r="Z114" i="5"/>
  <c r="G113" i="5"/>
  <c r="R80" i="3"/>
  <c r="S80" i="3"/>
  <c r="Y118" i="12"/>
  <c r="E117" i="12"/>
  <c r="Z119" i="12"/>
  <c r="G118" i="12"/>
  <c r="C109" i="7"/>
  <c r="L109" i="7" s="1"/>
  <c r="K109" i="7"/>
  <c r="B110" i="7"/>
  <c r="AG115" i="5"/>
  <c r="E114" i="5"/>
  <c r="AA115" i="5"/>
  <c r="G115" i="3"/>
  <c r="E114" i="3"/>
  <c r="R107" i="3" l="1"/>
  <c r="R84" i="3"/>
  <c r="R82" i="3"/>
  <c r="W83" i="3"/>
  <c r="W85" i="3"/>
  <c r="S94" i="3"/>
  <c r="R97" i="3"/>
  <c r="S83" i="3"/>
  <c r="R85" i="3"/>
  <c r="W110" i="3"/>
  <c r="X104" i="3"/>
  <c r="W87" i="3"/>
  <c r="R101" i="3"/>
  <c r="W97" i="3"/>
  <c r="S89" i="3"/>
  <c r="S86" i="3"/>
  <c r="X108" i="3"/>
  <c r="R90" i="3"/>
  <c r="W105" i="3"/>
  <c r="X84" i="3"/>
  <c r="W82" i="3"/>
  <c r="X100" i="3"/>
  <c r="S104" i="3"/>
  <c r="X107" i="3"/>
  <c r="S103" i="3"/>
  <c r="X89" i="3"/>
  <c r="W106" i="3"/>
  <c r="R105" i="3"/>
  <c r="R87" i="3"/>
  <c r="R100" i="3"/>
  <c r="X98" i="3"/>
  <c r="R110" i="3"/>
  <c r="S93" i="3"/>
  <c r="X94" i="3"/>
  <c r="X90" i="3"/>
  <c r="W86" i="3"/>
  <c r="R106" i="3"/>
  <c r="X96" i="3"/>
  <c r="X93" i="3"/>
  <c r="X101" i="3"/>
  <c r="S91" i="3"/>
  <c r="W91" i="3"/>
  <c r="W103" i="3"/>
  <c r="R92" i="3"/>
  <c r="R108" i="3"/>
  <c r="R98" i="3"/>
  <c r="W92" i="3"/>
  <c r="R96" i="3"/>
  <c r="Z115" i="5"/>
  <c r="G114" i="5"/>
  <c r="Z120" i="12"/>
  <c r="G119" i="12"/>
  <c r="Y119" i="12"/>
  <c r="E118" i="12"/>
  <c r="K110" i="7"/>
  <c r="C110" i="7"/>
  <c r="L110" i="7" s="1"/>
  <c r="B111" i="7"/>
  <c r="E115" i="5"/>
  <c r="AA116" i="5"/>
  <c r="AG116" i="5"/>
  <c r="E115" i="3"/>
  <c r="G116" i="3"/>
  <c r="Z116" i="5" l="1"/>
  <c r="G115" i="5"/>
  <c r="Y120" i="12"/>
  <c r="E119" i="12"/>
  <c r="G120" i="12"/>
  <c r="Z121" i="12"/>
  <c r="B112" i="7"/>
  <c r="C111" i="7"/>
  <c r="L111" i="7" s="1"/>
  <c r="K111" i="7"/>
  <c r="AG117" i="5"/>
  <c r="AA117" i="5"/>
  <c r="E116" i="5"/>
  <c r="G117" i="3"/>
  <c r="E116" i="3"/>
  <c r="Z117" i="5" l="1"/>
  <c r="G116" i="5"/>
  <c r="G121" i="12"/>
  <c r="Z122" i="12"/>
  <c r="Y121" i="12"/>
  <c r="E120" i="12"/>
  <c r="K112" i="7"/>
  <c r="B113" i="7"/>
  <c r="C112" i="7"/>
  <c r="L112" i="7" s="1"/>
  <c r="AA118" i="5"/>
  <c r="E117" i="5"/>
  <c r="AG118" i="5"/>
  <c r="E117" i="3"/>
  <c r="G118" i="3"/>
  <c r="Z118" i="5" l="1"/>
  <c r="G117" i="5"/>
  <c r="Y122" i="12"/>
  <c r="E121" i="12"/>
  <c r="G122" i="12"/>
  <c r="Z123" i="12"/>
  <c r="K113" i="7"/>
  <c r="B114" i="7"/>
  <c r="C113" i="7"/>
  <c r="L113" i="7" s="1"/>
  <c r="AG119" i="5"/>
  <c r="E118" i="5"/>
  <c r="AA119" i="5"/>
  <c r="G119" i="3"/>
  <c r="E118" i="3"/>
  <c r="Z119" i="5" l="1"/>
  <c r="G118" i="5"/>
  <c r="G123" i="12"/>
  <c r="Z124" i="12"/>
  <c r="Y123" i="12"/>
  <c r="E122" i="12"/>
  <c r="K114" i="7"/>
  <c r="C114" i="7"/>
  <c r="L114" i="7" s="1"/>
  <c r="B115" i="7"/>
  <c r="E119" i="5"/>
  <c r="AA120" i="5"/>
  <c r="AG120" i="5"/>
  <c r="G120" i="3"/>
  <c r="E119" i="3"/>
  <c r="Z120" i="5" l="1"/>
  <c r="G119" i="5"/>
  <c r="Y124" i="12"/>
  <c r="E123" i="12"/>
  <c r="G124" i="12"/>
  <c r="Z125" i="12"/>
  <c r="B116" i="7"/>
  <c r="C115" i="7"/>
  <c r="L115" i="7" s="1"/>
  <c r="K115" i="7"/>
  <c r="AG121" i="5"/>
  <c r="AA121" i="5"/>
  <c r="E120" i="5"/>
  <c r="E120" i="3"/>
  <c r="G121" i="3"/>
  <c r="Z121" i="5" l="1"/>
  <c r="G120" i="5"/>
  <c r="Z126" i="12"/>
  <c r="G125" i="12"/>
  <c r="Y125" i="12"/>
  <c r="E124" i="12"/>
  <c r="B117" i="7"/>
  <c r="K116" i="7"/>
  <c r="C116" i="7"/>
  <c r="L116" i="7" s="1"/>
  <c r="AA122" i="5"/>
  <c r="E121" i="5"/>
  <c r="AG122" i="5"/>
  <c r="G122" i="3"/>
  <c r="E121" i="3"/>
  <c r="Z122" i="5" l="1"/>
  <c r="G121" i="5"/>
  <c r="Y126" i="12"/>
  <c r="E125" i="12"/>
  <c r="Z127" i="12"/>
  <c r="G126" i="12"/>
  <c r="C117" i="7"/>
  <c r="L117" i="7" s="1"/>
  <c r="B118" i="7"/>
  <c r="K117" i="7"/>
  <c r="AG123" i="5"/>
  <c r="E122" i="5"/>
  <c r="AA123" i="5"/>
  <c r="E122" i="3"/>
  <c r="G123" i="3"/>
  <c r="Z123" i="5" l="1"/>
  <c r="G122" i="5"/>
  <c r="G127" i="12"/>
  <c r="Z128" i="12"/>
  <c r="Y127" i="12"/>
  <c r="E126" i="12"/>
  <c r="K118" i="7"/>
  <c r="B119" i="7"/>
  <c r="C118" i="7"/>
  <c r="L118" i="7" s="1"/>
  <c r="E123" i="5"/>
  <c r="AA124" i="5"/>
  <c r="AG124" i="5"/>
  <c r="E123" i="3"/>
  <c r="G124" i="3"/>
  <c r="Z124" i="5" l="1"/>
  <c r="G123" i="5"/>
  <c r="E127" i="12"/>
  <c r="Y128" i="12"/>
  <c r="G128" i="12"/>
  <c r="Z129" i="12"/>
  <c r="B120" i="7"/>
  <c r="K119" i="7"/>
  <c r="C119" i="7"/>
  <c r="L119" i="7" s="1"/>
  <c r="AG125" i="5"/>
  <c r="E124" i="5"/>
  <c r="AA125" i="5"/>
  <c r="G125" i="3"/>
  <c r="E124" i="3"/>
  <c r="Z125" i="5" l="1"/>
  <c r="G124" i="5"/>
  <c r="G129" i="12"/>
  <c r="Z130" i="12"/>
  <c r="E128" i="12"/>
  <c r="Y129" i="12"/>
  <c r="K120" i="7"/>
  <c r="B121" i="7"/>
  <c r="C120" i="7"/>
  <c r="L120" i="7" s="1"/>
  <c r="AA126" i="5"/>
  <c r="E125" i="5"/>
  <c r="AG126" i="5"/>
  <c r="E125" i="3"/>
  <c r="G126" i="3"/>
  <c r="Z126" i="5" l="1"/>
  <c r="G125" i="5"/>
  <c r="Y130" i="12"/>
  <c r="E129" i="12"/>
  <c r="Z131" i="12"/>
  <c r="G130" i="12"/>
  <c r="C121" i="7"/>
  <c r="L121" i="7" s="1"/>
  <c r="K121" i="7"/>
  <c r="B122" i="7"/>
  <c r="AG127" i="5"/>
  <c r="E126" i="5"/>
  <c r="AA127" i="5"/>
  <c r="G127" i="3"/>
  <c r="E126" i="3"/>
  <c r="Z127" i="5" l="1"/>
  <c r="G126" i="5"/>
  <c r="Z132" i="12"/>
  <c r="G131" i="12"/>
  <c r="Y131" i="12"/>
  <c r="E130" i="12"/>
  <c r="C122" i="7"/>
  <c r="L122" i="7" s="1"/>
  <c r="K122" i="7"/>
  <c r="B123" i="7"/>
  <c r="E127" i="5"/>
  <c r="AA128" i="5"/>
  <c r="AG128" i="5"/>
  <c r="E127" i="3"/>
  <c r="G128" i="3"/>
  <c r="Z128" i="5" l="1"/>
  <c r="G127" i="5"/>
  <c r="Y132" i="12"/>
  <c r="E131" i="12"/>
  <c r="Z133" i="12"/>
  <c r="G132" i="12"/>
  <c r="C123" i="7"/>
  <c r="L123" i="7" s="1"/>
  <c r="K123" i="7"/>
  <c r="B124" i="7"/>
  <c r="AG129" i="5"/>
  <c r="E128" i="5"/>
  <c r="AA129" i="5"/>
  <c r="G129" i="3"/>
  <c r="E128" i="3"/>
  <c r="Z129" i="5" l="1"/>
  <c r="G128" i="5"/>
  <c r="G133" i="12"/>
  <c r="Z134" i="12"/>
  <c r="E132" i="12"/>
  <c r="Y133" i="12"/>
  <c r="B125" i="7"/>
  <c r="K124" i="7"/>
  <c r="C124" i="7"/>
  <c r="L124" i="7" s="1"/>
  <c r="AA130" i="5"/>
  <c r="E129" i="5"/>
  <c r="AG130" i="5"/>
  <c r="E129" i="3"/>
  <c r="G130" i="3"/>
  <c r="Z130" i="5" l="1"/>
  <c r="G129" i="5"/>
  <c r="E133" i="12"/>
  <c r="Y134" i="12"/>
  <c r="Z135" i="12"/>
  <c r="G134" i="12"/>
  <c r="C125" i="7"/>
  <c r="L125" i="7" s="1"/>
  <c r="K125" i="7"/>
  <c r="B126" i="7"/>
  <c r="AG131" i="5"/>
  <c r="AA131" i="5"/>
  <c r="E130" i="5"/>
  <c r="G131" i="3"/>
  <c r="E130" i="3"/>
  <c r="Z131" i="5" l="1"/>
  <c r="G130" i="5"/>
  <c r="Z136" i="12"/>
  <c r="G135" i="12"/>
  <c r="Y135" i="12"/>
  <c r="E134" i="12"/>
  <c r="C126" i="7"/>
  <c r="L126" i="7" s="1"/>
  <c r="B127" i="7"/>
  <c r="K126" i="7"/>
  <c r="AA132" i="5"/>
  <c r="E131" i="5"/>
  <c r="AG132" i="5"/>
  <c r="E131" i="3"/>
  <c r="G132" i="3"/>
  <c r="Z132" i="5" l="1"/>
  <c r="G131" i="5"/>
  <c r="E135" i="12"/>
  <c r="Y136" i="12"/>
  <c r="Z137" i="12"/>
  <c r="G136" i="12"/>
  <c r="B128" i="7"/>
  <c r="C127" i="7"/>
  <c r="L127" i="7" s="1"/>
  <c r="K127" i="7"/>
  <c r="AG133" i="5"/>
  <c r="AA133" i="5"/>
  <c r="E132" i="5"/>
  <c r="E132" i="3"/>
  <c r="G133" i="3"/>
  <c r="Z133" i="5" l="1"/>
  <c r="G132" i="5"/>
  <c r="G137" i="12"/>
  <c r="Z138" i="12"/>
  <c r="E136" i="12"/>
  <c r="Y137" i="12"/>
  <c r="B129" i="7"/>
  <c r="C128" i="7"/>
  <c r="L128" i="7" s="1"/>
  <c r="K128" i="7"/>
  <c r="AA134" i="5"/>
  <c r="E133" i="5"/>
  <c r="AG134" i="5"/>
  <c r="G134" i="3"/>
  <c r="E133" i="3"/>
  <c r="Z134" i="5" l="1"/>
  <c r="G133" i="5"/>
  <c r="G138" i="12"/>
  <c r="Z139" i="12"/>
  <c r="E137" i="12"/>
  <c r="Y138" i="12"/>
  <c r="K129" i="7"/>
  <c r="C129" i="7"/>
  <c r="L129" i="7" s="1"/>
  <c r="B130" i="7"/>
  <c r="AG135" i="5"/>
  <c r="AA135" i="5"/>
  <c r="E134" i="5"/>
  <c r="E134" i="3"/>
  <c r="G135" i="3"/>
  <c r="G136" i="3"/>
  <c r="Z135" i="5" l="1"/>
  <c r="G134" i="5"/>
  <c r="E138" i="12"/>
  <c r="Y139" i="12"/>
  <c r="G139" i="12"/>
  <c r="Z140" i="12"/>
  <c r="B131" i="7"/>
  <c r="C130" i="7"/>
  <c r="L130" i="7" s="1"/>
  <c r="K130" i="7"/>
  <c r="AA136" i="5"/>
  <c r="E135" i="5"/>
  <c r="AG136" i="5"/>
  <c r="E135" i="3"/>
  <c r="G137" i="3"/>
  <c r="Z136" i="5" l="1"/>
  <c r="G135" i="5"/>
  <c r="Z141" i="12"/>
  <c r="G140" i="12"/>
  <c r="Y140" i="12"/>
  <c r="E139" i="12"/>
  <c r="C131" i="7"/>
  <c r="L131" i="7" s="1"/>
  <c r="K131" i="7"/>
  <c r="B132" i="7"/>
  <c r="AG137" i="5"/>
  <c r="E136" i="5"/>
  <c r="AA137" i="5"/>
  <c r="G138" i="3"/>
  <c r="E136" i="3"/>
  <c r="Z137" i="5" l="1"/>
  <c r="G136" i="5"/>
  <c r="Y141" i="12"/>
  <c r="E140" i="12"/>
  <c r="Z142" i="12"/>
  <c r="G141" i="12"/>
  <c r="K132" i="7"/>
  <c r="B133" i="7"/>
  <c r="C132" i="7"/>
  <c r="L132" i="7" s="1"/>
  <c r="AA138" i="5"/>
  <c r="E137" i="5"/>
  <c r="AG138" i="5"/>
  <c r="E137" i="3"/>
  <c r="G139" i="3"/>
  <c r="Z138" i="5" l="1"/>
  <c r="G137" i="5"/>
  <c r="Z143" i="12"/>
  <c r="G142" i="12"/>
  <c r="Y142" i="12"/>
  <c r="E141" i="12"/>
  <c r="K133" i="7"/>
  <c r="B134" i="7"/>
  <c r="C133" i="7"/>
  <c r="L133" i="7" s="1"/>
  <c r="AG139" i="5"/>
  <c r="AA139" i="5"/>
  <c r="E138" i="5"/>
  <c r="G140" i="3"/>
  <c r="E138" i="3"/>
  <c r="AD42" i="3" l="1"/>
  <c r="AD45" i="3"/>
  <c r="AD46" i="3"/>
  <c r="AD43" i="3"/>
  <c r="AD44" i="3"/>
  <c r="AC48" i="3"/>
  <c r="AD48" i="3"/>
  <c r="AC47" i="3"/>
  <c r="AD47" i="3"/>
  <c r="AC44" i="3"/>
  <c r="AC46" i="3"/>
  <c r="AC43" i="3"/>
  <c r="AC45" i="3"/>
  <c r="AC42" i="3"/>
  <c r="Z139" i="5"/>
  <c r="G138" i="5"/>
  <c r="E142" i="12"/>
  <c r="Y143" i="12"/>
  <c r="Z144" i="12"/>
  <c r="G143" i="12"/>
  <c r="B138" i="7"/>
  <c r="C134" i="7"/>
  <c r="L134" i="7" s="1"/>
  <c r="K134" i="7"/>
  <c r="AA140" i="5"/>
  <c r="E139" i="5"/>
  <c r="AG140" i="5"/>
  <c r="E139" i="3"/>
  <c r="G141" i="3"/>
  <c r="Z140" i="5" l="1"/>
  <c r="G139" i="5"/>
  <c r="Z145" i="12"/>
  <c r="G144" i="12"/>
  <c r="E143" i="12"/>
  <c r="Y144" i="12"/>
  <c r="B139" i="7"/>
  <c r="C138" i="7"/>
  <c r="L138" i="7" s="1"/>
  <c r="K138" i="7"/>
  <c r="AG141" i="5"/>
  <c r="AA141" i="5"/>
  <c r="E140" i="5"/>
  <c r="G142" i="3"/>
  <c r="E140" i="3"/>
  <c r="Z141" i="5" l="1"/>
  <c r="G140" i="5"/>
  <c r="AE43" i="5" s="1"/>
  <c r="AE47" i="5"/>
  <c r="AF46" i="5"/>
  <c r="AF44" i="5"/>
  <c r="AF43" i="5"/>
  <c r="E144" i="12"/>
  <c r="Y145" i="12"/>
  <c r="Z146" i="12"/>
  <c r="G145" i="12"/>
  <c r="B140" i="7"/>
  <c r="C139" i="7"/>
  <c r="L139" i="7" s="1"/>
  <c r="K139" i="7"/>
  <c r="AA142" i="5"/>
  <c r="E141" i="5"/>
  <c r="AG142" i="5"/>
  <c r="E141" i="3"/>
  <c r="G143" i="3"/>
  <c r="AE46" i="5" l="1"/>
  <c r="AH46" i="5" s="1"/>
  <c r="AI46" i="5" s="1"/>
  <c r="AE47" i="3" s="1"/>
  <c r="AF45" i="5"/>
  <c r="Z142" i="5"/>
  <c r="G141" i="5"/>
  <c r="AE42" i="5"/>
  <c r="AF41" i="5"/>
  <c r="AE44" i="5"/>
  <c r="AH44" i="5" s="1"/>
  <c r="AI44" i="5" s="1"/>
  <c r="AE45" i="3" s="1"/>
  <c r="AF47" i="5"/>
  <c r="AH47" i="5" s="1"/>
  <c r="AI47" i="5" s="1"/>
  <c r="AE48" i="3" s="1"/>
  <c r="AE45" i="5"/>
  <c r="AF42" i="5"/>
  <c r="AE41" i="5"/>
  <c r="AH43" i="5"/>
  <c r="AI43" i="5" s="1"/>
  <c r="AE44" i="3" s="1"/>
  <c r="G146" i="12"/>
  <c r="Z147" i="12"/>
  <c r="E145" i="12"/>
  <c r="Y146" i="12"/>
  <c r="B141" i="7"/>
  <c r="C140" i="7"/>
  <c r="L140" i="7" s="1"/>
  <c r="K140" i="7"/>
  <c r="AG143" i="5"/>
  <c r="E142" i="5"/>
  <c r="AA143" i="5"/>
  <c r="G144" i="3"/>
  <c r="E142" i="3"/>
  <c r="AH41" i="5" l="1"/>
  <c r="AI41" i="5" s="1"/>
  <c r="AE42" i="3" s="1"/>
  <c r="L117" i="3" s="1"/>
  <c r="AH42" i="5"/>
  <c r="AI42" i="5" s="1"/>
  <c r="AE43" i="3" s="1"/>
  <c r="L118" i="3" s="1"/>
  <c r="AH45" i="5"/>
  <c r="AI45" i="5" s="1"/>
  <c r="AE46" i="3" s="1"/>
  <c r="AF46" i="3" s="1"/>
  <c r="AF43" i="3"/>
  <c r="L111" i="3"/>
  <c r="L125" i="3"/>
  <c r="L124" i="3"/>
  <c r="L138" i="3"/>
  <c r="AF44" i="3"/>
  <c r="L140" i="3"/>
  <c r="L112" i="3"/>
  <c r="L119" i="3"/>
  <c r="L126" i="3"/>
  <c r="L133" i="3"/>
  <c r="AF45" i="3"/>
  <c r="L134" i="3"/>
  <c r="L113" i="3"/>
  <c r="L120" i="3"/>
  <c r="L127" i="3"/>
  <c r="AF47" i="3"/>
  <c r="L115" i="3"/>
  <c r="L122" i="3"/>
  <c r="L129" i="3"/>
  <c r="L136" i="3"/>
  <c r="Z143" i="5"/>
  <c r="G142" i="5"/>
  <c r="E146" i="12"/>
  <c r="Y147" i="12"/>
  <c r="G147" i="12"/>
  <c r="Z148" i="12"/>
  <c r="B142" i="7"/>
  <c r="C141" i="7"/>
  <c r="L141" i="7" s="1"/>
  <c r="K141" i="7"/>
  <c r="E143" i="5"/>
  <c r="AA144" i="5"/>
  <c r="AG144" i="5"/>
  <c r="E143" i="3"/>
  <c r="G145" i="3"/>
  <c r="L131" i="3" l="1"/>
  <c r="M131" i="3" s="1"/>
  <c r="AF42" i="3"/>
  <c r="AF48" i="3" s="1"/>
  <c r="AJ41" i="5"/>
  <c r="L128" i="3"/>
  <c r="M128" i="3" s="1"/>
  <c r="L121" i="3"/>
  <c r="N121" i="3" s="1"/>
  <c r="L132" i="3"/>
  <c r="M132" i="3" s="1"/>
  <c r="L135" i="3"/>
  <c r="N135" i="3" s="1"/>
  <c r="L114" i="3"/>
  <c r="P120" i="3" s="1"/>
  <c r="N113" i="3"/>
  <c r="M113" i="3"/>
  <c r="N118" i="3"/>
  <c r="M118" i="3"/>
  <c r="N112" i="3"/>
  <c r="M112" i="3"/>
  <c r="N134" i="3"/>
  <c r="M134" i="3"/>
  <c r="P111" i="3"/>
  <c r="U111" i="3"/>
  <c r="U112" i="3"/>
  <c r="U113" i="3"/>
  <c r="M111" i="3"/>
  <c r="N111" i="3"/>
  <c r="P113" i="3"/>
  <c r="P112" i="3"/>
  <c r="M127" i="3"/>
  <c r="N127" i="3"/>
  <c r="N138" i="3"/>
  <c r="M138" i="3"/>
  <c r="M124" i="3"/>
  <c r="N124" i="3"/>
  <c r="N122" i="3"/>
  <c r="M122" i="3"/>
  <c r="M133" i="3"/>
  <c r="N133" i="3"/>
  <c r="M117" i="3"/>
  <c r="N117" i="3"/>
  <c r="N129" i="3"/>
  <c r="M129" i="3"/>
  <c r="M115" i="3"/>
  <c r="N115" i="3"/>
  <c r="N126" i="3"/>
  <c r="M126" i="3"/>
  <c r="M136" i="3"/>
  <c r="N136" i="3"/>
  <c r="N119" i="3"/>
  <c r="M119" i="3"/>
  <c r="M120" i="3"/>
  <c r="N120" i="3"/>
  <c r="M140" i="3"/>
  <c r="N140" i="3"/>
  <c r="M125" i="3"/>
  <c r="N125" i="3"/>
  <c r="Z144" i="5"/>
  <c r="G143" i="5"/>
  <c r="G148" i="12"/>
  <c r="Z149" i="12"/>
  <c r="E147" i="12"/>
  <c r="Y148" i="12"/>
  <c r="B143" i="7"/>
  <c r="C142" i="7"/>
  <c r="L142" i="7" s="1"/>
  <c r="K142" i="7"/>
  <c r="AG145" i="5"/>
  <c r="AA145" i="5"/>
  <c r="E144" i="5"/>
  <c r="G146" i="3"/>
  <c r="E144" i="3"/>
  <c r="N131" i="3" l="1"/>
  <c r="N128" i="3"/>
  <c r="N132" i="3"/>
  <c r="M121" i="3"/>
  <c r="M135" i="3"/>
  <c r="U126" i="3"/>
  <c r="W126" i="3" s="1"/>
  <c r="P122" i="3"/>
  <c r="S122" i="3" s="1"/>
  <c r="U125" i="3"/>
  <c r="X125" i="3" s="1"/>
  <c r="U133" i="3"/>
  <c r="W133" i="3" s="1"/>
  <c r="P115" i="3"/>
  <c r="S115" i="3" s="1"/>
  <c r="P118" i="3"/>
  <c r="S118" i="3" s="1"/>
  <c r="U131" i="3"/>
  <c r="W131" i="3" s="1"/>
  <c r="P133" i="3"/>
  <c r="S133" i="3" s="1"/>
  <c r="U135" i="3"/>
  <c r="X135" i="3" s="1"/>
  <c r="U120" i="3"/>
  <c r="W120" i="3" s="1"/>
  <c r="U128" i="3"/>
  <c r="X128" i="3" s="1"/>
  <c r="P126" i="3"/>
  <c r="R126" i="3" s="1"/>
  <c r="U138" i="3"/>
  <c r="X138" i="3" s="1"/>
  <c r="P124" i="3"/>
  <c r="R124" i="3" s="1"/>
  <c r="U127" i="3"/>
  <c r="X127" i="3" s="1"/>
  <c r="U134" i="3"/>
  <c r="W134" i="3" s="1"/>
  <c r="P117" i="3"/>
  <c r="R117" i="3" s="1"/>
  <c r="P135" i="3"/>
  <c r="R135" i="3" s="1"/>
  <c r="P140" i="3"/>
  <c r="R140" i="3" s="1"/>
  <c r="P134" i="3"/>
  <c r="R134" i="3" s="1"/>
  <c r="U140" i="3"/>
  <c r="X140" i="3" s="1"/>
  <c r="P138" i="3"/>
  <c r="R138" i="3" s="1"/>
  <c r="P131" i="3"/>
  <c r="S131" i="3" s="1"/>
  <c r="U124" i="3"/>
  <c r="W124" i="3" s="1"/>
  <c r="U118" i="3"/>
  <c r="W118" i="3" s="1"/>
  <c r="P136" i="3"/>
  <c r="S136" i="3" s="1"/>
  <c r="P114" i="3"/>
  <c r="R114" i="3" s="1"/>
  <c r="U119" i="3"/>
  <c r="W119" i="3" s="1"/>
  <c r="U121" i="3"/>
  <c r="W121" i="3" s="1"/>
  <c r="U129" i="3"/>
  <c r="X129" i="3" s="1"/>
  <c r="U132" i="3"/>
  <c r="W132" i="3" s="1"/>
  <c r="P132" i="3"/>
  <c r="S132" i="3" s="1"/>
  <c r="U115" i="3"/>
  <c r="W115" i="3" s="1"/>
  <c r="P121" i="3"/>
  <c r="S121" i="3" s="1"/>
  <c r="P128" i="3"/>
  <c r="S128" i="3" s="1"/>
  <c r="M114" i="3"/>
  <c r="U136" i="3"/>
  <c r="X136" i="3" s="1"/>
  <c r="P127" i="3"/>
  <c r="R127" i="3" s="1"/>
  <c r="U117" i="3"/>
  <c r="W117" i="3" s="1"/>
  <c r="P129" i="3"/>
  <c r="S129" i="3" s="1"/>
  <c r="N114" i="3"/>
  <c r="U114" i="3"/>
  <c r="X114" i="3" s="1"/>
  <c r="U122" i="3"/>
  <c r="X122" i="3" s="1"/>
  <c r="P119" i="3"/>
  <c r="S119" i="3" s="1"/>
  <c r="P125" i="3"/>
  <c r="S125" i="3" s="1"/>
  <c r="W111" i="3"/>
  <c r="X111" i="3"/>
  <c r="X113" i="3"/>
  <c r="W113" i="3"/>
  <c r="S111" i="3"/>
  <c r="R111" i="3"/>
  <c r="X112" i="3"/>
  <c r="W112" i="3"/>
  <c r="S112" i="3"/>
  <c r="R112" i="3"/>
  <c r="S113" i="3"/>
  <c r="R113" i="3"/>
  <c r="R120" i="3"/>
  <c r="S120" i="3"/>
  <c r="Z145" i="5"/>
  <c r="G144" i="5"/>
  <c r="Y149" i="12"/>
  <c r="E148" i="12"/>
  <c r="G149" i="12"/>
  <c r="Z150" i="12"/>
  <c r="B144" i="7"/>
  <c r="K143" i="7"/>
  <c r="C143" i="7"/>
  <c r="L143" i="7" s="1"/>
  <c r="AA146" i="5"/>
  <c r="E145" i="5"/>
  <c r="AG146" i="5"/>
  <c r="E145" i="3"/>
  <c r="G147" i="3"/>
  <c r="X126" i="3" l="1"/>
  <c r="R136" i="3"/>
  <c r="S135" i="3"/>
  <c r="W135" i="3"/>
  <c r="X120" i="3"/>
  <c r="W114" i="3"/>
  <c r="S117" i="3"/>
  <c r="X115" i="3"/>
  <c r="X118" i="3"/>
  <c r="W128" i="3"/>
  <c r="R121" i="3"/>
  <c r="S140" i="3"/>
  <c r="R122" i="3"/>
  <c r="W125" i="3"/>
  <c r="W122" i="3"/>
  <c r="R133" i="3"/>
  <c r="X124" i="3"/>
  <c r="W129" i="3"/>
  <c r="R125" i="3"/>
  <c r="R119" i="3"/>
  <c r="R132" i="3"/>
  <c r="S134" i="3"/>
  <c r="R129" i="3"/>
  <c r="R118" i="3"/>
  <c r="W140" i="3"/>
  <c r="X134" i="3"/>
  <c r="W127" i="3"/>
  <c r="R131" i="3"/>
  <c r="X117" i="3"/>
  <c r="R115" i="3"/>
  <c r="X131" i="3"/>
  <c r="W138" i="3"/>
  <c r="S127" i="3"/>
  <c r="X132" i="3"/>
  <c r="S124" i="3"/>
  <c r="X133" i="3"/>
  <c r="S138" i="3"/>
  <c r="S114" i="3"/>
  <c r="R128" i="3"/>
  <c r="X119" i="3"/>
  <c r="S126" i="3"/>
  <c r="W136" i="3"/>
  <c r="X121" i="3"/>
  <c r="Z146" i="5"/>
  <c r="G145" i="5"/>
  <c r="G150" i="12"/>
  <c r="Z151" i="12"/>
  <c r="E149" i="12"/>
  <c r="Y150" i="12"/>
  <c r="B145" i="7"/>
  <c r="K144" i="7"/>
  <c r="C144" i="7"/>
  <c r="L144" i="7" s="1"/>
  <c r="AG147" i="5"/>
  <c r="E146" i="5"/>
  <c r="AA147" i="5"/>
  <c r="G148" i="3"/>
  <c r="E146" i="3"/>
  <c r="Z147" i="5" l="1"/>
  <c r="G146" i="5"/>
  <c r="Y151" i="12"/>
  <c r="E150" i="12"/>
  <c r="G151" i="12"/>
  <c r="Z152" i="12"/>
  <c r="B146" i="7"/>
  <c r="K145" i="7"/>
  <c r="C145" i="7"/>
  <c r="L145" i="7" s="1"/>
  <c r="AA148" i="5"/>
  <c r="E147" i="5"/>
  <c r="AG148" i="5"/>
  <c r="E147" i="3"/>
  <c r="G149" i="3"/>
  <c r="Z148" i="5" l="1"/>
  <c r="G147" i="5"/>
  <c r="G152" i="12"/>
  <c r="Z153" i="12"/>
  <c r="Y152" i="12"/>
  <c r="E151" i="12"/>
  <c r="B147" i="7"/>
  <c r="K146" i="7"/>
  <c r="C146" i="7"/>
  <c r="L146" i="7" s="1"/>
  <c r="AG149" i="5"/>
  <c r="AA149" i="5"/>
  <c r="E148" i="5"/>
  <c r="G150" i="3"/>
  <c r="E148" i="3"/>
  <c r="Z149" i="5" l="1"/>
  <c r="G148" i="5"/>
  <c r="E152" i="12"/>
  <c r="Y153" i="12"/>
  <c r="G153" i="12"/>
  <c r="Z154" i="12"/>
  <c r="B148" i="7"/>
  <c r="C147" i="7"/>
  <c r="L147" i="7" s="1"/>
  <c r="K147" i="7"/>
  <c r="AA150" i="5"/>
  <c r="E149" i="5"/>
  <c r="AG150" i="5"/>
  <c r="E149" i="3"/>
  <c r="G151" i="3"/>
  <c r="Z150" i="5" l="1"/>
  <c r="G149" i="5"/>
  <c r="G154" i="12"/>
  <c r="Z155" i="12"/>
  <c r="Y154" i="12"/>
  <c r="E153" i="12"/>
  <c r="B149" i="7"/>
  <c r="K148" i="7"/>
  <c r="C148" i="7"/>
  <c r="L148" i="7" s="1"/>
  <c r="AG151" i="5"/>
  <c r="E150" i="5"/>
  <c r="AA151" i="5"/>
  <c r="E150" i="3"/>
  <c r="G152" i="3"/>
  <c r="Z151" i="5" l="1"/>
  <c r="G150" i="5"/>
  <c r="E154" i="12"/>
  <c r="Y155" i="12"/>
  <c r="G155" i="12"/>
  <c r="Z156" i="12"/>
  <c r="B150" i="7"/>
  <c r="K149" i="7"/>
  <c r="C149" i="7"/>
  <c r="L149" i="7" s="1"/>
  <c r="AA152" i="5"/>
  <c r="E151" i="5"/>
  <c r="AG152" i="5"/>
  <c r="G153" i="3"/>
  <c r="E151" i="3"/>
  <c r="Z152" i="5" l="1"/>
  <c r="G151" i="5"/>
  <c r="G156" i="12"/>
  <c r="Z157" i="12"/>
  <c r="Y156" i="12"/>
  <c r="E155" i="12"/>
  <c r="B151" i="7"/>
  <c r="C150" i="7"/>
  <c r="L150" i="7" s="1"/>
  <c r="K150" i="7"/>
  <c r="AG153" i="5"/>
  <c r="AA153" i="5"/>
  <c r="E152" i="5"/>
  <c r="E152" i="3"/>
  <c r="G154" i="3"/>
  <c r="Z153" i="5" l="1"/>
  <c r="G152" i="5"/>
  <c r="E156" i="12"/>
  <c r="Y157" i="12"/>
  <c r="G157" i="12"/>
  <c r="Z158" i="12"/>
  <c r="B152" i="7"/>
  <c r="K151" i="7"/>
  <c r="C151" i="7"/>
  <c r="L151" i="7" s="1"/>
  <c r="AA154" i="5"/>
  <c r="E153" i="5"/>
  <c r="AG154" i="5"/>
  <c r="G155" i="3"/>
  <c r="E153" i="3"/>
  <c r="Z154" i="5" l="1"/>
  <c r="G153" i="5"/>
  <c r="G158" i="12"/>
  <c r="Z159" i="12"/>
  <c r="E157" i="12"/>
  <c r="Y158" i="12"/>
  <c r="B153" i="7"/>
  <c r="K152" i="7"/>
  <c r="C152" i="7"/>
  <c r="L152" i="7" s="1"/>
  <c r="AG155" i="5"/>
  <c r="E154" i="5"/>
  <c r="AA155" i="5"/>
  <c r="E154" i="3"/>
  <c r="G156" i="3"/>
  <c r="Z155" i="5" l="1"/>
  <c r="G154" i="5"/>
  <c r="Y159" i="12"/>
  <c r="E158" i="12"/>
  <c r="G159" i="12"/>
  <c r="Z160" i="12"/>
  <c r="B154" i="7"/>
  <c r="K153" i="7"/>
  <c r="C153" i="7"/>
  <c r="L153" i="7" s="1"/>
  <c r="E155" i="5"/>
  <c r="AA156" i="5"/>
  <c r="AG156" i="5"/>
  <c r="G157" i="3"/>
  <c r="E155" i="3"/>
  <c r="Z156" i="5" l="1"/>
  <c r="G155" i="5"/>
  <c r="G160" i="12"/>
  <c r="Z161" i="12"/>
  <c r="E159" i="12"/>
  <c r="Y160" i="12"/>
  <c r="B155" i="7"/>
  <c r="K154" i="7"/>
  <c r="C154" i="7"/>
  <c r="L154" i="7" s="1"/>
  <c r="AG157" i="5"/>
  <c r="AA157" i="5"/>
  <c r="E156" i="5"/>
  <c r="E156" i="3"/>
  <c r="G158" i="3"/>
  <c r="Z157" i="5" l="1"/>
  <c r="G156" i="5"/>
  <c r="Y161" i="12"/>
  <c r="E160" i="12"/>
  <c r="G161" i="12"/>
  <c r="Z162" i="12"/>
  <c r="B156" i="7"/>
  <c r="C155" i="7"/>
  <c r="L155" i="7" s="1"/>
  <c r="K155" i="7"/>
  <c r="AA158" i="5"/>
  <c r="E157" i="5"/>
  <c r="AG158" i="5"/>
  <c r="G159" i="3"/>
  <c r="E157" i="3"/>
  <c r="Z158" i="5" l="1"/>
  <c r="G157" i="5"/>
  <c r="G162" i="12"/>
  <c r="Z163" i="12"/>
  <c r="Y162" i="12"/>
  <c r="E161" i="12"/>
  <c r="B157" i="7"/>
  <c r="C156" i="7"/>
  <c r="L156" i="7" s="1"/>
  <c r="K156" i="7"/>
  <c r="AG159" i="5"/>
  <c r="E158" i="5"/>
  <c r="AA159" i="5"/>
  <c r="E158" i="3"/>
  <c r="G160" i="3"/>
  <c r="Z159" i="5" l="1"/>
  <c r="G158" i="5"/>
  <c r="Y163" i="12"/>
  <c r="E162" i="12"/>
  <c r="G163" i="12"/>
  <c r="Z164" i="12"/>
  <c r="B158" i="7"/>
  <c r="C157" i="7"/>
  <c r="L157" i="7" s="1"/>
  <c r="K157" i="7"/>
  <c r="E159" i="5"/>
  <c r="AA160" i="5"/>
  <c r="AG160" i="5"/>
  <c r="G161" i="3"/>
  <c r="E159" i="3"/>
  <c r="Z160" i="5" l="1"/>
  <c r="G159" i="5"/>
  <c r="G164" i="12"/>
  <c r="Z165" i="12"/>
  <c r="Y164" i="12"/>
  <c r="E163" i="12"/>
  <c r="B159" i="7"/>
  <c r="C158" i="7"/>
  <c r="L158" i="7" s="1"/>
  <c r="K158" i="7"/>
  <c r="AG161" i="5"/>
  <c r="AA161" i="5"/>
  <c r="E160" i="5"/>
  <c r="E160" i="3"/>
  <c r="G162" i="3"/>
  <c r="Z161" i="5" l="1"/>
  <c r="G160" i="5"/>
  <c r="E164" i="12"/>
  <c r="Y165" i="12"/>
  <c r="G165" i="12"/>
  <c r="Z166" i="12"/>
  <c r="B160" i="7"/>
  <c r="K159" i="7"/>
  <c r="C159" i="7"/>
  <c r="L159" i="7" s="1"/>
  <c r="AA162" i="5"/>
  <c r="E161" i="5"/>
  <c r="AG162" i="5"/>
  <c r="G163" i="3"/>
  <c r="E161" i="3"/>
  <c r="Z162" i="5" l="1"/>
  <c r="G161" i="5"/>
  <c r="G166" i="12"/>
  <c r="Z167" i="12"/>
  <c r="Y166" i="12"/>
  <c r="E165" i="12"/>
  <c r="B161" i="7"/>
  <c r="K160" i="7"/>
  <c r="C160" i="7"/>
  <c r="L160" i="7" s="1"/>
  <c r="AG163" i="5"/>
  <c r="E162" i="5"/>
  <c r="AA163" i="5"/>
  <c r="E162" i="3"/>
  <c r="G164" i="3"/>
  <c r="Z163" i="5" l="1"/>
  <c r="G162" i="5"/>
  <c r="Y167" i="12"/>
  <c r="E166" i="12"/>
  <c r="G167" i="12"/>
  <c r="Z168" i="12"/>
  <c r="B162" i="7"/>
  <c r="C161" i="7"/>
  <c r="L161" i="7" s="1"/>
  <c r="K161" i="7"/>
  <c r="AA164" i="5"/>
  <c r="E163" i="5"/>
  <c r="AG164" i="5"/>
  <c r="G165" i="3"/>
  <c r="E163" i="3"/>
  <c r="Z164" i="5" l="1"/>
  <c r="G163" i="5"/>
  <c r="G168" i="12"/>
  <c r="Z169" i="12"/>
  <c r="E167" i="12"/>
  <c r="Y168" i="12"/>
  <c r="B163" i="7"/>
  <c r="K162" i="7"/>
  <c r="C162" i="7"/>
  <c r="L162" i="7" s="1"/>
  <c r="AG165" i="5"/>
  <c r="AA165" i="5"/>
  <c r="E164" i="5"/>
  <c r="E164" i="3"/>
  <c r="G166" i="3"/>
  <c r="Z165" i="5" l="1"/>
  <c r="G164" i="5"/>
  <c r="G169" i="12"/>
  <c r="Z170" i="12"/>
  <c r="Y169" i="12"/>
  <c r="E168" i="12"/>
  <c r="B164" i="7"/>
  <c r="C163" i="7"/>
  <c r="L163" i="7" s="1"/>
  <c r="K163" i="7"/>
  <c r="AA166" i="5"/>
  <c r="E165" i="5"/>
  <c r="AG166" i="5"/>
  <c r="G167" i="3"/>
  <c r="E165" i="3"/>
  <c r="Z166" i="5" l="1"/>
  <c r="G165" i="5"/>
  <c r="Y170" i="12"/>
  <c r="E169" i="12"/>
  <c r="G170" i="12"/>
  <c r="Z171" i="12"/>
  <c r="B165" i="7"/>
  <c r="C164" i="7"/>
  <c r="L164" i="7" s="1"/>
  <c r="K164" i="7"/>
  <c r="AG167" i="5"/>
  <c r="E166" i="5"/>
  <c r="AA167" i="5"/>
  <c r="E166" i="3"/>
  <c r="G168" i="3"/>
  <c r="Z167" i="5" l="1"/>
  <c r="G166" i="5"/>
  <c r="G171" i="12"/>
  <c r="Z172" i="12"/>
  <c r="Y171" i="12"/>
  <c r="E170" i="12"/>
  <c r="B166" i="7"/>
  <c r="C165" i="7"/>
  <c r="L165" i="7" s="1"/>
  <c r="K165" i="7"/>
  <c r="AG168" i="5"/>
  <c r="AA168" i="5"/>
  <c r="E167" i="5"/>
  <c r="G169" i="3"/>
  <c r="E167" i="3"/>
  <c r="Z168" i="5" l="1"/>
  <c r="G167" i="5"/>
  <c r="E171" i="12"/>
  <c r="Y172" i="12"/>
  <c r="G172" i="12"/>
  <c r="Z173" i="12"/>
  <c r="B167" i="7"/>
  <c r="K166" i="7"/>
  <c r="C166" i="7"/>
  <c r="L166" i="7" s="1"/>
  <c r="AA169" i="5"/>
  <c r="E168" i="5"/>
  <c r="AG169" i="5"/>
  <c r="E168" i="3"/>
  <c r="Z169" i="5" l="1"/>
  <c r="G168" i="5"/>
  <c r="G173" i="12"/>
  <c r="Z174" i="12"/>
  <c r="E172" i="12"/>
  <c r="Y173" i="12"/>
  <c r="B168" i="7"/>
  <c r="C167" i="7"/>
  <c r="L167" i="7" s="1"/>
  <c r="K167" i="7"/>
  <c r="AG170" i="5"/>
  <c r="AA170" i="5"/>
  <c r="E169" i="5"/>
  <c r="G170" i="3"/>
  <c r="E169" i="3"/>
  <c r="Z170" i="5" l="1"/>
  <c r="G169" i="5"/>
  <c r="Y174" i="12"/>
  <c r="E173" i="12"/>
  <c r="G174" i="12"/>
  <c r="Z175" i="12"/>
  <c r="B172" i="7"/>
  <c r="C168" i="7"/>
  <c r="L168" i="7" s="1"/>
  <c r="K168" i="7"/>
  <c r="E170" i="5"/>
  <c r="AA171" i="5"/>
  <c r="AG171" i="5"/>
  <c r="E170" i="3"/>
  <c r="G171" i="3"/>
  <c r="Z171" i="5" l="1"/>
  <c r="G170" i="5"/>
  <c r="AC55" i="3"/>
  <c r="AD52" i="3"/>
  <c r="AD54" i="3"/>
  <c r="AC54" i="3"/>
  <c r="AC51" i="3"/>
  <c r="AD51" i="3"/>
  <c r="AC52" i="3"/>
  <c r="AC50" i="3"/>
  <c r="AD55" i="3"/>
  <c r="AC53" i="3"/>
  <c r="AC49" i="3"/>
  <c r="AD50" i="3"/>
  <c r="AD53" i="3"/>
  <c r="AD49" i="3"/>
  <c r="G175" i="12"/>
  <c r="Z176" i="12"/>
  <c r="Y175" i="12"/>
  <c r="E174" i="12"/>
  <c r="K172" i="7"/>
  <c r="B173" i="7"/>
  <c r="C172" i="7"/>
  <c r="L172" i="7" s="1"/>
  <c r="AG172" i="5"/>
  <c r="AA172" i="5"/>
  <c r="E171" i="5"/>
  <c r="G172" i="3"/>
  <c r="E171" i="3"/>
  <c r="Z172" i="5" l="1"/>
  <c r="G171" i="5"/>
  <c r="AF49" i="5" s="1"/>
  <c r="AF54" i="5"/>
  <c r="AF50" i="5"/>
  <c r="AE49" i="5"/>
  <c r="AE50" i="5"/>
  <c r="AF48" i="5"/>
  <c r="AE48" i="5"/>
  <c r="Y176" i="12"/>
  <c r="E175" i="12"/>
  <c r="G176" i="12"/>
  <c r="Z177" i="12"/>
  <c r="B174" i="7"/>
  <c r="C173" i="7"/>
  <c r="L173" i="7" s="1"/>
  <c r="K173" i="7"/>
  <c r="AA173" i="5"/>
  <c r="E172" i="5"/>
  <c r="AG173" i="5"/>
  <c r="E172" i="3"/>
  <c r="G173" i="3"/>
  <c r="Z173" i="5" l="1"/>
  <c r="G172" i="5"/>
  <c r="AF51" i="5"/>
  <c r="AF52" i="5"/>
  <c r="AF53" i="5"/>
  <c r="L159" i="3"/>
  <c r="L166" i="3"/>
  <c r="AH48" i="5"/>
  <c r="AI48" i="5" s="1"/>
  <c r="AE49" i="3" s="1"/>
  <c r="AF49" i="3" s="1"/>
  <c r="AE54" i="5"/>
  <c r="AH54" i="5" s="1"/>
  <c r="AI54" i="5" s="1"/>
  <c r="AE55" i="3" s="1"/>
  <c r="AE53" i="5"/>
  <c r="AE51" i="5"/>
  <c r="AE52" i="5"/>
  <c r="AH50" i="5"/>
  <c r="AI50" i="5" s="1"/>
  <c r="AE51" i="3" s="1"/>
  <c r="AF51" i="3" s="1"/>
  <c r="AH49" i="5"/>
  <c r="AI49" i="5" s="1"/>
  <c r="AE50" i="3" s="1"/>
  <c r="L153" i="3" s="1"/>
  <c r="G177" i="12"/>
  <c r="Z178" i="12"/>
  <c r="Y177" i="12"/>
  <c r="E176" i="12"/>
  <c r="B175" i="7"/>
  <c r="K174" i="7"/>
  <c r="C174" i="7"/>
  <c r="L174" i="7" s="1"/>
  <c r="AG174" i="5"/>
  <c r="AA174" i="5"/>
  <c r="E173" i="5"/>
  <c r="G174" i="3"/>
  <c r="E173" i="3"/>
  <c r="L152" i="3" l="1"/>
  <c r="N152" i="3" s="1"/>
  <c r="AH51" i="5"/>
  <c r="AI51" i="5" s="1"/>
  <c r="AE52" i="3" s="1"/>
  <c r="L162" i="3" s="1"/>
  <c r="N162" i="3" s="1"/>
  <c r="AH52" i="5"/>
  <c r="AI52" i="5" s="1"/>
  <c r="AE53" i="3" s="1"/>
  <c r="L142" i="3" s="1"/>
  <c r="M142" i="3" s="1"/>
  <c r="L147" i="3"/>
  <c r="N147" i="3" s="1"/>
  <c r="AF52" i="3"/>
  <c r="L141" i="3"/>
  <c r="P141" i="3" s="1"/>
  <c r="L155" i="3"/>
  <c r="N155" i="3" s="1"/>
  <c r="L148" i="3"/>
  <c r="L161" i="3"/>
  <c r="M161" i="3" s="1"/>
  <c r="AF50" i="3"/>
  <c r="L154" i="3"/>
  <c r="N154" i="3" s="1"/>
  <c r="L167" i="3"/>
  <c r="M167" i="3" s="1"/>
  <c r="L170" i="3"/>
  <c r="M170" i="3" s="1"/>
  <c r="L160" i="3"/>
  <c r="N160" i="3" s="1"/>
  <c r="AH53" i="5"/>
  <c r="AI53" i="5" s="1"/>
  <c r="AE54" i="3" s="1"/>
  <c r="L149" i="3"/>
  <c r="M149" i="3" s="1"/>
  <c r="L168" i="3"/>
  <c r="M168" i="3" s="1"/>
  <c r="N153" i="3"/>
  <c r="M153" i="3"/>
  <c r="N166" i="3"/>
  <c r="M166" i="3"/>
  <c r="Z174" i="5"/>
  <c r="G173" i="5"/>
  <c r="M159" i="3"/>
  <c r="N159" i="3"/>
  <c r="Y178" i="12"/>
  <c r="E177" i="12"/>
  <c r="G178" i="12"/>
  <c r="Z179" i="12"/>
  <c r="K175" i="7"/>
  <c r="C175" i="7"/>
  <c r="L175" i="7" s="1"/>
  <c r="B176" i="7"/>
  <c r="E174" i="5"/>
  <c r="AA175" i="5"/>
  <c r="AG175" i="5"/>
  <c r="E174" i="3"/>
  <c r="G175" i="3"/>
  <c r="M152" i="3" l="1"/>
  <c r="L156" i="3"/>
  <c r="M156" i="3" s="1"/>
  <c r="L169" i="3"/>
  <c r="M169" i="3" s="1"/>
  <c r="AF53" i="3"/>
  <c r="L163" i="3"/>
  <c r="M147" i="3"/>
  <c r="N161" i="3"/>
  <c r="P142" i="3"/>
  <c r="R142" i="3" s="1"/>
  <c r="M154" i="3"/>
  <c r="N168" i="3"/>
  <c r="N149" i="3"/>
  <c r="U147" i="3"/>
  <c r="W147" i="3" s="1"/>
  <c r="P148" i="3"/>
  <c r="S148" i="3" s="1"/>
  <c r="N142" i="3"/>
  <c r="U141" i="3"/>
  <c r="W141" i="3" s="1"/>
  <c r="P147" i="3"/>
  <c r="S147" i="3" s="1"/>
  <c r="M148" i="3"/>
  <c r="M155" i="3"/>
  <c r="M162" i="3"/>
  <c r="AJ48" i="5"/>
  <c r="N148" i="3"/>
  <c r="N170" i="3"/>
  <c r="M160" i="3"/>
  <c r="U142" i="3"/>
  <c r="X142" i="3" s="1"/>
  <c r="U148" i="3"/>
  <c r="W148" i="3" s="1"/>
  <c r="M141" i="3"/>
  <c r="U149" i="3"/>
  <c r="X149" i="3" s="1"/>
  <c r="N167" i="3"/>
  <c r="P149" i="3"/>
  <c r="S149" i="3" s="1"/>
  <c r="N141" i="3"/>
  <c r="L171" i="3"/>
  <c r="AF54" i="3"/>
  <c r="L150" i="3"/>
  <c r="P154" i="3" s="1"/>
  <c r="R154" i="3" s="1"/>
  <c r="L164" i="3"/>
  <c r="L157" i="3"/>
  <c r="R141" i="3"/>
  <c r="S141" i="3"/>
  <c r="Z175" i="5"/>
  <c r="G174" i="5"/>
  <c r="G179" i="12"/>
  <c r="Z180" i="12"/>
  <c r="E178" i="12"/>
  <c r="Y179" i="12"/>
  <c r="K176" i="7"/>
  <c r="C176" i="7"/>
  <c r="L176" i="7" s="1"/>
  <c r="B177" i="7"/>
  <c r="AG176" i="5"/>
  <c r="E175" i="5"/>
  <c r="AA176" i="5"/>
  <c r="G176" i="3"/>
  <c r="E175" i="3"/>
  <c r="N156" i="3" l="1"/>
  <c r="N169" i="3"/>
  <c r="AF55" i="3"/>
  <c r="S142" i="3"/>
  <c r="W142" i="3"/>
  <c r="X148" i="3"/>
  <c r="M163" i="3"/>
  <c r="N163" i="3"/>
  <c r="X147" i="3"/>
  <c r="R148" i="3"/>
  <c r="P170" i="3"/>
  <c r="S170" i="3" s="1"/>
  <c r="U166" i="3"/>
  <c r="X166" i="3" s="1"/>
  <c r="U156" i="3"/>
  <c r="X156" i="3" s="1"/>
  <c r="P150" i="3"/>
  <c r="P155" i="3"/>
  <c r="S155" i="3" s="1"/>
  <c r="U150" i="3"/>
  <c r="X150" i="3" s="1"/>
  <c r="X141" i="3"/>
  <c r="U152" i="3"/>
  <c r="U155" i="3"/>
  <c r="X155" i="3" s="1"/>
  <c r="U164" i="3"/>
  <c r="W164" i="3" s="1"/>
  <c r="P156" i="3"/>
  <c r="R156" i="3" s="1"/>
  <c r="P166" i="3"/>
  <c r="P160" i="3"/>
  <c r="P163" i="3"/>
  <c r="R149" i="3"/>
  <c r="P162" i="3"/>
  <c r="P157" i="3"/>
  <c r="U167" i="3"/>
  <c r="W149" i="3"/>
  <c r="U159" i="3"/>
  <c r="N164" i="3"/>
  <c r="M164" i="3"/>
  <c r="U169" i="3"/>
  <c r="U170" i="3"/>
  <c r="N171" i="3"/>
  <c r="M171" i="3"/>
  <c r="P164" i="3"/>
  <c r="P167" i="3"/>
  <c r="P169" i="3"/>
  <c r="S154" i="3"/>
  <c r="N150" i="3"/>
  <c r="P168" i="3"/>
  <c r="P171" i="3"/>
  <c r="U171" i="3"/>
  <c r="U160" i="3"/>
  <c r="U161" i="3"/>
  <c r="M150" i="3"/>
  <c r="U154" i="3"/>
  <c r="P153" i="3"/>
  <c r="N157" i="3"/>
  <c r="M157" i="3"/>
  <c r="U162" i="3"/>
  <c r="U153" i="3"/>
  <c r="U168" i="3"/>
  <c r="U157" i="3"/>
  <c r="R147" i="3"/>
  <c r="P161" i="3"/>
  <c r="U163" i="3"/>
  <c r="P159" i="3"/>
  <c r="P152" i="3"/>
  <c r="Z176" i="5"/>
  <c r="G175" i="5"/>
  <c r="E179" i="12"/>
  <c r="Y180" i="12"/>
  <c r="G180" i="12"/>
  <c r="Z181" i="12"/>
  <c r="C177" i="7"/>
  <c r="L177" i="7" s="1"/>
  <c r="B178" i="7"/>
  <c r="K177" i="7"/>
  <c r="AA177" i="5"/>
  <c r="E176" i="5"/>
  <c r="AG177" i="5"/>
  <c r="E176" i="3"/>
  <c r="G177" i="3"/>
  <c r="W166" i="3" l="1"/>
  <c r="X164" i="3"/>
  <c r="W155" i="3"/>
  <c r="S156" i="3"/>
  <c r="W156" i="3"/>
  <c r="R170" i="3"/>
  <c r="W152" i="3"/>
  <c r="X152" i="3"/>
  <c r="W150" i="3"/>
  <c r="R150" i="3"/>
  <c r="S150" i="3"/>
  <c r="R155" i="3"/>
  <c r="W163" i="3"/>
  <c r="X163" i="3"/>
  <c r="X162" i="3"/>
  <c r="W162" i="3"/>
  <c r="X171" i="3"/>
  <c r="W171" i="3"/>
  <c r="R160" i="3"/>
  <c r="S160" i="3"/>
  <c r="R168" i="3"/>
  <c r="S168" i="3"/>
  <c r="W167" i="3"/>
  <c r="X167" i="3"/>
  <c r="S153" i="3"/>
  <c r="R153" i="3"/>
  <c r="S157" i="3"/>
  <c r="R157" i="3"/>
  <c r="X154" i="3"/>
  <c r="W154" i="3"/>
  <c r="W157" i="3"/>
  <c r="X157" i="3"/>
  <c r="S169" i="3"/>
  <c r="R169" i="3"/>
  <c r="R161" i="3"/>
  <c r="S161" i="3"/>
  <c r="S166" i="3"/>
  <c r="R166" i="3"/>
  <c r="X169" i="3"/>
  <c r="W169" i="3"/>
  <c r="R162" i="3"/>
  <c r="S162" i="3"/>
  <c r="W168" i="3"/>
  <c r="X168" i="3"/>
  <c r="X161" i="3"/>
  <c r="W161" i="3"/>
  <c r="R167" i="3"/>
  <c r="S167" i="3"/>
  <c r="W159" i="3"/>
  <c r="X159" i="3"/>
  <c r="S171" i="3"/>
  <c r="R171" i="3"/>
  <c r="W170" i="3"/>
  <c r="X170" i="3"/>
  <c r="R152" i="3"/>
  <c r="S152" i="3"/>
  <c r="R159" i="3"/>
  <c r="S159" i="3"/>
  <c r="W153" i="3"/>
  <c r="X153" i="3"/>
  <c r="W160" i="3"/>
  <c r="X160" i="3"/>
  <c r="S164" i="3"/>
  <c r="R164" i="3"/>
  <c r="S163" i="3"/>
  <c r="R163" i="3"/>
  <c r="Z177" i="5"/>
  <c r="G176" i="5"/>
  <c r="G181" i="12"/>
  <c r="Z182" i="12"/>
  <c r="Y181" i="12"/>
  <c r="E180" i="12"/>
  <c r="K178" i="7"/>
  <c r="B179" i="7"/>
  <c r="C178" i="7"/>
  <c r="L178" i="7" s="1"/>
  <c r="AG178" i="5"/>
  <c r="AA178" i="5"/>
  <c r="E177" i="5"/>
  <c r="G178" i="3"/>
  <c r="E177" i="3"/>
  <c r="Z178" i="5" l="1"/>
  <c r="G177" i="5"/>
  <c r="E181" i="12"/>
  <c r="Y182" i="12"/>
  <c r="G182" i="12"/>
  <c r="Z183" i="12"/>
  <c r="C179" i="7"/>
  <c r="L179" i="7" s="1"/>
  <c r="B180" i="7"/>
  <c r="K179" i="7"/>
  <c r="E178" i="5"/>
  <c r="AA179" i="5"/>
  <c r="AG179" i="5"/>
  <c r="E178" i="3"/>
  <c r="G179" i="3"/>
  <c r="Z179" i="5" l="1"/>
  <c r="G178" i="5"/>
  <c r="G183" i="12"/>
  <c r="Z184" i="12"/>
  <c r="Y183" i="12"/>
  <c r="E182" i="12"/>
  <c r="K180" i="7"/>
  <c r="B181" i="7"/>
  <c r="C180" i="7"/>
  <c r="L180" i="7" s="1"/>
  <c r="AG180" i="5"/>
  <c r="E179" i="5"/>
  <c r="AA180" i="5"/>
  <c r="G180" i="3"/>
  <c r="E179" i="3"/>
  <c r="Z180" i="5" l="1"/>
  <c r="G179" i="5"/>
  <c r="Y184" i="12"/>
  <c r="E183" i="12"/>
  <c r="G184" i="12"/>
  <c r="Z185" i="12"/>
  <c r="B182" i="7"/>
  <c r="C181" i="7"/>
  <c r="L181" i="7" s="1"/>
  <c r="K181" i="7"/>
  <c r="AA181" i="5"/>
  <c r="E180" i="5"/>
  <c r="AG181" i="5"/>
  <c r="E180" i="3"/>
  <c r="G181" i="3"/>
  <c r="Z181" i="5" l="1"/>
  <c r="G180" i="5"/>
  <c r="G185" i="12"/>
  <c r="Z186" i="12"/>
  <c r="Y185" i="12"/>
  <c r="E184" i="12"/>
  <c r="B183" i="7"/>
  <c r="C182" i="7"/>
  <c r="L182" i="7" s="1"/>
  <c r="K182" i="7"/>
  <c r="AG182" i="5"/>
  <c r="AA182" i="5"/>
  <c r="E181" i="5"/>
  <c r="G182" i="3"/>
  <c r="E181" i="3"/>
  <c r="Z182" i="5" l="1"/>
  <c r="G181" i="5"/>
  <c r="Y186" i="12"/>
  <c r="E185" i="12"/>
  <c r="G186" i="12"/>
  <c r="Z187" i="12"/>
  <c r="K183" i="7"/>
  <c r="C183" i="7"/>
  <c r="L183" i="7" s="1"/>
  <c r="B184" i="7"/>
  <c r="E182" i="5"/>
  <c r="AA183" i="5"/>
  <c r="AG183" i="5"/>
  <c r="E182" i="3"/>
  <c r="G183" i="3"/>
  <c r="Z183" i="5" l="1"/>
  <c r="G182" i="5"/>
  <c r="G187" i="12"/>
  <c r="Z188" i="12"/>
  <c r="Y187" i="12"/>
  <c r="E186" i="12"/>
  <c r="C184" i="7"/>
  <c r="L184" i="7" s="1"/>
  <c r="K184" i="7"/>
  <c r="B185" i="7"/>
  <c r="AG184" i="5"/>
  <c r="AA184" i="5"/>
  <c r="E183" i="5"/>
  <c r="G184" i="3"/>
  <c r="E183" i="3"/>
  <c r="Z184" i="5" l="1"/>
  <c r="G183" i="5"/>
  <c r="Y188" i="12"/>
  <c r="E187" i="12"/>
  <c r="Z189" i="12"/>
  <c r="G188" i="12"/>
  <c r="C185" i="7"/>
  <c r="L185" i="7" s="1"/>
  <c r="K185" i="7"/>
  <c r="B186" i="7"/>
  <c r="E184" i="5"/>
  <c r="AA185" i="5"/>
  <c r="AG185" i="5"/>
  <c r="E184" i="3"/>
  <c r="G185" i="3"/>
  <c r="Z185" i="5" l="1"/>
  <c r="G184" i="5"/>
  <c r="Z190" i="12"/>
  <c r="G189" i="12"/>
  <c r="Y189" i="12"/>
  <c r="E188" i="12"/>
  <c r="C186" i="7"/>
  <c r="L186" i="7" s="1"/>
  <c r="K186" i="7"/>
  <c r="B187" i="7"/>
  <c r="AG186" i="5"/>
  <c r="E185" i="5"/>
  <c r="AA186" i="5"/>
  <c r="G186" i="3"/>
  <c r="E185" i="3"/>
  <c r="Z186" i="5" l="1"/>
  <c r="G185" i="5"/>
  <c r="Y190" i="12"/>
  <c r="E189" i="12"/>
  <c r="Z191" i="12"/>
  <c r="G190" i="12"/>
  <c r="B188" i="7"/>
  <c r="K187" i="7"/>
  <c r="C187" i="7"/>
  <c r="L187" i="7" s="1"/>
  <c r="AA187" i="5"/>
  <c r="E186" i="5"/>
  <c r="AG187" i="5"/>
  <c r="E186" i="3"/>
  <c r="G187" i="3"/>
  <c r="Z187" i="5" l="1"/>
  <c r="G186" i="5"/>
  <c r="E5" i="4" s="1" a="1"/>
  <c r="F22" i="4" s="1"/>
  <c r="F5" i="4" a="1"/>
  <c r="Z192" i="12"/>
  <c r="G191" i="12"/>
  <c r="E190" i="12"/>
  <c r="Y191" i="12"/>
  <c r="B189" i="7"/>
  <c r="C188" i="7"/>
  <c r="L188" i="7" s="1"/>
  <c r="K188" i="7"/>
  <c r="AG188" i="5"/>
  <c r="AA188" i="5"/>
  <c r="E187" i="5"/>
  <c r="G188" i="3"/>
  <c r="E187" i="3"/>
  <c r="Z188" i="5" l="1"/>
  <c r="G187" i="5"/>
  <c r="E191" i="12"/>
  <c r="Y192" i="12"/>
  <c r="G192" i="12"/>
  <c r="Z193" i="12"/>
  <c r="B190" i="7"/>
  <c r="K189" i="7"/>
  <c r="C189" i="7"/>
  <c r="L189" i="7" s="1"/>
  <c r="E188" i="5"/>
  <c r="AA189" i="5"/>
  <c r="AG189" i="5"/>
  <c r="E188" i="3"/>
  <c r="G189" i="3"/>
  <c r="Z189" i="5" l="1"/>
  <c r="G188" i="5"/>
  <c r="Z194" i="12"/>
  <c r="G193" i="12"/>
  <c r="E192" i="12"/>
  <c r="Y193" i="12"/>
  <c r="B191" i="7"/>
  <c r="C190" i="7"/>
  <c r="L190" i="7" s="1"/>
  <c r="K190" i="7"/>
  <c r="AG190" i="5"/>
  <c r="AA190" i="5"/>
  <c r="E189" i="5"/>
  <c r="G190" i="3"/>
  <c r="E189" i="3"/>
  <c r="Z190" i="5" l="1"/>
  <c r="G189" i="5"/>
  <c r="E193" i="12"/>
  <c r="Y194" i="12"/>
  <c r="Z195" i="12"/>
  <c r="G194" i="12"/>
  <c r="K191" i="7"/>
  <c r="C191" i="7"/>
  <c r="L191" i="7" s="1"/>
  <c r="B192" i="7"/>
  <c r="AA191" i="5"/>
  <c r="E190" i="5"/>
  <c r="AG191" i="5"/>
  <c r="E190" i="3"/>
  <c r="G191" i="3"/>
  <c r="Z191" i="5" l="1"/>
  <c r="G190" i="5"/>
  <c r="G195" i="12"/>
  <c r="Z196" i="12"/>
  <c r="E194" i="12"/>
  <c r="Y195" i="12"/>
  <c r="C192" i="7"/>
  <c r="L192" i="7" s="1"/>
  <c r="B193" i="7"/>
  <c r="K192" i="7"/>
  <c r="AG192" i="5"/>
  <c r="AA192" i="5"/>
  <c r="E191" i="5"/>
  <c r="G192" i="3"/>
  <c r="E191" i="3"/>
  <c r="Z192" i="5" l="1"/>
  <c r="G191" i="5"/>
  <c r="E195" i="12"/>
  <c r="Y196" i="12"/>
  <c r="Z197" i="12"/>
  <c r="G196" i="12"/>
  <c r="K193" i="7"/>
  <c r="B194" i="7"/>
  <c r="C193" i="7"/>
  <c r="L193" i="7" s="1"/>
  <c r="E192" i="5"/>
  <c r="AA193" i="5"/>
  <c r="AG193" i="5"/>
  <c r="E192" i="3"/>
  <c r="G193" i="3"/>
  <c r="Z193" i="5" l="1"/>
  <c r="G192" i="5"/>
  <c r="Z198" i="12"/>
  <c r="G197" i="12"/>
  <c r="E196" i="12"/>
  <c r="Y197" i="12"/>
  <c r="C194" i="7"/>
  <c r="L194" i="7" s="1"/>
  <c r="B195" i="7"/>
  <c r="K194" i="7"/>
  <c r="AG194" i="5"/>
  <c r="AA194" i="5"/>
  <c r="E193" i="5"/>
  <c r="G194" i="3"/>
  <c r="E193" i="3"/>
  <c r="Z194" i="5" l="1"/>
  <c r="G193" i="5"/>
  <c r="E197" i="12"/>
  <c r="Y198" i="12"/>
  <c r="Z199" i="12"/>
  <c r="G198" i="12"/>
  <c r="B196" i="7"/>
  <c r="K195" i="7"/>
  <c r="C195" i="7"/>
  <c r="L195" i="7" s="1"/>
  <c r="AA195" i="5"/>
  <c r="E194" i="5"/>
  <c r="AG195" i="5"/>
  <c r="E194" i="3"/>
  <c r="G195" i="3"/>
  <c r="Z195" i="5" l="1"/>
  <c r="G194" i="5"/>
  <c r="Z200" i="12"/>
  <c r="G199" i="12"/>
  <c r="E198" i="12"/>
  <c r="Y199" i="12"/>
  <c r="B197" i="7"/>
  <c r="K196" i="7"/>
  <c r="C196" i="7"/>
  <c r="L196" i="7" s="1"/>
  <c r="AG196" i="5"/>
  <c r="AA196" i="5"/>
  <c r="E195" i="5"/>
  <c r="G196" i="3"/>
  <c r="E195" i="3"/>
  <c r="Z196" i="5" l="1"/>
  <c r="G195" i="5"/>
  <c r="E199" i="12"/>
  <c r="Y200" i="12"/>
  <c r="Z201" i="12"/>
  <c r="G200" i="12"/>
  <c r="K197" i="7"/>
  <c r="C197" i="7"/>
  <c r="L197" i="7" s="1"/>
  <c r="B198" i="7"/>
  <c r="E196" i="5"/>
  <c r="AA197" i="5"/>
  <c r="AG197" i="5"/>
  <c r="E196" i="3"/>
  <c r="G197" i="3"/>
  <c r="Z197" i="5" l="1"/>
  <c r="G196" i="5"/>
  <c r="Z202" i="12"/>
  <c r="G201" i="12"/>
  <c r="E200" i="12"/>
  <c r="Y201" i="12"/>
  <c r="C198" i="7"/>
  <c r="L198" i="7" s="1"/>
  <c r="B199" i="7"/>
  <c r="K198" i="7"/>
  <c r="AG198" i="5"/>
  <c r="E197" i="5"/>
  <c r="AA198" i="5"/>
  <c r="G198" i="3"/>
  <c r="E197" i="3"/>
  <c r="Z198" i="5" l="1"/>
  <c r="G197" i="5"/>
  <c r="E201" i="12"/>
  <c r="Y202" i="12"/>
  <c r="Z203" i="12"/>
  <c r="G202" i="12"/>
  <c r="B200" i="7"/>
  <c r="C199" i="7"/>
  <c r="L199" i="7" s="1"/>
  <c r="K199" i="7"/>
  <c r="AA199" i="5"/>
  <c r="E198" i="5"/>
  <c r="AG199" i="5"/>
  <c r="E198" i="3"/>
  <c r="G199" i="3"/>
  <c r="Z199" i="5" l="1"/>
  <c r="G198" i="5"/>
  <c r="Z204" i="12"/>
  <c r="G203" i="12"/>
  <c r="E202" i="12"/>
  <c r="Y203" i="12"/>
  <c r="K200" i="7"/>
  <c r="B201" i="7"/>
  <c r="C200" i="7"/>
  <c r="L200" i="7" s="1"/>
  <c r="AG200" i="5"/>
  <c r="E199" i="5"/>
  <c r="AA200" i="5"/>
  <c r="G200" i="3"/>
  <c r="E199" i="3"/>
  <c r="Z200" i="5" l="1"/>
  <c r="G199" i="5"/>
  <c r="E203" i="12"/>
  <c r="Y204" i="12"/>
  <c r="Z205" i="12"/>
  <c r="G204" i="12"/>
  <c r="B205" i="7"/>
  <c r="K201" i="7"/>
  <c r="C201" i="7"/>
  <c r="L201" i="7" s="1"/>
  <c r="E200" i="5"/>
  <c r="AA201" i="5"/>
  <c r="AG201" i="5"/>
  <c r="E200" i="3"/>
  <c r="G201" i="3"/>
  <c r="AC62" i="3" l="1"/>
  <c r="AC58" i="3"/>
  <c r="AC60" i="3"/>
  <c r="AC56" i="3"/>
  <c r="AD57" i="3"/>
  <c r="AD56" i="3"/>
  <c r="AC61" i="3"/>
  <c r="AC59" i="3"/>
  <c r="AD62" i="3"/>
  <c r="AD59" i="3"/>
  <c r="AC57" i="3"/>
  <c r="AD58" i="3"/>
  <c r="AD60" i="3"/>
  <c r="AD61" i="3"/>
  <c r="Z201" i="5"/>
  <c r="G200" i="5"/>
  <c r="Z206" i="12"/>
  <c r="G205" i="12"/>
  <c r="E204" i="12"/>
  <c r="Y205" i="12"/>
  <c r="B206" i="7"/>
  <c r="K205" i="7"/>
  <c r="C205" i="7"/>
  <c r="L205" i="7" s="1"/>
  <c r="AG202" i="5"/>
  <c r="E201" i="5"/>
  <c r="AA202" i="5"/>
  <c r="G202" i="3"/>
  <c r="E201" i="3"/>
  <c r="Z202" i="5" l="1"/>
  <c r="G201" i="5"/>
  <c r="AE56" i="5"/>
  <c r="AE61" i="5"/>
  <c r="AF55" i="5"/>
  <c r="AF58" i="5"/>
  <c r="AE57" i="5"/>
  <c r="AF61" i="5"/>
  <c r="AF59" i="5"/>
  <c r="AF57" i="5"/>
  <c r="AE58" i="5"/>
  <c r="AF60" i="5"/>
  <c r="AE55" i="5"/>
  <c r="AE59" i="5"/>
  <c r="AF56" i="5"/>
  <c r="AE60" i="5"/>
  <c r="E205" i="12"/>
  <c r="Y206" i="12"/>
  <c r="Z207" i="12"/>
  <c r="G206" i="12"/>
  <c r="B207" i="7"/>
  <c r="C206" i="7"/>
  <c r="L206" i="7" s="1"/>
  <c r="K206" i="7"/>
  <c r="AA203" i="5"/>
  <c r="E202" i="5"/>
  <c r="AG203" i="5"/>
  <c r="E202" i="3"/>
  <c r="G203" i="3"/>
  <c r="Z203" i="5" l="1"/>
  <c r="G202" i="5"/>
  <c r="AH60" i="5"/>
  <c r="AI60" i="5" s="1"/>
  <c r="AE61" i="3" s="1"/>
  <c r="AF61" i="3" s="1"/>
  <c r="L178" i="3"/>
  <c r="L199" i="3"/>
  <c r="AH59" i="5"/>
  <c r="AI59" i="5" s="1"/>
  <c r="AE60" i="3" s="1"/>
  <c r="AF60" i="3" s="1"/>
  <c r="AH55" i="5"/>
  <c r="AI55" i="5" s="1"/>
  <c r="AE56" i="3" s="1"/>
  <c r="AF56" i="3" s="1"/>
  <c r="AH61" i="5"/>
  <c r="AI61" i="5" s="1"/>
  <c r="AE62" i="3" s="1"/>
  <c r="AH57" i="5"/>
  <c r="AI57" i="5" s="1"/>
  <c r="AE58" i="3" s="1"/>
  <c r="AF58" i="3" s="1"/>
  <c r="AH58" i="5"/>
  <c r="AI58" i="5" s="1"/>
  <c r="AE59" i="3" s="1"/>
  <c r="AF59" i="3" s="1"/>
  <c r="AH56" i="5"/>
  <c r="AI56" i="5" s="1"/>
  <c r="AE57" i="3" s="1"/>
  <c r="AF57" i="3" s="1"/>
  <c r="Z208" i="12"/>
  <c r="G207" i="12"/>
  <c r="E206" i="12"/>
  <c r="Y207" i="12"/>
  <c r="B208" i="7"/>
  <c r="K207" i="7"/>
  <c r="C207" i="7"/>
  <c r="L207" i="7" s="1"/>
  <c r="AG204" i="5"/>
  <c r="E203" i="5"/>
  <c r="AA204" i="5"/>
  <c r="G204" i="3"/>
  <c r="E203" i="3"/>
  <c r="L192" i="3" l="1"/>
  <c r="N192" i="3" s="1"/>
  <c r="L185" i="3"/>
  <c r="M185" i="3" s="1"/>
  <c r="L194" i="3"/>
  <c r="M194" i="3" s="1"/>
  <c r="L190" i="3"/>
  <c r="N190" i="3" s="1"/>
  <c r="L187" i="3"/>
  <c r="M187" i="3" s="1"/>
  <c r="L197" i="3"/>
  <c r="N197" i="3" s="1"/>
  <c r="L176" i="3"/>
  <c r="M176" i="3" s="1"/>
  <c r="L189" i="3"/>
  <c r="M189" i="3" s="1"/>
  <c r="AF62" i="3"/>
  <c r="L183" i="3"/>
  <c r="N183" i="3" s="1"/>
  <c r="L174" i="3"/>
  <c r="M174" i="3" s="1"/>
  <c r="L195" i="3"/>
  <c r="M195" i="3" s="1"/>
  <c r="L188" i="3"/>
  <c r="N188" i="3" s="1"/>
  <c r="L180" i="3"/>
  <c r="N180" i="3" s="1"/>
  <c r="L181" i="3"/>
  <c r="N181" i="3" s="1"/>
  <c r="L173" i="3"/>
  <c r="L196" i="3"/>
  <c r="M196" i="3" s="1"/>
  <c r="L198" i="3"/>
  <c r="M198" i="3" s="1"/>
  <c r="L191" i="3"/>
  <c r="M191" i="3" s="1"/>
  <c r="L182" i="3"/>
  <c r="M182" i="3" s="1"/>
  <c r="L184" i="3"/>
  <c r="N184" i="3" s="1"/>
  <c r="L201" i="3"/>
  <c r="N201" i="3" s="1"/>
  <c r="L175" i="3"/>
  <c r="L177" i="3"/>
  <c r="N177" i="3" s="1"/>
  <c r="N178" i="3"/>
  <c r="M178" i="3"/>
  <c r="M199" i="3"/>
  <c r="N199" i="3"/>
  <c r="Z204" i="5"/>
  <c r="G203" i="5"/>
  <c r="AJ55" i="5"/>
  <c r="E207" i="12"/>
  <c r="Y208" i="12"/>
  <c r="Z209" i="12"/>
  <c r="G208" i="12"/>
  <c r="B209" i="7"/>
  <c r="K208" i="7"/>
  <c r="C208" i="7"/>
  <c r="L208" i="7" s="1"/>
  <c r="E204" i="5"/>
  <c r="AA205" i="5"/>
  <c r="AG205" i="5"/>
  <c r="E204" i="3"/>
  <c r="G205" i="3"/>
  <c r="M192" i="3" l="1"/>
  <c r="N185" i="3"/>
  <c r="N194" i="3"/>
  <c r="D3" i="4"/>
  <c r="F21" i="4" s="1"/>
  <c r="F23" i="4" s="1"/>
  <c r="F24" i="4" s="1"/>
  <c r="M190" i="3"/>
  <c r="N187" i="3"/>
  <c r="N176" i="3"/>
  <c r="M197" i="3"/>
  <c r="N189" i="3"/>
  <c r="N196" i="3"/>
  <c r="N195" i="3"/>
  <c r="N182" i="3"/>
  <c r="M188" i="3"/>
  <c r="M177" i="3"/>
  <c r="M180" i="3"/>
  <c r="M183" i="3"/>
  <c r="P174" i="3"/>
  <c r="R174" i="3" s="1"/>
  <c r="M184" i="3"/>
  <c r="N174" i="3"/>
  <c r="M201" i="3"/>
  <c r="U185" i="3"/>
  <c r="X185" i="3" s="1"/>
  <c r="P178" i="3"/>
  <c r="R178" i="3" s="1"/>
  <c r="U199" i="3"/>
  <c r="X199" i="3" s="1"/>
  <c r="M175" i="3"/>
  <c r="U201" i="3"/>
  <c r="X201" i="3" s="1"/>
  <c r="P181" i="3"/>
  <c r="R181" i="3" s="1"/>
  <c r="P192" i="3"/>
  <c r="R192" i="3" s="1"/>
  <c r="P176" i="3"/>
  <c r="S176" i="3" s="1"/>
  <c r="P183" i="3"/>
  <c r="R183" i="3" s="1"/>
  <c r="U176" i="3"/>
  <c r="W176" i="3" s="1"/>
  <c r="U189" i="3"/>
  <c r="X189" i="3" s="1"/>
  <c r="U173" i="3"/>
  <c r="W173" i="3" s="1"/>
  <c r="P180" i="3"/>
  <c r="R180" i="3" s="1"/>
  <c r="P201" i="3"/>
  <c r="S201" i="3" s="1"/>
  <c r="P198" i="3"/>
  <c r="S198" i="3" s="1"/>
  <c r="U194" i="3"/>
  <c r="X194" i="3" s="1"/>
  <c r="U197" i="3"/>
  <c r="X197" i="3" s="1"/>
  <c r="P187" i="3"/>
  <c r="R187" i="3" s="1"/>
  <c r="N198" i="3"/>
  <c r="U182" i="3"/>
  <c r="W182" i="3" s="1"/>
  <c r="U178" i="3"/>
  <c r="W178" i="3" s="1"/>
  <c r="N191" i="3"/>
  <c r="P196" i="3"/>
  <c r="R196" i="3" s="1"/>
  <c r="N173" i="3"/>
  <c r="P173" i="3"/>
  <c r="R173" i="3" s="1"/>
  <c r="M181" i="3"/>
  <c r="U187" i="3"/>
  <c r="X187" i="3" s="1"/>
  <c r="U174" i="3"/>
  <c r="X174" i="3" s="1"/>
  <c r="U177" i="3"/>
  <c r="W177" i="3" s="1"/>
  <c r="P177" i="3"/>
  <c r="R177" i="3" s="1"/>
  <c r="P185" i="3"/>
  <c r="S185" i="3" s="1"/>
  <c r="P191" i="3"/>
  <c r="R191" i="3" s="1"/>
  <c r="M173" i="3"/>
  <c r="U190" i="3"/>
  <c r="X190" i="3" s="1"/>
  <c r="N175" i="3"/>
  <c r="U188" i="3"/>
  <c r="X188" i="3" s="1"/>
  <c r="P189" i="3"/>
  <c r="S189" i="3" s="1"/>
  <c r="P175" i="3"/>
  <c r="S175" i="3" s="1"/>
  <c r="U198" i="3"/>
  <c r="X198" i="3" s="1"/>
  <c r="U191" i="3"/>
  <c r="W191" i="3" s="1"/>
  <c r="P195" i="3"/>
  <c r="R195" i="3" s="1"/>
  <c r="U192" i="3"/>
  <c r="W192" i="3" s="1"/>
  <c r="U181" i="3"/>
  <c r="X181" i="3" s="1"/>
  <c r="U184" i="3"/>
  <c r="X184" i="3" s="1"/>
  <c r="P182" i="3"/>
  <c r="S182" i="3" s="1"/>
  <c r="P199" i="3"/>
  <c r="S199" i="3" s="1"/>
  <c r="P194" i="3"/>
  <c r="S194" i="3" s="1"/>
  <c r="U180" i="3"/>
  <c r="W180" i="3" s="1"/>
  <c r="U183" i="3"/>
  <c r="X183" i="3" s="1"/>
  <c r="U196" i="3"/>
  <c r="X196" i="3" s="1"/>
  <c r="U175" i="3"/>
  <c r="X175" i="3" s="1"/>
  <c r="U195" i="3"/>
  <c r="W195" i="3" s="1"/>
  <c r="P188" i="3"/>
  <c r="R188" i="3" s="1"/>
  <c r="P190" i="3"/>
  <c r="S190" i="3" s="1"/>
  <c r="P197" i="3"/>
  <c r="S197" i="3" s="1"/>
  <c r="P184" i="3"/>
  <c r="S184" i="3" s="1"/>
  <c r="Z205" i="5"/>
  <c r="G204" i="5"/>
  <c r="Z210" i="12"/>
  <c r="G209" i="12"/>
  <c r="E208" i="12"/>
  <c r="Y209" i="12"/>
  <c r="K209" i="7"/>
  <c r="C209" i="7"/>
  <c r="L209" i="7" s="1"/>
  <c r="B210" i="7"/>
  <c r="AG206" i="5"/>
  <c r="E205" i="5"/>
  <c r="AA206" i="5"/>
  <c r="G206" i="3"/>
  <c r="E205" i="3"/>
  <c r="E6" i="4" l="1"/>
  <c r="E7" i="4"/>
  <c r="S181" i="3"/>
  <c r="R190" i="3"/>
  <c r="R201" i="3"/>
  <c r="R175" i="3"/>
  <c r="R198" i="3"/>
  <c r="R182" i="3"/>
  <c r="X182" i="3"/>
  <c r="X173" i="3"/>
  <c r="S195" i="3"/>
  <c r="W189" i="3"/>
  <c r="W185" i="3"/>
  <c r="S178" i="3"/>
  <c r="E16" i="4"/>
  <c r="E17" i="4" s="1"/>
  <c r="W184" i="3"/>
  <c r="W190" i="3"/>
  <c r="W197" i="3"/>
  <c r="S180" i="3"/>
  <c r="W181" i="3"/>
  <c r="W199" i="3"/>
  <c r="W188" i="3"/>
  <c r="X195" i="3"/>
  <c r="W201" i="3"/>
  <c r="X178" i="3"/>
  <c r="W175" i="3"/>
  <c r="W174" i="3"/>
  <c r="R189" i="3"/>
  <c r="W187" i="3"/>
  <c r="S174" i="3"/>
  <c r="S188" i="3"/>
  <c r="R197" i="3"/>
  <c r="S191" i="3"/>
  <c r="X192" i="3"/>
  <c r="R185" i="3"/>
  <c r="E10" i="4"/>
  <c r="E11" i="4" s="1"/>
  <c r="S192" i="3"/>
  <c r="X180" i="3"/>
  <c r="R194" i="3"/>
  <c r="S177" i="3"/>
  <c r="X176" i="3"/>
  <c r="S183" i="3"/>
  <c r="W183" i="3"/>
  <c r="S173" i="3"/>
  <c r="X191" i="3"/>
  <c r="S187" i="3"/>
  <c r="W194" i="3"/>
  <c r="R199" i="3"/>
  <c r="S196" i="3"/>
  <c r="W198" i="3"/>
  <c r="R184" i="3"/>
  <c r="W196" i="3"/>
  <c r="R176" i="3"/>
  <c r="X177" i="3"/>
  <c r="Z206" i="5"/>
  <c r="G205" i="5"/>
  <c r="E209" i="12"/>
  <c r="Y210" i="12"/>
  <c r="Z211" i="12"/>
  <c r="G210" i="12"/>
  <c r="C210" i="7"/>
  <c r="L210" i="7" s="1"/>
  <c r="B211" i="7"/>
  <c r="K210" i="7"/>
  <c r="AA207" i="5"/>
  <c r="E206" i="5"/>
  <c r="AG207" i="5"/>
  <c r="E206" i="3"/>
  <c r="G207" i="3"/>
  <c r="E18" i="4" l="1"/>
  <c r="E12" i="4"/>
  <c r="Z207" i="5"/>
  <c r="G206" i="5"/>
  <c r="Z212" i="12"/>
  <c r="G211" i="12"/>
  <c r="E210" i="12"/>
  <c r="Y211" i="12"/>
  <c r="K211" i="7"/>
  <c r="B212" i="7"/>
  <c r="C211" i="7"/>
  <c r="L211" i="7" s="1"/>
  <c r="AG208" i="5"/>
  <c r="E207" i="5"/>
  <c r="AA208" i="5"/>
  <c r="G208" i="3"/>
  <c r="E207" i="3"/>
  <c r="Z208" i="5" l="1"/>
  <c r="G207" i="5"/>
  <c r="E211" i="12"/>
  <c r="Y212" i="12"/>
  <c r="Z213" i="12"/>
  <c r="G212" i="12"/>
  <c r="K212" i="7"/>
  <c r="B213" i="7"/>
  <c r="C212" i="7"/>
  <c r="L212" i="7" s="1"/>
  <c r="AA209" i="5"/>
  <c r="E208" i="5"/>
  <c r="AG209" i="5"/>
  <c r="E208" i="3"/>
  <c r="G209" i="3"/>
  <c r="Z209" i="5" l="1"/>
  <c r="G208" i="5"/>
  <c r="Z214" i="12"/>
  <c r="G213" i="12"/>
  <c r="E212" i="12"/>
  <c r="Y213" i="12"/>
  <c r="C213" i="7"/>
  <c r="L213" i="7" s="1"/>
  <c r="K213" i="7"/>
  <c r="B214" i="7"/>
  <c r="AG210" i="5"/>
  <c r="AA210" i="5"/>
  <c r="E209" i="5"/>
  <c r="G210" i="3"/>
  <c r="E209" i="3"/>
  <c r="Z210" i="5" l="1"/>
  <c r="G209" i="5"/>
  <c r="E213" i="12"/>
  <c r="Y214" i="12"/>
  <c r="Z215" i="12"/>
  <c r="G214" i="12"/>
  <c r="B215" i="7"/>
  <c r="K214" i="7"/>
  <c r="C214" i="7"/>
  <c r="L214" i="7" s="1"/>
  <c r="AA211" i="5"/>
  <c r="E210" i="5"/>
  <c r="AG211" i="5"/>
  <c r="E210" i="3"/>
  <c r="G211" i="3"/>
  <c r="Z211" i="5" l="1"/>
  <c r="G210" i="5"/>
  <c r="Z216" i="12"/>
  <c r="G215" i="12"/>
  <c r="E214" i="12"/>
  <c r="Y215" i="12"/>
  <c r="B216" i="7"/>
  <c r="K215" i="7"/>
  <c r="C215" i="7"/>
  <c r="L215" i="7" s="1"/>
  <c r="AG212" i="5"/>
  <c r="AA212" i="5"/>
  <c r="E211" i="5"/>
  <c r="G212" i="3"/>
  <c r="E211" i="3"/>
  <c r="Z212" i="5" l="1"/>
  <c r="G211" i="5"/>
  <c r="E215" i="12"/>
  <c r="Y216" i="12"/>
  <c r="Z217" i="12"/>
  <c r="G216" i="12"/>
  <c r="K216" i="7"/>
  <c r="C216" i="7"/>
  <c r="L216" i="7" s="1"/>
  <c r="B217" i="7"/>
  <c r="AA213" i="5"/>
  <c r="E212" i="5"/>
  <c r="AG213" i="5"/>
  <c r="E212" i="3"/>
  <c r="G213" i="3"/>
  <c r="Z213" i="5" l="1"/>
  <c r="G212" i="5"/>
  <c r="Z218" i="12"/>
  <c r="G217" i="12"/>
  <c r="E216" i="12"/>
  <c r="Y217" i="12"/>
  <c r="C217" i="7"/>
  <c r="L217" i="7" s="1"/>
  <c r="B218" i="7"/>
  <c r="K217" i="7"/>
  <c r="AG214" i="5"/>
  <c r="AA214" i="5"/>
  <c r="E213" i="5"/>
  <c r="G214" i="3"/>
  <c r="E213" i="3"/>
  <c r="Z214" i="5" l="1"/>
  <c r="G213" i="5"/>
  <c r="E217" i="12"/>
  <c r="Y218" i="12"/>
  <c r="Z219" i="12"/>
  <c r="G218" i="12"/>
  <c r="B219" i="7"/>
  <c r="K218" i="7"/>
  <c r="C218" i="7"/>
  <c r="L218" i="7" s="1"/>
  <c r="AA215" i="5"/>
  <c r="E214" i="5"/>
  <c r="AG215" i="5"/>
  <c r="E214" i="3"/>
  <c r="G215" i="3"/>
  <c r="Z215" i="5" l="1"/>
  <c r="G214" i="5"/>
  <c r="Z220" i="12"/>
  <c r="G219" i="12"/>
  <c r="E218" i="12"/>
  <c r="Y219" i="12"/>
  <c r="C219" i="7"/>
  <c r="L219" i="7" s="1"/>
  <c r="B220" i="7"/>
  <c r="K219" i="7"/>
  <c r="AG216" i="5"/>
  <c r="AA216" i="5"/>
  <c r="E215" i="5"/>
  <c r="G216" i="3"/>
  <c r="E215" i="3"/>
  <c r="Z216" i="5" l="1"/>
  <c r="G215" i="5"/>
  <c r="E219" i="12"/>
  <c r="Y220" i="12"/>
  <c r="Z221" i="12"/>
  <c r="G220" i="12"/>
  <c r="K220" i="7"/>
  <c r="B221" i="7"/>
  <c r="C220" i="7"/>
  <c r="L220" i="7" s="1"/>
  <c r="AA217" i="5"/>
  <c r="E216" i="5"/>
  <c r="AG217" i="5"/>
  <c r="E216" i="3"/>
  <c r="G217" i="3"/>
  <c r="Z217" i="5" l="1"/>
  <c r="G216" i="5"/>
  <c r="Z222" i="12"/>
  <c r="G221" i="12"/>
  <c r="E220" i="12"/>
  <c r="Y221" i="12"/>
  <c r="C221" i="7"/>
  <c r="L221" i="7" s="1"/>
  <c r="B222" i="7"/>
  <c r="K221" i="7"/>
  <c r="AG218" i="5"/>
  <c r="AA218" i="5"/>
  <c r="E217" i="5"/>
  <c r="G218" i="3"/>
  <c r="E217" i="3"/>
  <c r="Z218" i="5" l="1"/>
  <c r="G217" i="5"/>
  <c r="E221" i="12"/>
  <c r="Y222" i="12"/>
  <c r="Z223" i="12"/>
  <c r="G222" i="12"/>
  <c r="C222" i="7"/>
  <c r="L222" i="7" s="1"/>
  <c r="B223" i="7"/>
  <c r="K222" i="7"/>
  <c r="AA219" i="5"/>
  <c r="E218" i="5"/>
  <c r="AG219" i="5"/>
  <c r="E218" i="3"/>
  <c r="G219" i="3"/>
  <c r="Z219" i="5" l="1"/>
  <c r="G218" i="5"/>
  <c r="Z224" i="12"/>
  <c r="G223" i="12"/>
  <c r="E222" i="12"/>
  <c r="Y223" i="12"/>
  <c r="B224" i="7"/>
  <c r="K223" i="7"/>
  <c r="C223" i="7"/>
  <c r="L223" i="7" s="1"/>
  <c r="AG220" i="5"/>
  <c r="AA220" i="5"/>
  <c r="E219" i="5"/>
  <c r="G220" i="3"/>
  <c r="E219" i="3"/>
  <c r="Z220" i="5" l="1"/>
  <c r="G219" i="5"/>
  <c r="E223" i="12"/>
  <c r="Y224" i="12"/>
  <c r="Z225" i="12"/>
  <c r="G224" i="12"/>
  <c r="K224" i="7"/>
  <c r="C224" i="7"/>
  <c r="L224" i="7" s="1"/>
  <c r="B225" i="7"/>
  <c r="AA221" i="5"/>
  <c r="E220" i="5"/>
  <c r="AG221" i="5"/>
  <c r="E220" i="3"/>
  <c r="G221" i="3"/>
  <c r="Z221" i="5" l="1"/>
  <c r="G220" i="5"/>
  <c r="Z226" i="12"/>
  <c r="G225" i="12"/>
  <c r="E224" i="12"/>
  <c r="Y225" i="12"/>
  <c r="K225" i="7"/>
  <c r="B226" i="7"/>
  <c r="C225" i="7"/>
  <c r="L225" i="7" s="1"/>
  <c r="AG222" i="5"/>
  <c r="AA222" i="5"/>
  <c r="E221" i="5"/>
  <c r="G222" i="3"/>
  <c r="E221" i="3"/>
  <c r="Z222" i="5" l="1"/>
  <c r="G221" i="5"/>
  <c r="E225" i="12"/>
  <c r="Y226" i="12"/>
  <c r="Z227" i="12"/>
  <c r="G226" i="12"/>
  <c r="B227" i="7"/>
  <c r="K226" i="7"/>
  <c r="C226" i="7"/>
  <c r="L226" i="7" s="1"/>
  <c r="AA223" i="5"/>
  <c r="E222" i="5"/>
  <c r="AG223" i="5"/>
  <c r="E222" i="3"/>
  <c r="G223" i="3"/>
  <c r="Z223" i="5" l="1"/>
  <c r="G222" i="5"/>
  <c r="Z228" i="12"/>
  <c r="G227" i="12"/>
  <c r="E226" i="12"/>
  <c r="Y227" i="12"/>
  <c r="C227" i="7"/>
  <c r="L227" i="7" s="1"/>
  <c r="B228" i="7"/>
  <c r="K227" i="7"/>
  <c r="AG224" i="5"/>
  <c r="AA224" i="5"/>
  <c r="E223" i="5"/>
  <c r="G224" i="3"/>
  <c r="E223" i="3"/>
  <c r="Z224" i="5" l="1"/>
  <c r="G223" i="5"/>
  <c r="E227" i="12"/>
  <c r="Y228" i="12"/>
  <c r="Z229" i="12"/>
  <c r="G228" i="12"/>
  <c r="C228" i="7"/>
  <c r="L228" i="7" s="1"/>
  <c r="K228" i="7"/>
  <c r="B229" i="7"/>
  <c r="AA225" i="5"/>
  <c r="E224" i="5"/>
  <c r="AG225" i="5"/>
  <c r="E224" i="3"/>
  <c r="G225" i="3"/>
  <c r="Z225" i="5" l="1"/>
  <c r="G224" i="5"/>
  <c r="Z230" i="12"/>
  <c r="G229" i="12"/>
  <c r="E228" i="12"/>
  <c r="Y229" i="12"/>
  <c r="B230" i="7"/>
  <c r="K229" i="7"/>
  <c r="C229" i="7"/>
  <c r="L229" i="7" s="1"/>
  <c r="AG226" i="5"/>
  <c r="AA226" i="5"/>
  <c r="E225" i="5"/>
  <c r="G226" i="3"/>
  <c r="E225" i="3"/>
  <c r="Z226" i="5" l="1"/>
  <c r="G225" i="5"/>
  <c r="E229" i="12"/>
  <c r="Y230" i="12"/>
  <c r="Z231" i="12"/>
  <c r="G230" i="12"/>
  <c r="C230" i="7"/>
  <c r="L230" i="7" s="1"/>
  <c r="B231" i="7"/>
  <c r="K230" i="7"/>
  <c r="AA227" i="5"/>
  <c r="E226" i="5"/>
  <c r="AG227" i="5"/>
  <c r="E226" i="3"/>
  <c r="G227" i="3"/>
  <c r="Z227" i="5" l="1"/>
  <c r="G226" i="5"/>
  <c r="G231" i="12"/>
  <c r="Z232" i="12"/>
  <c r="E230" i="12"/>
  <c r="Y231" i="12"/>
  <c r="B232" i="7"/>
  <c r="K231" i="7"/>
  <c r="C231" i="7"/>
  <c r="L231" i="7" s="1"/>
  <c r="AG228" i="5"/>
  <c r="AA228" i="5"/>
  <c r="E227" i="5"/>
  <c r="G228" i="3"/>
  <c r="E227" i="3"/>
  <c r="Z228" i="5" l="1"/>
  <c r="G227" i="5"/>
  <c r="E231" i="12"/>
  <c r="Y232" i="12"/>
  <c r="G232" i="12"/>
  <c r="Z233" i="12"/>
  <c r="B233" i="7"/>
  <c r="K232" i="7"/>
  <c r="C232" i="7"/>
  <c r="L232" i="7" s="1"/>
  <c r="E228" i="5"/>
  <c r="AA229" i="5"/>
  <c r="AG229" i="5"/>
  <c r="E228" i="3"/>
  <c r="G229" i="3"/>
  <c r="Z229" i="5" l="1"/>
  <c r="G228" i="5"/>
  <c r="G233" i="12"/>
  <c r="Z234" i="12"/>
  <c r="E232" i="12"/>
  <c r="Y233" i="12"/>
  <c r="B234" i="7"/>
  <c r="K233" i="7"/>
  <c r="C233" i="7"/>
  <c r="L233" i="7" s="1"/>
  <c r="AG230" i="5"/>
  <c r="E229" i="5"/>
  <c r="AA230" i="5"/>
  <c r="G230" i="3"/>
  <c r="E229" i="3"/>
  <c r="Z230" i="5" l="1"/>
  <c r="G229" i="5"/>
  <c r="Y234" i="12"/>
  <c r="E233" i="12"/>
  <c r="G234" i="12"/>
  <c r="Z235" i="12"/>
  <c r="B235" i="7"/>
  <c r="C234" i="7"/>
  <c r="L234" i="7" s="1"/>
  <c r="K234" i="7"/>
  <c r="AA231" i="5"/>
  <c r="E230" i="5"/>
  <c r="AG231" i="5"/>
  <c r="E230" i="3"/>
  <c r="G231" i="3"/>
  <c r="Z231" i="5" l="1"/>
  <c r="G230" i="5"/>
  <c r="G235" i="12"/>
  <c r="Z236" i="12"/>
  <c r="Y235" i="12"/>
  <c r="E234" i="12"/>
  <c r="B239" i="7"/>
  <c r="C235" i="7"/>
  <c r="L235" i="7" s="1"/>
  <c r="K235" i="7"/>
  <c r="AG232" i="5"/>
  <c r="E231" i="5"/>
  <c r="AA232" i="5"/>
  <c r="G232" i="3"/>
  <c r="E231" i="3"/>
  <c r="AC66" i="3" l="1"/>
  <c r="AC68" i="3"/>
  <c r="AD65" i="3"/>
  <c r="AC64" i="3"/>
  <c r="AC67" i="3"/>
  <c r="AD67" i="3"/>
  <c r="AD63" i="3"/>
  <c r="AC63" i="3"/>
  <c r="AD69" i="3"/>
  <c r="AD68" i="3"/>
  <c r="AC69" i="3"/>
  <c r="AC65" i="3"/>
  <c r="AD64" i="3"/>
  <c r="AD66" i="3"/>
  <c r="Z232" i="5"/>
  <c r="G231" i="5"/>
  <c r="E235" i="12"/>
  <c r="Y236" i="12"/>
  <c r="G236" i="12"/>
  <c r="Z237" i="12"/>
  <c r="K239" i="7"/>
  <c r="C239" i="7"/>
  <c r="L239" i="7" s="1"/>
  <c r="B240" i="7"/>
  <c r="E232" i="5"/>
  <c r="AA233" i="5"/>
  <c r="AG233" i="5"/>
  <c r="E232" i="3"/>
  <c r="G233" i="3"/>
  <c r="Z233" i="5" l="1"/>
  <c r="G232" i="5"/>
  <c r="AE62" i="5" s="1"/>
  <c r="AF64" i="5"/>
  <c r="AE68" i="5"/>
  <c r="AF63" i="5"/>
  <c r="AE64" i="5"/>
  <c r="AE67" i="5"/>
  <c r="AF67" i="5"/>
  <c r="AE66" i="5"/>
  <c r="AF62" i="5"/>
  <c r="AF68" i="5"/>
  <c r="AE63" i="5"/>
  <c r="G237" i="12"/>
  <c r="Z238" i="12"/>
  <c r="E236" i="12"/>
  <c r="Y237" i="12"/>
  <c r="C240" i="7"/>
  <c r="L240" i="7" s="1"/>
  <c r="B241" i="7"/>
  <c r="K240" i="7"/>
  <c r="AG234" i="5"/>
  <c r="E233" i="5"/>
  <c r="AA234" i="5"/>
  <c r="G234" i="3"/>
  <c r="E233" i="3"/>
  <c r="AF65" i="5" l="1"/>
  <c r="AE65" i="5"/>
  <c r="AF66" i="5"/>
  <c r="AH66" i="5" s="1"/>
  <c r="AI66" i="5" s="1"/>
  <c r="AE67" i="3" s="1"/>
  <c r="AF67" i="3" s="1"/>
  <c r="AH64" i="5"/>
  <c r="AI64" i="5" s="1"/>
  <c r="AE65" i="3" s="1"/>
  <c r="L203" i="3" s="1"/>
  <c r="AH63" i="5"/>
  <c r="AI63" i="5" s="1"/>
  <c r="AE64" i="3" s="1"/>
  <c r="AF64" i="3" s="1"/>
  <c r="Z234" i="5"/>
  <c r="G233" i="5"/>
  <c r="AH67" i="5"/>
  <c r="AI67" i="5" s="1"/>
  <c r="AE68" i="3" s="1"/>
  <c r="AF68" i="3" s="1"/>
  <c r="AH62" i="5"/>
  <c r="AI62" i="5" s="1"/>
  <c r="AE63" i="3" s="1"/>
  <c r="AF63" i="3" s="1"/>
  <c r="AH68" i="5"/>
  <c r="AI68" i="5" s="1"/>
  <c r="AE69" i="3" s="1"/>
  <c r="E237" i="12"/>
  <c r="Y238" i="12"/>
  <c r="G238" i="12"/>
  <c r="Z239" i="12"/>
  <c r="K241" i="7"/>
  <c r="B242" i="7"/>
  <c r="C241" i="7"/>
  <c r="L241" i="7" s="1"/>
  <c r="AA235" i="5"/>
  <c r="E234" i="5"/>
  <c r="AG235" i="5"/>
  <c r="E234" i="3"/>
  <c r="G235" i="3"/>
  <c r="AH65" i="5" l="1"/>
  <c r="AI65" i="5" s="1"/>
  <c r="AE66" i="3" s="1"/>
  <c r="L218" i="3" s="1"/>
  <c r="N218" i="3" s="1"/>
  <c r="AF65" i="3"/>
  <c r="L210" i="3"/>
  <c r="N210" i="3" s="1"/>
  <c r="L230" i="3"/>
  <c r="M230" i="3" s="1"/>
  <c r="L223" i="3"/>
  <c r="M223" i="3" s="1"/>
  <c r="L202" i="3"/>
  <c r="M202" i="3" s="1"/>
  <c r="L205" i="3"/>
  <c r="M205" i="3" s="1"/>
  <c r="L204" i="3"/>
  <c r="N204" i="3" s="1"/>
  <c r="L225" i="3"/>
  <c r="M225" i="3" s="1"/>
  <c r="L209" i="3"/>
  <c r="N209" i="3" s="1"/>
  <c r="L220" i="3"/>
  <c r="N220" i="3" s="1"/>
  <c r="L206" i="3"/>
  <c r="L219" i="3"/>
  <c r="N219" i="3" s="1"/>
  <c r="L216" i="3"/>
  <c r="M216" i="3" s="1"/>
  <c r="L229" i="3"/>
  <c r="N229" i="3" s="1"/>
  <c r="L232" i="3"/>
  <c r="AF66" i="3"/>
  <c r="AF69" i="3" s="1"/>
  <c r="L231" i="3"/>
  <c r="N231" i="3" s="1"/>
  <c r="L208" i="3"/>
  <c r="L224" i="3"/>
  <c r="N224" i="3" s="1"/>
  <c r="L215" i="3"/>
  <c r="M215" i="3" s="1"/>
  <c r="L211" i="3"/>
  <c r="M211" i="3" s="1"/>
  <c r="L227" i="3"/>
  <c r="M227" i="3" s="1"/>
  <c r="L226" i="3"/>
  <c r="M226" i="3" s="1"/>
  <c r="L217" i="3"/>
  <c r="N217" i="3" s="1"/>
  <c r="L213" i="3"/>
  <c r="M213" i="3" s="1"/>
  <c r="L212" i="3"/>
  <c r="N212" i="3" s="1"/>
  <c r="Z235" i="5"/>
  <c r="G234" i="5"/>
  <c r="AJ62" i="5"/>
  <c r="N203" i="3"/>
  <c r="M203" i="3"/>
  <c r="M218" i="3"/>
  <c r="G239" i="12"/>
  <c r="Z240" i="12"/>
  <c r="E238" i="12"/>
  <c r="Y239" i="12"/>
  <c r="B243" i="7"/>
  <c r="K242" i="7"/>
  <c r="C242" i="7"/>
  <c r="L242" i="7" s="1"/>
  <c r="AG236" i="5"/>
  <c r="E235" i="5"/>
  <c r="AA236" i="5"/>
  <c r="G236" i="3"/>
  <c r="E235" i="3"/>
  <c r="M210" i="3" l="1"/>
  <c r="N230" i="3"/>
  <c r="N223" i="3"/>
  <c r="P203" i="3"/>
  <c r="S203" i="3" s="1"/>
  <c r="U202" i="3"/>
  <c r="W202" i="3" s="1"/>
  <c r="N205" i="3"/>
  <c r="M209" i="3"/>
  <c r="U203" i="3"/>
  <c r="W203" i="3" s="1"/>
  <c r="N202" i="3"/>
  <c r="P202" i="3"/>
  <c r="R202" i="3" s="1"/>
  <c r="P204" i="3"/>
  <c r="S204" i="3" s="1"/>
  <c r="P206" i="3"/>
  <c r="S206" i="3" s="1"/>
  <c r="U205" i="3"/>
  <c r="W205" i="3" s="1"/>
  <c r="U204" i="3"/>
  <c r="X204" i="3" s="1"/>
  <c r="M204" i="3"/>
  <c r="P205" i="3"/>
  <c r="S205" i="3" s="1"/>
  <c r="N225" i="3"/>
  <c r="M231" i="3"/>
  <c r="M229" i="3"/>
  <c r="N227" i="3"/>
  <c r="M217" i="3"/>
  <c r="N213" i="3"/>
  <c r="U206" i="3"/>
  <c r="X206" i="3" s="1"/>
  <c r="N216" i="3"/>
  <c r="N226" i="3"/>
  <c r="M219" i="3"/>
  <c r="M206" i="3"/>
  <c r="M220" i="3"/>
  <c r="N211" i="3"/>
  <c r="U210" i="3"/>
  <c r="W210" i="3" s="1"/>
  <c r="N206" i="3"/>
  <c r="U216" i="3"/>
  <c r="W216" i="3" s="1"/>
  <c r="U219" i="3"/>
  <c r="W219" i="3" s="1"/>
  <c r="P215" i="3"/>
  <c r="R215" i="3" s="1"/>
  <c r="U223" i="3"/>
  <c r="W223" i="3" s="1"/>
  <c r="N215" i="3"/>
  <c r="M208" i="3"/>
  <c r="U218" i="3"/>
  <c r="W218" i="3" s="1"/>
  <c r="P232" i="3"/>
  <c r="S232" i="3" s="1"/>
  <c r="P213" i="3"/>
  <c r="R213" i="3" s="1"/>
  <c r="N208" i="3"/>
  <c r="U225" i="3"/>
  <c r="X225" i="3" s="1"/>
  <c r="U212" i="3"/>
  <c r="W212" i="3" s="1"/>
  <c r="P226" i="3"/>
  <c r="R226" i="3" s="1"/>
  <c r="P209" i="3"/>
  <c r="S209" i="3" s="1"/>
  <c r="P218" i="3"/>
  <c r="S218" i="3" s="1"/>
  <c r="P210" i="3"/>
  <c r="R210" i="3" s="1"/>
  <c r="U213" i="3"/>
  <c r="W213" i="3" s="1"/>
  <c r="N232" i="3"/>
  <c r="M232" i="3"/>
  <c r="U230" i="3"/>
  <c r="X230" i="3" s="1"/>
  <c r="P223" i="3"/>
  <c r="R223" i="3" s="1"/>
  <c r="P212" i="3"/>
  <c r="R212" i="3" s="1"/>
  <c r="U215" i="3"/>
  <c r="W215" i="3" s="1"/>
  <c r="U229" i="3"/>
  <c r="X229" i="3" s="1"/>
  <c r="M212" i="3"/>
  <c r="P208" i="3"/>
  <c r="S208" i="3" s="1"/>
  <c r="P229" i="3"/>
  <c r="S229" i="3" s="1"/>
  <c r="P216" i="3"/>
  <c r="S216" i="3" s="1"/>
  <c r="P225" i="3"/>
  <c r="S225" i="3" s="1"/>
  <c r="U209" i="3"/>
  <c r="W209" i="3" s="1"/>
  <c r="M224" i="3"/>
  <c r="U226" i="3"/>
  <c r="W226" i="3" s="1"/>
  <c r="P227" i="3"/>
  <c r="R227" i="3" s="1"/>
  <c r="P211" i="3"/>
  <c r="S211" i="3" s="1"/>
  <c r="U232" i="3"/>
  <c r="W232" i="3" s="1"/>
  <c r="U217" i="3"/>
  <c r="X217" i="3" s="1"/>
  <c r="U211" i="3"/>
  <c r="W211" i="3" s="1"/>
  <c r="U208" i="3"/>
  <c r="X208" i="3" s="1"/>
  <c r="U227" i="3"/>
  <c r="X227" i="3" s="1"/>
  <c r="U220" i="3"/>
  <c r="W220" i="3" s="1"/>
  <c r="U231" i="3"/>
  <c r="X231" i="3" s="1"/>
  <c r="P219" i="3"/>
  <c r="R219" i="3" s="1"/>
  <c r="P230" i="3"/>
  <c r="S230" i="3" s="1"/>
  <c r="P231" i="3"/>
  <c r="S231" i="3" s="1"/>
  <c r="U224" i="3"/>
  <c r="W224" i="3" s="1"/>
  <c r="P220" i="3"/>
  <c r="R220" i="3" s="1"/>
  <c r="P224" i="3"/>
  <c r="S224" i="3" s="1"/>
  <c r="P217" i="3"/>
  <c r="S217" i="3" s="1"/>
  <c r="Z236" i="5"/>
  <c r="G235" i="5"/>
  <c r="E239" i="12"/>
  <c r="Y240" i="12"/>
  <c r="G240" i="12"/>
  <c r="Z241" i="12"/>
  <c r="C243" i="7"/>
  <c r="L243" i="7" s="1"/>
  <c r="B244" i="7"/>
  <c r="K243" i="7"/>
  <c r="AA237" i="5"/>
  <c r="E236" i="5"/>
  <c r="AG237" i="5"/>
  <c r="E236" i="3"/>
  <c r="G237" i="3"/>
  <c r="R204" i="3" l="1"/>
  <c r="R203" i="3"/>
  <c r="X202" i="3"/>
  <c r="S202" i="3"/>
  <c r="X203" i="3"/>
  <c r="X224" i="3"/>
  <c r="S226" i="3"/>
  <c r="R206" i="3"/>
  <c r="X205" i="3"/>
  <c r="S210" i="3"/>
  <c r="R205" i="3"/>
  <c r="W204" i="3"/>
  <c r="S223" i="3"/>
  <c r="X211" i="3"/>
  <c r="R225" i="3"/>
  <c r="W206" i="3"/>
  <c r="S220" i="3"/>
  <c r="R211" i="3"/>
  <c r="X226" i="3"/>
  <c r="R229" i="3"/>
  <c r="X216" i="3"/>
  <c r="R208" i="3"/>
  <c r="R231" i="3"/>
  <c r="R230" i="3"/>
  <c r="X212" i="3"/>
  <c r="X219" i="3"/>
  <c r="X232" i="3"/>
  <c r="S219" i="3"/>
  <c r="R232" i="3"/>
  <c r="R216" i="3"/>
  <c r="W227" i="3"/>
  <c r="W217" i="3"/>
  <c r="X223" i="3"/>
  <c r="W208" i="3"/>
  <c r="X210" i="3"/>
  <c r="S215" i="3"/>
  <c r="W230" i="3"/>
  <c r="X209" i="3"/>
  <c r="S212" i="3"/>
  <c r="X215" i="3"/>
  <c r="W225" i="3"/>
  <c r="X218" i="3"/>
  <c r="R224" i="3"/>
  <c r="X213" i="3"/>
  <c r="W231" i="3"/>
  <c r="R218" i="3"/>
  <c r="S227" i="3"/>
  <c r="W229" i="3"/>
  <c r="X220" i="3"/>
  <c r="R209" i="3"/>
  <c r="S213" i="3"/>
  <c r="R217" i="3"/>
  <c r="Z237" i="5"/>
  <c r="G236" i="5"/>
  <c r="G241" i="12"/>
  <c r="Z242" i="12"/>
  <c r="E240" i="12"/>
  <c r="Y241" i="12"/>
  <c r="C244" i="7"/>
  <c r="L244" i="7" s="1"/>
  <c r="K244" i="7"/>
  <c r="B245" i="7"/>
  <c r="AG238" i="5"/>
  <c r="AA238" i="5"/>
  <c r="E237" i="5"/>
  <c r="G238" i="3"/>
  <c r="E237" i="3"/>
  <c r="Z238" i="5" l="1"/>
  <c r="G237" i="5"/>
  <c r="E241" i="12"/>
  <c r="Y242" i="12"/>
  <c r="G242" i="12"/>
  <c r="Z243" i="12"/>
  <c r="K245" i="7"/>
  <c r="B246" i="7"/>
  <c r="C245" i="7"/>
  <c r="L245" i="7" s="1"/>
  <c r="AA239" i="5"/>
  <c r="E238" i="5"/>
  <c r="AG239" i="5"/>
  <c r="E238" i="3"/>
  <c r="G239" i="3"/>
  <c r="Z239" i="5" l="1"/>
  <c r="G238" i="5"/>
  <c r="G243" i="12"/>
  <c r="Z244" i="12"/>
  <c r="E242" i="12"/>
  <c r="Y243" i="12"/>
  <c r="K246" i="7"/>
  <c r="B247" i="7"/>
  <c r="C246" i="7"/>
  <c r="L246" i="7" s="1"/>
  <c r="AG240" i="5"/>
  <c r="AA240" i="5"/>
  <c r="E239" i="5"/>
  <c r="G240" i="3"/>
  <c r="E239" i="3"/>
  <c r="Z240" i="5" l="1"/>
  <c r="G239" i="5"/>
  <c r="E243" i="12"/>
  <c r="Y244" i="12"/>
  <c r="G244" i="12"/>
  <c r="Z245" i="12"/>
  <c r="C247" i="7"/>
  <c r="L247" i="7" s="1"/>
  <c r="B248" i="7"/>
  <c r="K247" i="7"/>
  <c r="AA241" i="5"/>
  <c r="E240" i="5"/>
  <c r="AG241" i="5"/>
  <c r="E240" i="3"/>
  <c r="G241" i="3"/>
  <c r="Z241" i="5" l="1"/>
  <c r="G240" i="5"/>
  <c r="G245" i="12"/>
  <c r="Z246" i="12"/>
  <c r="E244" i="12"/>
  <c r="Y245" i="12"/>
  <c r="B249" i="7"/>
  <c r="C248" i="7"/>
  <c r="L248" i="7" s="1"/>
  <c r="K248" i="7"/>
  <c r="AG242" i="5"/>
  <c r="AA242" i="5"/>
  <c r="E241" i="5"/>
  <c r="G242" i="3"/>
  <c r="E241" i="3"/>
  <c r="Z242" i="5" l="1"/>
  <c r="G241" i="5"/>
  <c r="E245" i="12"/>
  <c r="Y246" i="12"/>
  <c r="G246" i="12"/>
  <c r="Z247" i="12"/>
  <c r="B250" i="7"/>
  <c r="C249" i="7"/>
  <c r="L249" i="7" s="1"/>
  <c r="K249" i="7"/>
  <c r="AA243" i="5"/>
  <c r="E242" i="5"/>
  <c r="AG243" i="5"/>
  <c r="E242" i="3"/>
  <c r="G243" i="3"/>
  <c r="Z243" i="5" l="1"/>
  <c r="G242" i="5"/>
  <c r="G247" i="12"/>
  <c r="Z248" i="12"/>
  <c r="E246" i="12"/>
  <c r="Y247" i="12"/>
  <c r="B251" i="7"/>
  <c r="K250" i="7"/>
  <c r="C250" i="7"/>
  <c r="L250" i="7" s="1"/>
  <c r="AG244" i="5"/>
  <c r="AA244" i="5"/>
  <c r="E243" i="5"/>
  <c r="G244" i="3"/>
  <c r="E243" i="3"/>
  <c r="Z244" i="5" l="1"/>
  <c r="G243" i="5"/>
  <c r="E247" i="12"/>
  <c r="Y248" i="12"/>
  <c r="G248" i="12"/>
  <c r="Z249" i="12"/>
  <c r="K251" i="7"/>
  <c r="B252" i="7"/>
  <c r="C251" i="7"/>
  <c r="L251" i="7" s="1"/>
  <c r="E244" i="5"/>
  <c r="AA245" i="5"/>
  <c r="AG245" i="5"/>
  <c r="E244" i="3"/>
  <c r="G245" i="3"/>
  <c r="Z245" i="5" l="1"/>
  <c r="G244" i="5"/>
  <c r="G249" i="12"/>
  <c r="Z250" i="12"/>
  <c r="E248" i="12"/>
  <c r="Y249" i="12"/>
  <c r="C252" i="7"/>
  <c r="L252" i="7" s="1"/>
  <c r="B253" i="7"/>
  <c r="K252" i="7"/>
  <c r="AG246" i="5"/>
  <c r="E245" i="5"/>
  <c r="AA246" i="5"/>
  <c r="G246" i="3"/>
  <c r="E245" i="3"/>
  <c r="Z246" i="5" l="1"/>
  <c r="G245" i="5"/>
  <c r="E249" i="12"/>
  <c r="Y250" i="12"/>
  <c r="G250" i="12"/>
  <c r="Z251" i="12"/>
  <c r="C253" i="7"/>
  <c r="L253" i="7" s="1"/>
  <c r="B254" i="7"/>
  <c r="K253" i="7"/>
  <c r="AA247" i="5"/>
  <c r="E246" i="5"/>
  <c r="AG247" i="5"/>
  <c r="E246" i="3"/>
  <c r="G247" i="3"/>
  <c r="Z247" i="5" l="1"/>
  <c r="G246" i="5"/>
  <c r="G251" i="12"/>
  <c r="Z252" i="12"/>
  <c r="E250" i="12"/>
  <c r="Y251" i="12"/>
  <c r="B255" i="7"/>
  <c r="K254" i="7"/>
  <c r="C254" i="7"/>
  <c r="L254" i="7" s="1"/>
  <c r="AG248" i="5"/>
  <c r="AA248" i="5"/>
  <c r="E247" i="5"/>
  <c r="G248" i="3"/>
  <c r="E247" i="3"/>
  <c r="Z248" i="5" l="1"/>
  <c r="G247" i="5"/>
  <c r="E251" i="12"/>
  <c r="Y252" i="12"/>
  <c r="G252" i="12"/>
  <c r="Z253" i="12"/>
  <c r="B256" i="7"/>
  <c r="K255" i="7"/>
  <c r="C255" i="7"/>
  <c r="L255" i="7" s="1"/>
  <c r="AA249" i="5"/>
  <c r="E248" i="5"/>
  <c r="AG249" i="5"/>
  <c r="E248" i="3"/>
  <c r="G249" i="3"/>
  <c r="Z249" i="5" l="1"/>
  <c r="G248" i="5"/>
  <c r="G253" i="12"/>
  <c r="Z254" i="12"/>
  <c r="E252" i="12"/>
  <c r="Y253" i="12"/>
  <c r="C256" i="7"/>
  <c r="L256" i="7" s="1"/>
  <c r="B257" i="7"/>
  <c r="K256" i="7"/>
  <c r="AG250" i="5"/>
  <c r="AA250" i="5"/>
  <c r="E249" i="5"/>
  <c r="E249" i="3"/>
  <c r="G250" i="3"/>
  <c r="Z250" i="5" l="1"/>
  <c r="G249" i="5"/>
  <c r="E253" i="12"/>
  <c r="Y254" i="12"/>
  <c r="G254" i="12"/>
  <c r="Z255" i="12"/>
  <c r="K257" i="7"/>
  <c r="B258" i="7"/>
  <c r="C257" i="7"/>
  <c r="L257" i="7" s="1"/>
  <c r="AA251" i="5"/>
  <c r="E250" i="5"/>
  <c r="AG251" i="5"/>
  <c r="G251" i="3"/>
  <c r="E250" i="3"/>
  <c r="Z251" i="5" l="1"/>
  <c r="G250" i="5"/>
  <c r="G255" i="12"/>
  <c r="Z256" i="12"/>
  <c r="E254" i="12"/>
  <c r="Y255" i="12"/>
  <c r="B259" i="7"/>
  <c r="C258" i="7"/>
  <c r="L258" i="7" s="1"/>
  <c r="K258" i="7"/>
  <c r="AG252" i="5"/>
  <c r="AA252" i="5"/>
  <c r="E251" i="5"/>
  <c r="E251" i="3"/>
  <c r="G252" i="3"/>
  <c r="Z252" i="5" l="1"/>
  <c r="G251" i="5"/>
  <c r="E255" i="12"/>
  <c r="Y256" i="12"/>
  <c r="G256" i="12"/>
  <c r="Z257" i="12"/>
  <c r="C259" i="7"/>
  <c r="L259" i="7" s="1"/>
  <c r="K259" i="7"/>
  <c r="B260" i="7"/>
  <c r="E252" i="5"/>
  <c r="AA253" i="5"/>
  <c r="AG253" i="5"/>
  <c r="G253" i="3"/>
  <c r="E252" i="3"/>
  <c r="Z253" i="5" l="1"/>
  <c r="G252" i="5"/>
  <c r="G257" i="12"/>
  <c r="Z258" i="12"/>
  <c r="E256" i="12"/>
  <c r="Y257" i="12"/>
  <c r="C260" i="7"/>
  <c r="L260" i="7" s="1"/>
  <c r="B261" i="7"/>
  <c r="K260" i="7"/>
  <c r="AG254" i="5"/>
  <c r="E253" i="5"/>
  <c r="AA254" i="5"/>
  <c r="E253" i="3"/>
  <c r="G254" i="3"/>
  <c r="Z254" i="5" l="1"/>
  <c r="G253" i="5"/>
  <c r="E257" i="12"/>
  <c r="Y258" i="12"/>
  <c r="G258" i="12"/>
  <c r="Z259" i="12"/>
  <c r="B262" i="7"/>
  <c r="C261" i="7"/>
  <c r="L261" i="7" s="1"/>
  <c r="K261" i="7"/>
  <c r="AA255" i="5"/>
  <c r="E254" i="5"/>
  <c r="AG255" i="5"/>
  <c r="G255" i="3"/>
  <c r="E254" i="3"/>
  <c r="Z255" i="5" l="1"/>
  <c r="G254" i="5"/>
  <c r="G259" i="12"/>
  <c r="Z260" i="12"/>
  <c r="E258" i="12"/>
  <c r="Y259" i="12"/>
  <c r="K262" i="7"/>
  <c r="C262" i="7"/>
  <c r="L262" i="7" s="1"/>
  <c r="B263" i="7"/>
  <c r="AG256" i="5"/>
  <c r="E255" i="5"/>
  <c r="AA256" i="5"/>
  <c r="E255" i="3"/>
  <c r="G256" i="3"/>
  <c r="Z256" i="5" l="1"/>
  <c r="G255" i="5"/>
  <c r="E259" i="12"/>
  <c r="Y260" i="12"/>
  <c r="G260" i="12"/>
  <c r="Z261" i="12"/>
  <c r="C263" i="7"/>
  <c r="L263" i="7" s="1"/>
  <c r="B264" i="7"/>
  <c r="K263" i="7"/>
  <c r="E256" i="5"/>
  <c r="AA257" i="5"/>
  <c r="AG257" i="5"/>
  <c r="G257" i="3"/>
  <c r="E256" i="3"/>
  <c r="Z257" i="5" l="1"/>
  <c r="G256" i="5"/>
  <c r="G261" i="12"/>
  <c r="Z262" i="12"/>
  <c r="E260" i="12"/>
  <c r="Y261" i="12"/>
  <c r="K264" i="7"/>
  <c r="C264" i="7"/>
  <c r="L264" i="7" s="1"/>
  <c r="B265" i="7"/>
  <c r="AG258" i="5"/>
  <c r="E257" i="5"/>
  <c r="AA258" i="5"/>
  <c r="E257" i="3"/>
  <c r="G258" i="3"/>
  <c r="Z258" i="5" l="1"/>
  <c r="G257" i="5"/>
  <c r="E261" i="12"/>
  <c r="Y262" i="12"/>
  <c r="G262" i="12"/>
  <c r="Z263" i="12"/>
  <c r="C265" i="7"/>
  <c r="L265" i="7" s="1"/>
  <c r="B266" i="7"/>
  <c r="K265" i="7"/>
  <c r="E258" i="5"/>
  <c r="AA259" i="5"/>
  <c r="AG259" i="5"/>
  <c r="G259" i="3"/>
  <c r="E258" i="3"/>
  <c r="Z259" i="5" l="1"/>
  <c r="G258" i="5"/>
  <c r="G263" i="12"/>
  <c r="Z264" i="12"/>
  <c r="E262" i="12"/>
  <c r="Y263" i="12"/>
  <c r="B267" i="7"/>
  <c r="C266" i="7"/>
  <c r="L266" i="7" s="1"/>
  <c r="K266" i="7"/>
  <c r="AG260" i="5"/>
  <c r="E259" i="5"/>
  <c r="AA260" i="5"/>
  <c r="E259" i="3"/>
  <c r="G260" i="3"/>
  <c r="Z260" i="5" l="1"/>
  <c r="G259" i="5"/>
  <c r="G264" i="12"/>
  <c r="Z265" i="12"/>
  <c r="E263" i="12"/>
  <c r="Y264" i="12"/>
  <c r="B268" i="7"/>
  <c r="K267" i="7"/>
  <c r="C267" i="7"/>
  <c r="L267" i="7" s="1"/>
  <c r="AG261" i="5"/>
  <c r="E260" i="5"/>
  <c r="AA261" i="5"/>
  <c r="G261" i="3"/>
  <c r="E260" i="3"/>
  <c r="Z261" i="5" l="1"/>
  <c r="G260" i="5"/>
  <c r="E264" i="12"/>
  <c r="Y265" i="12"/>
  <c r="G265" i="12"/>
  <c r="Z266" i="12"/>
  <c r="K268" i="7"/>
  <c r="B269" i="7"/>
  <c r="C268" i="7"/>
  <c r="L268" i="7" s="1"/>
  <c r="E261" i="5"/>
  <c r="AA262" i="5"/>
  <c r="AG262" i="5"/>
  <c r="E261" i="3"/>
  <c r="G262" i="3"/>
  <c r="Z262" i="5" l="1"/>
  <c r="G261" i="5"/>
  <c r="G266" i="12"/>
  <c r="Z267" i="12"/>
  <c r="E265" i="12"/>
  <c r="Y266" i="12"/>
  <c r="B273" i="7"/>
  <c r="K269" i="7"/>
  <c r="C269" i="7"/>
  <c r="L269" i="7" s="1"/>
  <c r="AG263" i="5"/>
  <c r="AA263" i="5"/>
  <c r="E262" i="5"/>
  <c r="G263" i="3"/>
  <c r="E262" i="3"/>
  <c r="AC71" i="3" l="1"/>
  <c r="AD70" i="3"/>
  <c r="AD76" i="3"/>
  <c r="AC73" i="3"/>
  <c r="AD75" i="3"/>
  <c r="AC76" i="3"/>
  <c r="AC72" i="3"/>
  <c r="AD74" i="3"/>
  <c r="AC70" i="3"/>
  <c r="AC74" i="3"/>
  <c r="AD71" i="3"/>
  <c r="AD73" i="3"/>
  <c r="AD72" i="3"/>
  <c r="AC75" i="3"/>
  <c r="Z263" i="5"/>
  <c r="G262" i="5"/>
  <c r="E266" i="12"/>
  <c r="Y267" i="12"/>
  <c r="G267" i="12"/>
  <c r="Z268" i="12"/>
  <c r="K273" i="7"/>
  <c r="C273" i="7"/>
  <c r="L273" i="7" s="1"/>
  <c r="B274" i="7"/>
  <c r="AA264" i="5"/>
  <c r="E263" i="5"/>
  <c r="AG264" i="5"/>
  <c r="E263" i="3"/>
  <c r="G264" i="3"/>
  <c r="Z264" i="5" l="1"/>
  <c r="G263" i="5"/>
  <c r="AE75" i="5" s="1"/>
  <c r="AE72" i="5"/>
  <c r="G268" i="12"/>
  <c r="Z269" i="12"/>
  <c r="E267" i="12"/>
  <c r="Y268" i="12"/>
  <c r="C274" i="7"/>
  <c r="L274" i="7" s="1"/>
  <c r="K274" i="7"/>
  <c r="B275" i="7"/>
  <c r="AG265" i="5"/>
  <c r="E264" i="5"/>
  <c r="AA265" i="5"/>
  <c r="G265" i="3"/>
  <c r="E264" i="3"/>
  <c r="AE69" i="5" l="1"/>
  <c r="AE71" i="5"/>
  <c r="AF69" i="5"/>
  <c r="AH69" i="5" s="1"/>
  <c r="AI69" i="5" s="1"/>
  <c r="AE70" i="3" s="1"/>
  <c r="AF70" i="3" s="1"/>
  <c r="AF74" i="5"/>
  <c r="AF75" i="5"/>
  <c r="AH75" i="5" s="1"/>
  <c r="AI75" i="5" s="1"/>
  <c r="AE76" i="3" s="1"/>
  <c r="AF72" i="5"/>
  <c r="AH72" i="5" s="1"/>
  <c r="AI72" i="5" s="1"/>
  <c r="AE73" i="3" s="1"/>
  <c r="AE74" i="5"/>
  <c r="AF70" i="5"/>
  <c r="AF73" i="5"/>
  <c r="AE73" i="5"/>
  <c r="AE70" i="5"/>
  <c r="AF71" i="5"/>
  <c r="Z265" i="5"/>
  <c r="G264" i="5"/>
  <c r="E268" i="12"/>
  <c r="Y269" i="12"/>
  <c r="G269" i="12"/>
  <c r="Z270" i="12"/>
  <c r="B276" i="7"/>
  <c r="K275" i="7"/>
  <c r="C275" i="7"/>
  <c r="L275" i="7" s="1"/>
  <c r="E265" i="5"/>
  <c r="AA266" i="5"/>
  <c r="AG266" i="5"/>
  <c r="E265" i="3"/>
  <c r="G266" i="3"/>
  <c r="AH71" i="5" l="1"/>
  <c r="AI71" i="5" s="1"/>
  <c r="AE72" i="3" s="1"/>
  <c r="AF72" i="3" s="1"/>
  <c r="AH74" i="5"/>
  <c r="AI74" i="5" s="1"/>
  <c r="AE75" i="3" s="1"/>
  <c r="AF75" i="3" s="1"/>
  <c r="AF73" i="3"/>
  <c r="L239" i="3"/>
  <c r="M239" i="3" s="1"/>
  <c r="L253" i="3"/>
  <c r="M253" i="3" s="1"/>
  <c r="L260" i="3"/>
  <c r="M260" i="3" s="1"/>
  <c r="AH70" i="5"/>
  <c r="AI70" i="5" s="1"/>
  <c r="AE71" i="3" s="1"/>
  <c r="AF71" i="3" s="1"/>
  <c r="AH73" i="5"/>
  <c r="AI73" i="5" s="1"/>
  <c r="AE74" i="3" s="1"/>
  <c r="L262" i="3"/>
  <c r="N262" i="3" s="1"/>
  <c r="L241" i="3"/>
  <c r="N241" i="3" s="1"/>
  <c r="L250" i="3"/>
  <c r="M250" i="3" s="1"/>
  <c r="L255" i="3"/>
  <c r="N255" i="3" s="1"/>
  <c r="L257" i="3"/>
  <c r="M257" i="3" s="1"/>
  <c r="L236" i="3"/>
  <c r="N236" i="3" s="1"/>
  <c r="L238" i="3"/>
  <c r="N238" i="3" s="1"/>
  <c r="L252" i="3"/>
  <c r="M252" i="3" s="1"/>
  <c r="L259" i="3"/>
  <c r="N259" i="3" s="1"/>
  <c r="L234" i="3"/>
  <c r="N234" i="3" s="1"/>
  <c r="Z266" i="5"/>
  <c r="G265" i="5"/>
  <c r="G270" i="12"/>
  <c r="Z271" i="12"/>
  <c r="E269" i="12"/>
  <c r="Y270" i="12"/>
  <c r="B277" i="7"/>
  <c r="K276" i="7"/>
  <c r="C276" i="7"/>
  <c r="L276" i="7" s="1"/>
  <c r="AG267" i="5"/>
  <c r="E266" i="5"/>
  <c r="AA267" i="5"/>
  <c r="G267" i="3"/>
  <c r="E266" i="3"/>
  <c r="L237" i="3" l="1"/>
  <c r="N237" i="3" s="1"/>
  <c r="L251" i="3"/>
  <c r="N251" i="3" s="1"/>
  <c r="N253" i="3"/>
  <c r="N239" i="3"/>
  <c r="N260" i="3"/>
  <c r="AJ69" i="5"/>
  <c r="L258" i="3"/>
  <c r="N258" i="3" s="1"/>
  <c r="M262" i="3"/>
  <c r="M236" i="3"/>
  <c r="N250" i="3"/>
  <c r="M241" i="3"/>
  <c r="M255" i="3"/>
  <c r="N257" i="3"/>
  <c r="N252" i="3"/>
  <c r="M238" i="3"/>
  <c r="M259" i="3"/>
  <c r="M234" i="3"/>
  <c r="AF74" i="3"/>
  <c r="AF76" i="3" s="1"/>
  <c r="L240" i="3"/>
  <c r="L254" i="3"/>
  <c r="L261" i="3"/>
  <c r="L233" i="3"/>
  <c r="Z267" i="5"/>
  <c r="G266" i="5"/>
  <c r="E270" i="12"/>
  <c r="Y271" i="12"/>
  <c r="G271" i="12"/>
  <c r="Z272" i="12"/>
  <c r="K277" i="7"/>
  <c r="B278" i="7"/>
  <c r="C277" i="7"/>
  <c r="L277" i="7" s="1"/>
  <c r="E267" i="5"/>
  <c r="AA268" i="5"/>
  <c r="AG268" i="5"/>
  <c r="E267" i="3"/>
  <c r="G268" i="3"/>
  <c r="M237" i="3" l="1"/>
  <c r="M251" i="3"/>
  <c r="M258" i="3"/>
  <c r="P250" i="3"/>
  <c r="P259" i="3"/>
  <c r="P252" i="3"/>
  <c r="U252" i="3"/>
  <c r="U253" i="3"/>
  <c r="U240" i="3"/>
  <c r="P236" i="3"/>
  <c r="P239" i="3"/>
  <c r="M233" i="3"/>
  <c r="U238" i="3"/>
  <c r="U234" i="3"/>
  <c r="P255" i="3"/>
  <c r="U255" i="3"/>
  <c r="U233" i="3"/>
  <c r="P233" i="3"/>
  <c r="P260" i="3"/>
  <c r="P253" i="3"/>
  <c r="U260" i="3"/>
  <c r="U257" i="3"/>
  <c r="P237" i="3"/>
  <c r="P251" i="3"/>
  <c r="N233" i="3"/>
  <c r="U236" i="3"/>
  <c r="U237" i="3"/>
  <c r="U261" i="3"/>
  <c r="P262" i="3"/>
  <c r="P240" i="3"/>
  <c r="P261" i="3"/>
  <c r="U241" i="3"/>
  <c r="U254" i="3"/>
  <c r="P254" i="3"/>
  <c r="P241" i="3"/>
  <c r="U250" i="3"/>
  <c r="P234" i="3"/>
  <c r="P257" i="3"/>
  <c r="U251" i="3"/>
  <c r="U259" i="3"/>
  <c r="P258" i="3"/>
  <c r="P238" i="3"/>
  <c r="U262" i="3"/>
  <c r="U258" i="3"/>
  <c r="U239" i="3"/>
  <c r="M254" i="3"/>
  <c r="N254" i="3"/>
  <c r="N261" i="3"/>
  <c r="M261" i="3"/>
  <c r="M240" i="3"/>
  <c r="N240" i="3"/>
  <c r="Z268" i="5"/>
  <c r="G267" i="5"/>
  <c r="G272" i="12"/>
  <c r="Z273" i="12"/>
  <c r="E271" i="12"/>
  <c r="Y272" i="12"/>
  <c r="C278" i="7"/>
  <c r="L278" i="7" s="1"/>
  <c r="B279" i="7"/>
  <c r="K278" i="7"/>
  <c r="AG269" i="5"/>
  <c r="AA269" i="5"/>
  <c r="E268" i="5"/>
  <c r="G269" i="3"/>
  <c r="E268" i="3"/>
  <c r="W237" i="3" l="1"/>
  <c r="X237" i="3"/>
  <c r="S239" i="3"/>
  <c r="R239" i="3"/>
  <c r="X236" i="3"/>
  <c r="W236" i="3"/>
  <c r="R233" i="3"/>
  <c r="S233" i="3"/>
  <c r="R236" i="3"/>
  <c r="S236" i="3"/>
  <c r="R258" i="3"/>
  <c r="S258" i="3"/>
  <c r="X259" i="3"/>
  <c r="W259" i="3"/>
  <c r="W241" i="3"/>
  <c r="X241" i="3"/>
  <c r="R251" i="3"/>
  <c r="S251" i="3"/>
  <c r="W253" i="3"/>
  <c r="X253" i="3"/>
  <c r="W255" i="3"/>
  <c r="X255" i="3"/>
  <c r="W251" i="3"/>
  <c r="X251" i="3"/>
  <c r="S261" i="3"/>
  <c r="R261" i="3"/>
  <c r="R237" i="3"/>
  <c r="S237" i="3"/>
  <c r="R255" i="3"/>
  <c r="S255" i="3"/>
  <c r="W252" i="3"/>
  <c r="X252" i="3"/>
  <c r="S257" i="3"/>
  <c r="R257" i="3"/>
  <c r="R240" i="3"/>
  <c r="S240" i="3"/>
  <c r="X257" i="3"/>
  <c r="W257" i="3"/>
  <c r="X234" i="3"/>
  <c r="W234" i="3"/>
  <c r="S252" i="3"/>
  <c r="R252" i="3"/>
  <c r="X262" i="3"/>
  <c r="W262" i="3"/>
  <c r="S241" i="3"/>
  <c r="R241" i="3"/>
  <c r="S260" i="3"/>
  <c r="R260" i="3"/>
  <c r="R238" i="3"/>
  <c r="S238" i="3"/>
  <c r="R254" i="3"/>
  <c r="S254" i="3"/>
  <c r="W254" i="3"/>
  <c r="X254" i="3"/>
  <c r="X233" i="3"/>
  <c r="W233" i="3"/>
  <c r="W240" i="3"/>
  <c r="X240" i="3"/>
  <c r="W239" i="3"/>
  <c r="X239" i="3"/>
  <c r="R234" i="3"/>
  <c r="S234" i="3"/>
  <c r="R262" i="3"/>
  <c r="S262" i="3"/>
  <c r="X260" i="3"/>
  <c r="W260" i="3"/>
  <c r="W238" i="3"/>
  <c r="X238" i="3"/>
  <c r="R259" i="3"/>
  <c r="S259" i="3"/>
  <c r="W258" i="3"/>
  <c r="X258" i="3"/>
  <c r="W250" i="3"/>
  <c r="X250" i="3"/>
  <c r="W261" i="3"/>
  <c r="X261" i="3"/>
  <c r="S253" i="3"/>
  <c r="R253" i="3"/>
  <c r="S250" i="3"/>
  <c r="R250" i="3"/>
  <c r="Z269" i="5"/>
  <c r="G268" i="5"/>
  <c r="E272" i="12"/>
  <c r="Y273" i="12"/>
  <c r="G273" i="12"/>
  <c r="Z274" i="12"/>
  <c r="K279" i="7"/>
  <c r="B280" i="7"/>
  <c r="C279" i="7"/>
  <c r="L279" i="7" s="1"/>
  <c r="AA270" i="5"/>
  <c r="E269" i="5"/>
  <c r="AG270" i="5"/>
  <c r="E269" i="3"/>
  <c r="G270" i="3"/>
  <c r="Z270" i="5" l="1"/>
  <c r="G269" i="5"/>
  <c r="G274" i="12"/>
  <c r="Z275" i="12"/>
  <c r="E273" i="12"/>
  <c r="Y274" i="12"/>
  <c r="C280" i="7"/>
  <c r="L280" i="7" s="1"/>
  <c r="K280" i="7"/>
  <c r="B281" i="7"/>
  <c r="AG271" i="5"/>
  <c r="E270" i="5"/>
  <c r="AA271" i="5"/>
  <c r="G271" i="3"/>
  <c r="E270" i="3"/>
  <c r="Z271" i="5" l="1"/>
  <c r="G270" i="5"/>
  <c r="E274" i="12"/>
  <c r="Y275" i="12"/>
  <c r="G275" i="12"/>
  <c r="Z276" i="12"/>
  <c r="C281" i="7"/>
  <c r="L281" i="7" s="1"/>
  <c r="K281" i="7"/>
  <c r="B282" i="7"/>
  <c r="AA272" i="5"/>
  <c r="E271" i="5"/>
  <c r="AG272" i="5"/>
  <c r="E271" i="3"/>
  <c r="G272" i="3"/>
  <c r="Z272" i="5" l="1"/>
  <c r="G271" i="5"/>
  <c r="G276" i="12"/>
  <c r="Z277" i="12"/>
  <c r="E275" i="12"/>
  <c r="Y276" i="12"/>
  <c r="B283" i="7"/>
  <c r="C282" i="7"/>
  <c r="L282" i="7" s="1"/>
  <c r="K282" i="7"/>
  <c r="AG273" i="5"/>
  <c r="AA273" i="5"/>
  <c r="E272" i="5"/>
  <c r="G273" i="3"/>
  <c r="E272" i="3"/>
  <c r="Z273" i="5" l="1"/>
  <c r="G272" i="5"/>
  <c r="E276" i="12"/>
  <c r="Y277" i="12"/>
  <c r="G277" i="12"/>
  <c r="Z278" i="12"/>
  <c r="B284" i="7"/>
  <c r="K283" i="7"/>
  <c r="C283" i="7"/>
  <c r="L283" i="7" s="1"/>
  <c r="AA274" i="5"/>
  <c r="E273" i="5"/>
  <c r="AG274" i="5"/>
  <c r="E273" i="3"/>
  <c r="G274" i="3"/>
  <c r="Z274" i="5" l="1"/>
  <c r="G273" i="5"/>
  <c r="G278" i="12"/>
  <c r="Z279" i="12"/>
  <c r="E277" i="12"/>
  <c r="Y278" i="12"/>
  <c r="B285" i="7"/>
  <c r="K284" i="7"/>
  <c r="C284" i="7"/>
  <c r="L284" i="7" s="1"/>
  <c r="AG275" i="5"/>
  <c r="AA275" i="5"/>
  <c r="E274" i="5"/>
  <c r="G275" i="3"/>
  <c r="E274" i="3"/>
  <c r="Z275" i="5" l="1"/>
  <c r="G274" i="5"/>
  <c r="E278" i="12"/>
  <c r="Y279" i="12"/>
  <c r="G279" i="12"/>
  <c r="Z280" i="12"/>
  <c r="K285" i="7"/>
  <c r="C285" i="7"/>
  <c r="L285" i="7" s="1"/>
  <c r="B286" i="7"/>
  <c r="E275" i="5"/>
  <c r="AA276" i="5"/>
  <c r="AG276" i="5"/>
  <c r="E275" i="3"/>
  <c r="G276" i="3"/>
  <c r="Z276" i="5" l="1"/>
  <c r="G275" i="5"/>
  <c r="G280" i="12"/>
  <c r="Z281" i="12"/>
  <c r="E279" i="12"/>
  <c r="Y280" i="12"/>
  <c r="B287" i="7"/>
  <c r="K286" i="7"/>
  <c r="C286" i="7"/>
  <c r="L286" i="7" s="1"/>
  <c r="AG277" i="5"/>
  <c r="E276" i="5"/>
  <c r="AA277" i="5"/>
  <c r="G277" i="3"/>
  <c r="E276" i="3"/>
  <c r="Z277" i="5" l="1"/>
  <c r="G276" i="5"/>
  <c r="E280" i="12"/>
  <c r="Y281" i="12"/>
  <c r="G281" i="12"/>
  <c r="Z282" i="12"/>
  <c r="K287" i="7"/>
  <c r="B288" i="7"/>
  <c r="C287" i="7"/>
  <c r="L287" i="7" s="1"/>
  <c r="AA278" i="5"/>
  <c r="E277" i="5"/>
  <c r="AG278" i="5"/>
  <c r="E277" i="3"/>
  <c r="G278" i="3"/>
  <c r="Z278" i="5" l="1"/>
  <c r="G277" i="5"/>
  <c r="G282" i="12"/>
  <c r="Z283" i="12"/>
  <c r="E281" i="12"/>
  <c r="Y282" i="12"/>
  <c r="B289" i="7"/>
  <c r="C288" i="7"/>
  <c r="L288" i="7" s="1"/>
  <c r="K288" i="7"/>
  <c r="AG279" i="5"/>
  <c r="E278" i="5"/>
  <c r="AA279" i="5"/>
  <c r="G279" i="3"/>
  <c r="E278" i="3"/>
  <c r="Z279" i="5" l="1"/>
  <c r="G278" i="5"/>
  <c r="E282" i="12"/>
  <c r="Y283" i="12"/>
  <c r="G283" i="12"/>
  <c r="Z284" i="12"/>
  <c r="C289" i="7"/>
  <c r="L289" i="7" s="1"/>
  <c r="B290" i="7"/>
  <c r="K289" i="7"/>
  <c r="AA280" i="5"/>
  <c r="E279" i="5"/>
  <c r="AG280" i="5"/>
  <c r="E279" i="3"/>
  <c r="G280" i="3"/>
  <c r="Z280" i="5" l="1"/>
  <c r="G279" i="5"/>
  <c r="G284" i="12"/>
  <c r="Z285" i="12"/>
  <c r="E283" i="12"/>
  <c r="Y284" i="12"/>
  <c r="B291" i="7"/>
  <c r="C290" i="7"/>
  <c r="L290" i="7" s="1"/>
  <c r="K290" i="7"/>
  <c r="AG281" i="5"/>
  <c r="E280" i="5"/>
  <c r="AA281" i="5"/>
  <c r="G281" i="3"/>
  <c r="E280" i="3"/>
  <c r="Z281" i="5" l="1"/>
  <c r="G280" i="5"/>
  <c r="E284" i="12"/>
  <c r="Y285" i="12"/>
  <c r="G285" i="12"/>
  <c r="Z286" i="12"/>
  <c r="K291" i="7"/>
  <c r="C291" i="7"/>
  <c r="L291" i="7" s="1"/>
  <c r="B292" i="7"/>
  <c r="AA282" i="5"/>
  <c r="E281" i="5"/>
  <c r="AG282" i="5"/>
  <c r="E281" i="3"/>
  <c r="G282" i="3"/>
  <c r="Z282" i="5" l="1"/>
  <c r="G281" i="5"/>
  <c r="G286" i="12"/>
  <c r="Z287" i="12"/>
  <c r="E285" i="12"/>
  <c r="Y286" i="12"/>
  <c r="K292" i="7"/>
  <c r="C292" i="7"/>
  <c r="L292" i="7" s="1"/>
  <c r="B293" i="7"/>
  <c r="AG283" i="5"/>
  <c r="AA283" i="5"/>
  <c r="E282" i="5"/>
  <c r="G283" i="3"/>
  <c r="E282" i="3"/>
  <c r="Z283" i="5" l="1"/>
  <c r="G282" i="5"/>
  <c r="E286" i="12"/>
  <c r="Y287" i="12"/>
  <c r="G287" i="12"/>
  <c r="Z288" i="12"/>
  <c r="K293" i="7"/>
  <c r="C293" i="7"/>
  <c r="L293" i="7" s="1"/>
  <c r="B294" i="7"/>
  <c r="AA284" i="5"/>
  <c r="E283" i="5"/>
  <c r="AG284" i="5"/>
  <c r="E283" i="3"/>
  <c r="G284" i="3"/>
  <c r="Z284" i="5" l="1"/>
  <c r="G283" i="5"/>
  <c r="G288" i="12"/>
  <c r="Z289" i="12"/>
  <c r="E287" i="12"/>
  <c r="Y288" i="12"/>
  <c r="C294" i="7"/>
  <c r="L294" i="7" s="1"/>
  <c r="B295" i="7"/>
  <c r="K294" i="7"/>
  <c r="AG285" i="5"/>
  <c r="E284" i="5"/>
  <c r="AA285" i="5"/>
  <c r="G285" i="3"/>
  <c r="E284" i="3"/>
  <c r="Z285" i="5" l="1"/>
  <c r="G284" i="5"/>
  <c r="E288" i="12"/>
  <c r="Y289" i="12"/>
  <c r="G289" i="12"/>
  <c r="Z290" i="12"/>
  <c r="K295" i="7"/>
  <c r="C295" i="7"/>
  <c r="L295" i="7" s="1"/>
  <c r="B296" i="7"/>
  <c r="AA286" i="5"/>
  <c r="E285" i="5"/>
  <c r="AG286" i="5"/>
  <c r="E285" i="3"/>
  <c r="G286" i="3"/>
  <c r="Z286" i="5" l="1"/>
  <c r="G285" i="5"/>
  <c r="G290" i="12"/>
  <c r="Z291" i="12"/>
  <c r="E289" i="12"/>
  <c r="Y290" i="12"/>
  <c r="B297" i="7"/>
  <c r="C296" i="7"/>
  <c r="L296" i="7" s="1"/>
  <c r="K296" i="7"/>
  <c r="AG287" i="5"/>
  <c r="AA287" i="5"/>
  <c r="E286" i="5"/>
  <c r="G287" i="3"/>
  <c r="E286" i="3"/>
  <c r="Z287" i="5" l="1"/>
  <c r="G286" i="5"/>
  <c r="E290" i="12"/>
  <c r="Y291" i="12"/>
  <c r="G291" i="12"/>
  <c r="Z292" i="12"/>
  <c r="K297" i="7"/>
  <c r="C297" i="7"/>
  <c r="L297" i="7" s="1"/>
  <c r="B298" i="7"/>
  <c r="AA288" i="5"/>
  <c r="E287" i="5"/>
  <c r="AG288" i="5"/>
  <c r="E287" i="3"/>
  <c r="G288" i="3"/>
  <c r="Z288" i="5" l="1"/>
  <c r="G287" i="5"/>
  <c r="G292" i="12"/>
  <c r="Z293" i="12"/>
  <c r="E291" i="12"/>
  <c r="Y292" i="12"/>
  <c r="B299" i="7"/>
  <c r="K298" i="7"/>
  <c r="C298" i="7"/>
  <c r="L298" i="7" s="1"/>
  <c r="AG289" i="5"/>
  <c r="E288" i="5"/>
  <c r="AA289" i="5"/>
  <c r="E288" i="3"/>
  <c r="G289" i="3"/>
  <c r="Z289" i="5" l="1"/>
  <c r="G288" i="5"/>
  <c r="E292" i="12"/>
  <c r="Y293" i="12"/>
  <c r="G293" i="12"/>
  <c r="Z294" i="12"/>
  <c r="B300" i="7"/>
  <c r="C299" i="7"/>
  <c r="L299" i="7" s="1"/>
  <c r="K299" i="7"/>
  <c r="AA290" i="5"/>
  <c r="E289" i="5"/>
  <c r="AG290" i="5"/>
  <c r="G290" i="3"/>
  <c r="E289" i="3"/>
  <c r="Z290" i="5" l="1"/>
  <c r="G289" i="5"/>
  <c r="G294" i="12"/>
  <c r="Z295" i="12"/>
  <c r="E293" i="12"/>
  <c r="Y294" i="12"/>
  <c r="B301" i="7"/>
  <c r="C300" i="7"/>
  <c r="L300" i="7" s="1"/>
  <c r="K300" i="7"/>
  <c r="AG291" i="5"/>
  <c r="AA291" i="5"/>
  <c r="E290" i="5"/>
  <c r="E290" i="3"/>
  <c r="G291" i="3"/>
  <c r="Z291" i="5" l="1"/>
  <c r="G290" i="5"/>
  <c r="E294" i="12"/>
  <c r="Y295" i="12"/>
  <c r="G295" i="12"/>
  <c r="Z296" i="12"/>
  <c r="K301" i="7"/>
  <c r="C301" i="7"/>
  <c r="L301" i="7" s="1"/>
  <c r="B302" i="7"/>
  <c r="AA292" i="5"/>
  <c r="E291" i="5"/>
  <c r="AG292" i="5"/>
  <c r="G292" i="3"/>
  <c r="E291" i="3"/>
  <c r="Z292" i="5" l="1"/>
  <c r="G291" i="5"/>
  <c r="G296" i="12"/>
  <c r="Z297" i="12"/>
  <c r="E295" i="12"/>
  <c r="Y296" i="12"/>
  <c r="B306" i="7"/>
  <c r="K302" i="7"/>
  <c r="C302" i="7"/>
  <c r="L302" i="7" s="1"/>
  <c r="AG293" i="5"/>
  <c r="AA293" i="5"/>
  <c r="E292" i="5"/>
  <c r="E292" i="3"/>
  <c r="G293" i="3"/>
  <c r="AD78" i="3" l="1"/>
  <c r="AD79" i="3"/>
  <c r="AC79" i="3"/>
  <c r="AD81" i="3"/>
  <c r="AC81" i="3"/>
  <c r="AC80" i="3"/>
  <c r="AD82" i="3"/>
  <c r="AC82" i="3"/>
  <c r="AD80" i="3"/>
  <c r="AD83" i="3"/>
  <c r="AD77" i="3"/>
  <c r="AC78" i="3"/>
  <c r="AC83" i="3"/>
  <c r="AC77" i="3"/>
  <c r="Z293" i="5"/>
  <c r="G292" i="5"/>
  <c r="E296" i="12"/>
  <c r="Y297" i="12"/>
  <c r="G297" i="12"/>
  <c r="Z298" i="12"/>
  <c r="K306" i="7"/>
  <c r="B307" i="7"/>
  <c r="C306" i="7"/>
  <c r="L306" i="7" s="1"/>
  <c r="AA294" i="5"/>
  <c r="E293" i="5"/>
  <c r="AG294" i="5"/>
  <c r="G294" i="3"/>
  <c r="E293" i="3"/>
  <c r="Z294" i="5" l="1"/>
  <c r="G293" i="5"/>
  <c r="AE81" i="5" s="1"/>
  <c r="G298" i="12"/>
  <c r="Z299" i="12"/>
  <c r="E297" i="12"/>
  <c r="Y298" i="12"/>
  <c r="K307" i="7"/>
  <c r="C307" i="7"/>
  <c r="L307" i="7" s="1"/>
  <c r="B308" i="7"/>
  <c r="AG295" i="5"/>
  <c r="E294" i="5"/>
  <c r="AA295" i="5"/>
  <c r="E294" i="3"/>
  <c r="G295" i="3"/>
  <c r="AF79" i="5" l="1"/>
  <c r="AE78" i="5"/>
  <c r="AE77" i="5"/>
  <c r="AF81" i="5"/>
  <c r="AH81" i="5" s="1"/>
  <c r="AI81" i="5" s="1"/>
  <c r="AE82" i="3" s="1"/>
  <c r="L269" i="3" s="1"/>
  <c r="AE82" i="5"/>
  <c r="AF82" i="5"/>
  <c r="AE79" i="5"/>
  <c r="AH79" i="5" s="1"/>
  <c r="AI79" i="5" s="1"/>
  <c r="AE80" i="3" s="1"/>
  <c r="AF80" i="3" s="1"/>
  <c r="AF76" i="5"/>
  <c r="AF78" i="5"/>
  <c r="AF80" i="5"/>
  <c r="AE76" i="5"/>
  <c r="AF77" i="5"/>
  <c r="AE80" i="5"/>
  <c r="Z295" i="5"/>
  <c r="G294" i="5"/>
  <c r="E298" i="12"/>
  <c r="Y299" i="12"/>
  <c r="G299" i="12"/>
  <c r="Z300" i="12"/>
  <c r="B309" i="7"/>
  <c r="C308" i="7"/>
  <c r="L308" i="7" s="1"/>
  <c r="K308" i="7"/>
  <c r="AG296" i="5"/>
  <c r="E295" i="5"/>
  <c r="AA296" i="5"/>
  <c r="G296" i="3"/>
  <c r="E295" i="3"/>
  <c r="AH78" i="5" l="1"/>
  <c r="AI78" i="5" s="1"/>
  <c r="AE79" i="3" s="1"/>
  <c r="AF79" i="3" s="1"/>
  <c r="AH77" i="5"/>
  <c r="AI77" i="5" s="1"/>
  <c r="AE78" i="3" s="1"/>
  <c r="AF78" i="3" s="1"/>
  <c r="AH82" i="5"/>
  <c r="AI82" i="5" s="1"/>
  <c r="AE83" i="3" s="1"/>
  <c r="AH76" i="5"/>
  <c r="AI76" i="5" s="1"/>
  <c r="AE77" i="3" s="1"/>
  <c r="L264" i="3" s="1"/>
  <c r="M264" i="3" s="1"/>
  <c r="AH80" i="5"/>
  <c r="AI80" i="5" s="1"/>
  <c r="AE81" i="3" s="1"/>
  <c r="AF81" i="3" s="1"/>
  <c r="L267" i="3"/>
  <c r="M267" i="3" s="1"/>
  <c r="L274" i="3"/>
  <c r="M274" i="3" s="1"/>
  <c r="L266" i="3"/>
  <c r="N266" i="3" s="1"/>
  <c r="L283" i="3"/>
  <c r="N283" i="3" s="1"/>
  <c r="AF82" i="3"/>
  <c r="L281" i="3"/>
  <c r="M281" i="3" s="1"/>
  <c r="L279" i="3"/>
  <c r="M279" i="3" s="1"/>
  <c r="L287" i="3"/>
  <c r="N287" i="3" s="1"/>
  <c r="L265" i="3"/>
  <c r="L272" i="3"/>
  <c r="M272" i="3" s="1"/>
  <c r="L280" i="3"/>
  <c r="M280" i="3" s="1"/>
  <c r="L293" i="3"/>
  <c r="N293" i="3" s="1"/>
  <c r="L273" i="3"/>
  <c r="N273" i="3" s="1"/>
  <c r="L290" i="3"/>
  <c r="N290" i="3" s="1"/>
  <c r="L276" i="3"/>
  <c r="N276" i="3" s="1"/>
  <c r="L288" i="3"/>
  <c r="N288" i="3" s="1"/>
  <c r="N269" i="3"/>
  <c r="M269" i="3"/>
  <c r="Z296" i="5"/>
  <c r="G295" i="5"/>
  <c r="G300" i="12"/>
  <c r="Z301" i="12"/>
  <c r="E299" i="12"/>
  <c r="Y300" i="12"/>
  <c r="B310" i="7"/>
  <c r="K309" i="7"/>
  <c r="C309" i="7"/>
  <c r="L309" i="7" s="1"/>
  <c r="AA297" i="5"/>
  <c r="E296" i="5"/>
  <c r="AG297" i="5"/>
  <c r="E296" i="3"/>
  <c r="G297" i="3"/>
  <c r="L275" i="3" l="1"/>
  <c r="M275" i="3" s="1"/>
  <c r="L289" i="3"/>
  <c r="M289" i="3" s="1"/>
  <c r="AJ76" i="5"/>
  <c r="L271" i="3"/>
  <c r="M271" i="3" s="1"/>
  <c r="L285" i="3"/>
  <c r="M285" i="3" s="1"/>
  <c r="L292" i="3"/>
  <c r="M292" i="3" s="1"/>
  <c r="AF77" i="3"/>
  <c r="AF83" i="3" s="1"/>
  <c r="P264" i="3"/>
  <c r="R264" i="3" s="1"/>
  <c r="L282" i="3"/>
  <c r="M282" i="3" s="1"/>
  <c r="U264" i="3"/>
  <c r="W264" i="3" s="1"/>
  <c r="N264" i="3"/>
  <c r="N274" i="3"/>
  <c r="N267" i="3"/>
  <c r="M266" i="3"/>
  <c r="L268" i="3"/>
  <c r="M268" i="3" s="1"/>
  <c r="M283" i="3"/>
  <c r="N281" i="3"/>
  <c r="M293" i="3"/>
  <c r="N272" i="3"/>
  <c r="M276" i="3"/>
  <c r="N280" i="3"/>
  <c r="N279" i="3"/>
  <c r="M290" i="3"/>
  <c r="M287" i="3"/>
  <c r="M288" i="3"/>
  <c r="P266" i="3"/>
  <c r="R266" i="3" s="1"/>
  <c r="P265" i="3"/>
  <c r="R265" i="3" s="1"/>
  <c r="U267" i="3"/>
  <c r="W267" i="3" s="1"/>
  <c r="M273" i="3"/>
  <c r="U265" i="3"/>
  <c r="X265" i="3" s="1"/>
  <c r="N265" i="3"/>
  <c r="P267" i="3"/>
  <c r="S267" i="3" s="1"/>
  <c r="U266" i="3"/>
  <c r="W266" i="3" s="1"/>
  <c r="M265" i="3"/>
  <c r="Z297" i="5"/>
  <c r="G296" i="5"/>
  <c r="E300" i="12"/>
  <c r="Y301" i="12"/>
  <c r="G301" i="12"/>
  <c r="Z302" i="12"/>
  <c r="C310" i="7"/>
  <c r="L310" i="7" s="1"/>
  <c r="B311" i="7"/>
  <c r="K310" i="7"/>
  <c r="AG298" i="5"/>
  <c r="AA298" i="5"/>
  <c r="E297" i="5"/>
  <c r="G298" i="3"/>
  <c r="E297" i="3"/>
  <c r="N289" i="3" l="1"/>
  <c r="N271" i="3"/>
  <c r="N275" i="3"/>
  <c r="N285" i="3"/>
  <c r="N292" i="3"/>
  <c r="X264" i="3"/>
  <c r="N282" i="3"/>
  <c r="S264" i="3"/>
  <c r="U279" i="3"/>
  <c r="W279" i="3" s="1"/>
  <c r="P269" i="3"/>
  <c r="R269" i="3" s="1"/>
  <c r="U272" i="3"/>
  <c r="W272" i="3" s="1"/>
  <c r="P285" i="3"/>
  <c r="S285" i="3" s="1"/>
  <c r="U285" i="3"/>
  <c r="W285" i="3" s="1"/>
  <c r="P268" i="3"/>
  <c r="R268" i="3" s="1"/>
  <c r="U283" i="3"/>
  <c r="W283" i="3" s="1"/>
  <c r="U280" i="3"/>
  <c r="W280" i="3" s="1"/>
  <c r="P273" i="3"/>
  <c r="S273" i="3" s="1"/>
  <c r="U293" i="3"/>
  <c r="W293" i="3" s="1"/>
  <c r="P271" i="3"/>
  <c r="R271" i="3" s="1"/>
  <c r="P283" i="3"/>
  <c r="R283" i="3" s="1"/>
  <c r="P276" i="3"/>
  <c r="R276" i="3" s="1"/>
  <c r="P287" i="3"/>
  <c r="R287" i="3" s="1"/>
  <c r="U274" i="3"/>
  <c r="W274" i="3" s="1"/>
  <c r="U276" i="3"/>
  <c r="W276" i="3" s="1"/>
  <c r="P289" i="3"/>
  <c r="S289" i="3" s="1"/>
  <c r="U287" i="3"/>
  <c r="X287" i="3" s="1"/>
  <c r="P275" i="3"/>
  <c r="S275" i="3" s="1"/>
  <c r="P272" i="3"/>
  <c r="S272" i="3" s="1"/>
  <c r="P281" i="3"/>
  <c r="R281" i="3" s="1"/>
  <c r="U282" i="3"/>
  <c r="X282" i="3" s="1"/>
  <c r="U290" i="3"/>
  <c r="X290" i="3" s="1"/>
  <c r="P274" i="3"/>
  <c r="R274" i="3" s="1"/>
  <c r="P290" i="3"/>
  <c r="S290" i="3" s="1"/>
  <c r="U271" i="3"/>
  <c r="W271" i="3" s="1"/>
  <c r="U281" i="3"/>
  <c r="W281" i="3" s="1"/>
  <c r="P280" i="3"/>
  <c r="R280" i="3" s="1"/>
  <c r="P288" i="3"/>
  <c r="R288" i="3" s="1"/>
  <c r="U289" i="3"/>
  <c r="W289" i="3" s="1"/>
  <c r="U269" i="3"/>
  <c r="X269" i="3" s="1"/>
  <c r="P282" i="3"/>
  <c r="S282" i="3" s="1"/>
  <c r="U273" i="3"/>
  <c r="W273" i="3" s="1"/>
  <c r="U275" i="3"/>
  <c r="X275" i="3" s="1"/>
  <c r="P279" i="3"/>
  <c r="R279" i="3" s="1"/>
  <c r="U268" i="3"/>
  <c r="W268" i="3" s="1"/>
  <c r="U292" i="3"/>
  <c r="W292" i="3" s="1"/>
  <c r="U288" i="3"/>
  <c r="X288" i="3" s="1"/>
  <c r="P293" i="3"/>
  <c r="S293" i="3" s="1"/>
  <c r="P292" i="3"/>
  <c r="S292" i="3" s="1"/>
  <c r="N268" i="3"/>
  <c r="X267" i="3"/>
  <c r="S266" i="3"/>
  <c r="W265" i="3"/>
  <c r="S265" i="3"/>
  <c r="R267" i="3"/>
  <c r="X266" i="3"/>
  <c r="Z298" i="5"/>
  <c r="G297" i="5"/>
  <c r="G302" i="12"/>
  <c r="Z303" i="12"/>
  <c r="Y302" i="12"/>
  <c r="E301" i="12"/>
  <c r="B312" i="7"/>
  <c r="K311" i="7"/>
  <c r="C311" i="7"/>
  <c r="L311" i="7" s="1"/>
  <c r="E298" i="5"/>
  <c r="AA299" i="5"/>
  <c r="AG299" i="5"/>
  <c r="E298" i="3"/>
  <c r="G299" i="3"/>
  <c r="X279" i="3" l="1"/>
  <c r="R285" i="3"/>
  <c r="S269" i="3"/>
  <c r="S281" i="3"/>
  <c r="X285" i="3"/>
  <c r="X272" i="3"/>
  <c r="X292" i="3"/>
  <c r="X283" i="3"/>
  <c r="X289" i="3"/>
  <c r="S268" i="3"/>
  <c r="X280" i="3"/>
  <c r="R273" i="3"/>
  <c r="X293" i="3"/>
  <c r="R272" i="3"/>
  <c r="S280" i="3"/>
  <c r="S271" i="3"/>
  <c r="S276" i="3"/>
  <c r="R275" i="3"/>
  <c r="R289" i="3"/>
  <c r="S279" i="3"/>
  <c r="X281" i="3"/>
  <c r="W287" i="3"/>
  <c r="X274" i="3"/>
  <c r="X276" i="3"/>
  <c r="S287" i="3"/>
  <c r="W288" i="3"/>
  <c r="X268" i="3"/>
  <c r="S283" i="3"/>
  <c r="S288" i="3"/>
  <c r="X273" i="3"/>
  <c r="R290" i="3"/>
  <c r="R292" i="3"/>
  <c r="W269" i="3"/>
  <c r="R282" i="3"/>
  <c r="S274" i="3"/>
  <c r="W282" i="3"/>
  <c r="W290" i="3"/>
  <c r="X271" i="3"/>
  <c r="W275" i="3"/>
  <c r="R293" i="3"/>
  <c r="Z299" i="5"/>
  <c r="G298" i="5"/>
  <c r="Y303" i="12"/>
  <c r="E302" i="12"/>
  <c r="G303" i="12"/>
  <c r="Z304" i="12"/>
  <c r="K312" i="7"/>
  <c r="C312" i="7"/>
  <c r="L312" i="7" s="1"/>
  <c r="B313" i="7"/>
  <c r="AG300" i="5"/>
  <c r="E299" i="5"/>
  <c r="AA300" i="5"/>
  <c r="G300" i="3"/>
  <c r="E299" i="3"/>
  <c r="Z300" i="5" l="1"/>
  <c r="G299" i="5"/>
  <c r="G304" i="12"/>
  <c r="Z305" i="12"/>
  <c r="E303" i="12"/>
  <c r="Y304" i="12"/>
  <c r="K313" i="7"/>
  <c r="C313" i="7"/>
  <c r="L313" i="7" s="1"/>
  <c r="B314" i="7"/>
  <c r="E300" i="5"/>
  <c r="AA301" i="5"/>
  <c r="AG301" i="5"/>
  <c r="E300" i="3"/>
  <c r="G301" i="3"/>
  <c r="Z301" i="5" l="1"/>
  <c r="G300" i="5"/>
  <c r="E304" i="12"/>
  <c r="Y305" i="12"/>
  <c r="G305" i="12"/>
  <c r="Z306" i="12"/>
  <c r="B315" i="7"/>
  <c r="C314" i="7"/>
  <c r="L314" i="7" s="1"/>
  <c r="K314" i="7"/>
  <c r="AG302" i="5"/>
  <c r="AA302" i="5"/>
  <c r="E301" i="5"/>
  <c r="G302" i="3"/>
  <c r="E301" i="3"/>
  <c r="Z302" i="5" l="1"/>
  <c r="G301" i="5"/>
  <c r="G306" i="12"/>
  <c r="Z307" i="12"/>
  <c r="E305" i="12"/>
  <c r="Y306" i="12"/>
  <c r="B316" i="7"/>
  <c r="K315" i="7"/>
  <c r="C315" i="7"/>
  <c r="L315" i="7" s="1"/>
  <c r="E302" i="5"/>
  <c r="AA303" i="5"/>
  <c r="AG303" i="5"/>
  <c r="E302" i="3"/>
  <c r="G303" i="3"/>
  <c r="Z303" i="5" l="1"/>
  <c r="G302" i="5"/>
  <c r="Y307" i="12"/>
  <c r="E306" i="12"/>
  <c r="G307" i="12"/>
  <c r="Z308" i="12"/>
  <c r="B317" i="7"/>
  <c r="K316" i="7"/>
  <c r="C316" i="7"/>
  <c r="L316" i="7" s="1"/>
  <c r="AG304" i="5"/>
  <c r="E303" i="5"/>
  <c r="AA304" i="5"/>
  <c r="G304" i="3"/>
  <c r="E303" i="3"/>
  <c r="Z304" i="5" l="1"/>
  <c r="G303" i="5"/>
  <c r="G308" i="12"/>
  <c r="Z309" i="12"/>
  <c r="Y308" i="12"/>
  <c r="E307" i="12"/>
  <c r="C317" i="7"/>
  <c r="L317" i="7" s="1"/>
  <c r="B318" i="7"/>
  <c r="K317" i="7"/>
  <c r="E304" i="5"/>
  <c r="AA305" i="5"/>
  <c r="AG305" i="5"/>
  <c r="E304" i="3"/>
  <c r="G305" i="3"/>
  <c r="Z305" i="5" l="1"/>
  <c r="G304" i="5"/>
  <c r="Y309" i="12"/>
  <c r="E308" i="12"/>
  <c r="G309" i="12"/>
  <c r="Z310" i="12"/>
  <c r="B319" i="7"/>
  <c r="K318" i="7"/>
  <c r="C318" i="7"/>
  <c r="L318" i="7" s="1"/>
  <c r="AG306" i="5"/>
  <c r="AA306" i="5"/>
  <c r="E305" i="5"/>
  <c r="G306" i="3"/>
  <c r="E305" i="3"/>
  <c r="Z306" i="5" l="1"/>
  <c r="G305" i="5"/>
  <c r="G310" i="12"/>
  <c r="Z311" i="12"/>
  <c r="E309" i="12"/>
  <c r="Y310" i="12"/>
  <c r="K319" i="7"/>
  <c r="C319" i="7"/>
  <c r="L319" i="7" s="1"/>
  <c r="B320" i="7"/>
  <c r="AA307" i="5"/>
  <c r="E306" i="5"/>
  <c r="AG307" i="5"/>
  <c r="E306" i="3"/>
  <c r="G307" i="3"/>
  <c r="Z307" i="5" l="1"/>
  <c r="G306" i="5"/>
  <c r="Y311" i="12"/>
  <c r="E310" i="12"/>
  <c r="G311" i="12"/>
  <c r="Z312" i="12"/>
  <c r="B321" i="7"/>
  <c r="K320" i="7"/>
  <c r="C320" i="7"/>
  <c r="L320" i="7" s="1"/>
  <c r="AG308" i="5"/>
  <c r="AA308" i="5"/>
  <c r="E307" i="5"/>
  <c r="G308" i="3"/>
  <c r="E307" i="3"/>
  <c r="Z308" i="5" l="1"/>
  <c r="G307" i="5"/>
  <c r="G312" i="12"/>
  <c r="Z313" i="12"/>
  <c r="E311" i="12"/>
  <c r="Y312" i="12"/>
  <c r="C321" i="7"/>
  <c r="L321" i="7" s="1"/>
  <c r="B322" i="7"/>
  <c r="K321" i="7"/>
  <c r="E308" i="5"/>
  <c r="AA309" i="5"/>
  <c r="AG309" i="5"/>
  <c r="E308" i="3"/>
  <c r="G309" i="3"/>
  <c r="Z309" i="5" l="1"/>
  <c r="G308" i="5"/>
  <c r="E312" i="12"/>
  <c r="Y313" i="12"/>
  <c r="G313" i="12"/>
  <c r="Z314" i="12"/>
  <c r="B323" i="7"/>
  <c r="C322" i="7"/>
  <c r="L322" i="7" s="1"/>
  <c r="K322" i="7"/>
  <c r="AG310" i="5"/>
  <c r="E309" i="5"/>
  <c r="AA310" i="5"/>
  <c r="G310" i="3"/>
  <c r="E309" i="3"/>
  <c r="Z310" i="5" l="1"/>
  <c r="G309" i="5"/>
  <c r="G314" i="12"/>
  <c r="Z315" i="12"/>
  <c r="E313" i="12"/>
  <c r="Y314" i="12"/>
  <c r="B324" i="7"/>
  <c r="K323" i="7"/>
  <c r="C323" i="7"/>
  <c r="L323" i="7" s="1"/>
  <c r="AA311" i="5"/>
  <c r="E310" i="5"/>
  <c r="AG311" i="5"/>
  <c r="E310" i="3"/>
  <c r="G311" i="3"/>
  <c r="Z311" i="5" l="1"/>
  <c r="G310" i="5"/>
  <c r="E314" i="12"/>
  <c r="Y315" i="12"/>
  <c r="G315" i="12"/>
  <c r="Z316" i="12"/>
  <c r="B325" i="7"/>
  <c r="K324" i="7"/>
  <c r="C324" i="7"/>
  <c r="L324" i="7" s="1"/>
  <c r="AG312" i="5"/>
  <c r="AA312" i="5"/>
  <c r="E311" i="5"/>
  <c r="G312" i="3"/>
  <c r="E311" i="3"/>
  <c r="Z312" i="5" l="1"/>
  <c r="G311" i="5"/>
  <c r="G316" i="12"/>
  <c r="Z317" i="12"/>
  <c r="Y316" i="12"/>
  <c r="E315" i="12"/>
  <c r="C325" i="7"/>
  <c r="L325" i="7" s="1"/>
  <c r="K325" i="7"/>
  <c r="B326" i="7"/>
  <c r="E312" i="5"/>
  <c r="AA313" i="5"/>
  <c r="AG313" i="5"/>
  <c r="E312" i="3"/>
  <c r="G313" i="3"/>
  <c r="Z313" i="5" l="1"/>
  <c r="G312" i="5"/>
  <c r="E316" i="12"/>
  <c r="Y317" i="12"/>
  <c r="G317" i="12"/>
  <c r="Z318" i="12"/>
  <c r="B327" i="7"/>
  <c r="K326" i="7"/>
  <c r="C326" i="7"/>
  <c r="L326" i="7" s="1"/>
  <c r="AG314" i="5"/>
  <c r="E313" i="5"/>
  <c r="AA314" i="5"/>
  <c r="G314" i="3"/>
  <c r="E313" i="3"/>
  <c r="Z314" i="5" l="1"/>
  <c r="G313" i="5"/>
  <c r="G318" i="12"/>
  <c r="Z319" i="12"/>
  <c r="Y318" i="12"/>
  <c r="E317" i="12"/>
  <c r="K327" i="7"/>
  <c r="C327" i="7"/>
  <c r="L327" i="7" s="1"/>
  <c r="B328" i="7"/>
  <c r="AA315" i="5"/>
  <c r="E314" i="5"/>
  <c r="AG315" i="5"/>
  <c r="E314" i="3"/>
  <c r="G315" i="3"/>
  <c r="Z315" i="5" l="1"/>
  <c r="G314" i="5"/>
  <c r="Y319" i="12"/>
  <c r="E318" i="12"/>
  <c r="G319" i="12"/>
  <c r="Z320" i="12"/>
  <c r="C328" i="7"/>
  <c r="L328" i="7" s="1"/>
  <c r="B329" i="7"/>
  <c r="K328" i="7"/>
  <c r="AG316" i="5"/>
  <c r="AA316" i="5"/>
  <c r="E315" i="5"/>
  <c r="G316" i="3"/>
  <c r="E315" i="3"/>
  <c r="Z316" i="5" l="1"/>
  <c r="G315" i="5"/>
  <c r="G320" i="12"/>
  <c r="Z321" i="12"/>
  <c r="E319" i="12"/>
  <c r="Y320" i="12"/>
  <c r="K329" i="7"/>
  <c r="B330" i="7"/>
  <c r="C329" i="7"/>
  <c r="L329" i="7" s="1"/>
  <c r="AA317" i="5"/>
  <c r="E316" i="5"/>
  <c r="AG317" i="5"/>
  <c r="E316" i="3"/>
  <c r="G317" i="3"/>
  <c r="Z317" i="5" l="1"/>
  <c r="G316" i="5"/>
  <c r="Y321" i="12"/>
  <c r="E320" i="12"/>
  <c r="Z322" i="12"/>
  <c r="G321" i="12"/>
  <c r="B331" i="7"/>
  <c r="K330" i="7"/>
  <c r="C330" i="7"/>
  <c r="L330" i="7" s="1"/>
  <c r="AG318" i="5"/>
  <c r="E317" i="5"/>
  <c r="AA318" i="5"/>
  <c r="G318" i="3"/>
  <c r="E317" i="3"/>
  <c r="Z318" i="5" l="1"/>
  <c r="G317" i="5"/>
  <c r="G322" i="12"/>
  <c r="Z323" i="12"/>
  <c r="Y322" i="12"/>
  <c r="E321" i="12"/>
  <c r="K331" i="7"/>
  <c r="B332" i="7"/>
  <c r="C331" i="7"/>
  <c r="L331" i="7" s="1"/>
  <c r="E318" i="5"/>
  <c r="AA319" i="5"/>
  <c r="AG319" i="5"/>
  <c r="E318" i="3"/>
  <c r="G319" i="3"/>
  <c r="Z319" i="5" l="1"/>
  <c r="G318" i="5"/>
  <c r="E322" i="12"/>
  <c r="Y323" i="12"/>
  <c r="Z324" i="12"/>
  <c r="G323" i="12"/>
  <c r="K332" i="7"/>
  <c r="B333" i="7"/>
  <c r="C332" i="7"/>
  <c r="L332" i="7" s="1"/>
  <c r="AG320" i="5"/>
  <c r="AA320" i="5"/>
  <c r="E319" i="5"/>
  <c r="G320" i="3"/>
  <c r="E319" i="3"/>
  <c r="Z320" i="5" l="1"/>
  <c r="G319" i="5"/>
  <c r="G324" i="12"/>
  <c r="Z325" i="12"/>
  <c r="E323" i="12"/>
  <c r="Y324" i="12"/>
  <c r="C333" i="7"/>
  <c r="L333" i="7" s="1"/>
  <c r="B334" i="7"/>
  <c r="K333" i="7"/>
  <c r="E320" i="5"/>
  <c r="AA321" i="5"/>
  <c r="AG321" i="5"/>
  <c r="E320" i="3"/>
  <c r="G321" i="3"/>
  <c r="Z321" i="5" l="1"/>
  <c r="G320" i="5"/>
  <c r="Y325" i="12"/>
  <c r="E324" i="12"/>
  <c r="Z326" i="12"/>
  <c r="G325" i="12"/>
  <c r="B335" i="7"/>
  <c r="K334" i="7"/>
  <c r="C334" i="7"/>
  <c r="L334" i="7" s="1"/>
  <c r="AG322" i="5"/>
  <c r="E321" i="5"/>
  <c r="AA322" i="5"/>
  <c r="G322" i="3"/>
  <c r="E321" i="3"/>
  <c r="Z322" i="5" l="1"/>
  <c r="G321" i="5"/>
  <c r="Z327" i="12"/>
  <c r="G326" i="12"/>
  <c r="Y326" i="12"/>
  <c r="E325" i="12"/>
  <c r="K335" i="7"/>
  <c r="C335" i="7"/>
  <c r="L335" i="7" s="1"/>
  <c r="B336" i="7"/>
  <c r="AG323" i="5"/>
  <c r="E322" i="5"/>
  <c r="AA323" i="5"/>
  <c r="E322" i="3"/>
  <c r="G323" i="3"/>
  <c r="Z323" i="5" l="1"/>
  <c r="G322" i="5"/>
  <c r="Y327" i="12"/>
  <c r="E326" i="12"/>
  <c r="Z328" i="12"/>
  <c r="G327" i="12"/>
  <c r="B340" i="7"/>
  <c r="K336" i="7"/>
  <c r="C336" i="7"/>
  <c r="L336" i="7" s="1"/>
  <c r="E323" i="5"/>
  <c r="AA324" i="5"/>
  <c r="AG324" i="5"/>
  <c r="G324" i="3"/>
  <c r="E323" i="3"/>
  <c r="AD89" i="3" l="1"/>
  <c r="AD88" i="3"/>
  <c r="AD90" i="3"/>
  <c r="AC88" i="3"/>
  <c r="AD87" i="3"/>
  <c r="AC85" i="3"/>
  <c r="AC87" i="3"/>
  <c r="AC90" i="3"/>
  <c r="AD86" i="3"/>
  <c r="AC86" i="3"/>
  <c r="AD85" i="3"/>
  <c r="AC84" i="3"/>
  <c r="AD84" i="3"/>
  <c r="AC89" i="3"/>
  <c r="Z324" i="5"/>
  <c r="G323" i="5"/>
  <c r="Z329" i="12"/>
  <c r="G328" i="12"/>
  <c r="Y328" i="12"/>
  <c r="E327" i="12"/>
  <c r="B341" i="7"/>
  <c r="K340" i="7"/>
  <c r="C340" i="7"/>
  <c r="L340" i="7" s="1"/>
  <c r="AG325" i="5"/>
  <c r="AA325" i="5"/>
  <c r="E324" i="5"/>
  <c r="G325" i="3"/>
  <c r="E324" i="3"/>
  <c r="Z325" i="5" l="1"/>
  <c r="G324" i="5"/>
  <c r="AE87" i="5" s="1"/>
  <c r="E328" i="12"/>
  <c r="Y329" i="12"/>
  <c r="G329" i="12"/>
  <c r="Z330" i="12"/>
  <c r="K341" i="7"/>
  <c r="B342" i="7"/>
  <c r="C341" i="7"/>
  <c r="L341" i="7" s="1"/>
  <c r="E325" i="5"/>
  <c r="AA326" i="5"/>
  <c r="AG326" i="5"/>
  <c r="E325" i="3"/>
  <c r="G326" i="3"/>
  <c r="AF85" i="5" l="1"/>
  <c r="AE89" i="5"/>
  <c r="AE88" i="5"/>
  <c r="AF84" i="5"/>
  <c r="AE83" i="5"/>
  <c r="AF83" i="5"/>
  <c r="Z326" i="5"/>
  <c r="G325" i="5"/>
  <c r="AE84" i="5"/>
  <c r="AF87" i="5"/>
  <c r="AH87" i="5" s="1"/>
  <c r="AI87" i="5" s="1"/>
  <c r="AE88" i="3" s="1"/>
  <c r="AE86" i="5"/>
  <c r="AF89" i="5"/>
  <c r="AF88" i="5"/>
  <c r="AF86" i="5"/>
  <c r="AE85" i="5"/>
  <c r="AH85" i="5" s="1"/>
  <c r="AI85" i="5" s="1"/>
  <c r="AE86" i="3" s="1"/>
  <c r="Z331" i="12"/>
  <c r="G330" i="12"/>
  <c r="Y330" i="12"/>
  <c r="E329" i="12"/>
  <c r="C342" i="7"/>
  <c r="L342" i="7" s="1"/>
  <c r="K342" i="7"/>
  <c r="B343" i="7"/>
  <c r="AG327" i="5"/>
  <c r="AA327" i="5"/>
  <c r="E326" i="5"/>
  <c r="G327" i="3"/>
  <c r="E326" i="3"/>
  <c r="AH88" i="5" l="1"/>
  <c r="AI88" i="5" s="1"/>
  <c r="AE89" i="3" s="1"/>
  <c r="AH89" i="5"/>
  <c r="AI89" i="5" s="1"/>
  <c r="AE90" i="3" s="1"/>
  <c r="AH84" i="5"/>
  <c r="AI84" i="5" s="1"/>
  <c r="AE85" i="3" s="1"/>
  <c r="AF85" i="3" s="1"/>
  <c r="AF88" i="3"/>
  <c r="AF86" i="3"/>
  <c r="L294" i="3"/>
  <c r="M294" i="3" s="1"/>
  <c r="AH83" i="5"/>
  <c r="AI83" i="5" s="1"/>
  <c r="AE84" i="3" s="1"/>
  <c r="L313" i="3" s="1"/>
  <c r="N313" i="3" s="1"/>
  <c r="L315" i="3"/>
  <c r="M315" i="3" s="1"/>
  <c r="L301" i="3"/>
  <c r="M301" i="3" s="1"/>
  <c r="AF89" i="3"/>
  <c r="L304" i="3"/>
  <c r="M304" i="3" s="1"/>
  <c r="L311" i="3"/>
  <c r="N311" i="3" s="1"/>
  <c r="L318" i="3"/>
  <c r="N318" i="3" s="1"/>
  <c r="L297" i="3"/>
  <c r="N297" i="3" s="1"/>
  <c r="L317" i="3"/>
  <c r="N317" i="3" s="1"/>
  <c r="L310" i="3"/>
  <c r="N310" i="3" s="1"/>
  <c r="L303" i="3"/>
  <c r="N303" i="3" s="1"/>
  <c r="L296" i="3"/>
  <c r="M296" i="3" s="1"/>
  <c r="L300" i="3"/>
  <c r="M300" i="3" s="1"/>
  <c r="L322" i="3"/>
  <c r="M322" i="3" s="1"/>
  <c r="L324" i="3"/>
  <c r="M324" i="3" s="1"/>
  <c r="L308" i="3"/>
  <c r="N308" i="3" s="1"/>
  <c r="AH86" i="5"/>
  <c r="AI86" i="5" s="1"/>
  <c r="AE87" i="3" s="1"/>
  <c r="Z327" i="5"/>
  <c r="G326" i="5"/>
  <c r="E330" i="12"/>
  <c r="Y331" i="12"/>
  <c r="G331" i="12"/>
  <c r="Z332" i="12"/>
  <c r="B344" i="7"/>
  <c r="K343" i="7"/>
  <c r="C343" i="7"/>
  <c r="L343" i="7" s="1"/>
  <c r="E327" i="5"/>
  <c r="AA328" i="5"/>
  <c r="AG328" i="5"/>
  <c r="E327" i="3"/>
  <c r="G328" i="3"/>
  <c r="L320" i="3" l="1"/>
  <c r="M320" i="3" s="1"/>
  <c r="L321" i="3"/>
  <c r="M321" i="3" s="1"/>
  <c r="L314" i="3"/>
  <c r="M314" i="3" s="1"/>
  <c r="L307" i="3"/>
  <c r="N307" i="3" s="1"/>
  <c r="L299" i="3"/>
  <c r="N299" i="3" s="1"/>
  <c r="P294" i="3"/>
  <c r="R294" i="3" s="1"/>
  <c r="U294" i="3"/>
  <c r="W294" i="3" s="1"/>
  <c r="N294" i="3"/>
  <c r="AF84" i="3"/>
  <c r="N301" i="3"/>
  <c r="N315" i="3"/>
  <c r="AJ83" i="5"/>
  <c r="M313" i="3"/>
  <c r="N304" i="3"/>
  <c r="N296" i="3"/>
  <c r="M303" i="3"/>
  <c r="N300" i="3"/>
  <c r="M311" i="3"/>
  <c r="M297" i="3"/>
  <c r="M317" i="3"/>
  <c r="N322" i="3"/>
  <c r="N324" i="3"/>
  <c r="M310" i="3"/>
  <c r="M318" i="3"/>
  <c r="M308" i="3"/>
  <c r="AF87" i="3"/>
  <c r="L295" i="3"/>
  <c r="L302" i="3"/>
  <c r="L316" i="3"/>
  <c r="L309" i="3"/>
  <c r="L323" i="3"/>
  <c r="Z328" i="5"/>
  <c r="G327" i="5"/>
  <c r="G332" i="12"/>
  <c r="Z333" i="12"/>
  <c r="E331" i="12"/>
  <c r="Y332" i="12"/>
  <c r="K344" i="7"/>
  <c r="C344" i="7"/>
  <c r="L344" i="7" s="1"/>
  <c r="B345" i="7"/>
  <c r="AG329" i="5"/>
  <c r="AA329" i="5"/>
  <c r="E328" i="5"/>
  <c r="G329" i="3"/>
  <c r="E328" i="3"/>
  <c r="N320" i="3" l="1"/>
  <c r="N321" i="3"/>
  <c r="N314" i="3"/>
  <c r="M307" i="3"/>
  <c r="S294" i="3"/>
  <c r="X294" i="3"/>
  <c r="M299" i="3"/>
  <c r="AF90" i="3"/>
  <c r="M302" i="3"/>
  <c r="N302" i="3"/>
  <c r="P303" i="3"/>
  <c r="P323" i="3"/>
  <c r="P310" i="3"/>
  <c r="U309" i="3"/>
  <c r="N295" i="3"/>
  <c r="U301" i="3"/>
  <c r="U311" i="3"/>
  <c r="P314" i="3"/>
  <c r="P295" i="3"/>
  <c r="P315" i="3"/>
  <c r="U314" i="3"/>
  <c r="U297" i="3"/>
  <c r="P299" i="3"/>
  <c r="P302" i="3"/>
  <c r="P296" i="3"/>
  <c r="M295" i="3"/>
  <c r="U322" i="3"/>
  <c r="U302" i="3"/>
  <c r="P297" i="3"/>
  <c r="P301" i="3"/>
  <c r="U295" i="3"/>
  <c r="U317" i="3"/>
  <c r="U299" i="3"/>
  <c r="P309" i="3"/>
  <c r="P317" i="3"/>
  <c r="P300" i="3"/>
  <c r="U316" i="3"/>
  <c r="U296" i="3"/>
  <c r="U308" i="3"/>
  <c r="U300" i="3"/>
  <c r="P313" i="3"/>
  <c r="P318" i="3"/>
  <c r="P304" i="3"/>
  <c r="U307" i="3"/>
  <c r="U323" i="3"/>
  <c r="U315" i="3"/>
  <c r="U304" i="3"/>
  <c r="P316" i="3"/>
  <c r="P324" i="3"/>
  <c r="P308" i="3"/>
  <c r="P307" i="3"/>
  <c r="U318" i="3"/>
  <c r="U310" i="3"/>
  <c r="U313" i="3"/>
  <c r="U324" i="3"/>
  <c r="P321" i="3"/>
  <c r="P320" i="3"/>
  <c r="P322" i="3"/>
  <c r="P311" i="3"/>
  <c r="U303" i="3"/>
  <c r="U321" i="3"/>
  <c r="U320" i="3"/>
  <c r="N323" i="3"/>
  <c r="M323" i="3"/>
  <c r="N309" i="3"/>
  <c r="M309" i="3"/>
  <c r="M316" i="3"/>
  <c r="N316" i="3"/>
  <c r="Z329" i="5"/>
  <c r="G328" i="5"/>
  <c r="E332" i="12"/>
  <c r="Y333" i="12"/>
  <c r="Z334" i="12"/>
  <c r="G333" i="12"/>
  <c r="K345" i="7"/>
  <c r="C345" i="7"/>
  <c r="L345" i="7" s="1"/>
  <c r="B346" i="7"/>
  <c r="E329" i="5"/>
  <c r="AA330" i="5"/>
  <c r="AG330" i="5"/>
  <c r="E329" i="3"/>
  <c r="G330" i="3"/>
  <c r="S321" i="3" l="1"/>
  <c r="R321" i="3"/>
  <c r="S316" i="3"/>
  <c r="R316" i="3"/>
  <c r="X300" i="3"/>
  <c r="W300" i="3"/>
  <c r="W317" i="3"/>
  <c r="X317" i="3"/>
  <c r="S302" i="3"/>
  <c r="R302" i="3"/>
  <c r="W301" i="3"/>
  <c r="X301" i="3"/>
  <c r="W324" i="3"/>
  <c r="X324" i="3"/>
  <c r="W304" i="3"/>
  <c r="X304" i="3"/>
  <c r="W308" i="3"/>
  <c r="X308" i="3"/>
  <c r="W295" i="3"/>
  <c r="X295" i="3"/>
  <c r="S299" i="3"/>
  <c r="R299" i="3"/>
  <c r="X313" i="3"/>
  <c r="W313" i="3"/>
  <c r="X296" i="3"/>
  <c r="W296" i="3"/>
  <c r="S301" i="3"/>
  <c r="R301" i="3"/>
  <c r="X309" i="3"/>
  <c r="W309" i="3"/>
  <c r="X323" i="3"/>
  <c r="W323" i="3"/>
  <c r="W320" i="3"/>
  <c r="X320" i="3"/>
  <c r="X315" i="3"/>
  <c r="W315" i="3"/>
  <c r="W297" i="3"/>
  <c r="X297" i="3"/>
  <c r="W321" i="3"/>
  <c r="X321" i="3"/>
  <c r="W310" i="3"/>
  <c r="X310" i="3"/>
  <c r="X316" i="3"/>
  <c r="W316" i="3"/>
  <c r="S297" i="3"/>
  <c r="R297" i="3"/>
  <c r="X314" i="3"/>
  <c r="W314" i="3"/>
  <c r="S310" i="3"/>
  <c r="R310" i="3"/>
  <c r="W303" i="3"/>
  <c r="X303" i="3"/>
  <c r="X318" i="3"/>
  <c r="W318" i="3"/>
  <c r="X307" i="3"/>
  <c r="W307" i="3"/>
  <c r="R300" i="3"/>
  <c r="S300" i="3"/>
  <c r="W302" i="3"/>
  <c r="X302" i="3"/>
  <c r="S315" i="3"/>
  <c r="R315" i="3"/>
  <c r="R323" i="3"/>
  <c r="S323" i="3"/>
  <c r="R311" i="3"/>
  <c r="S311" i="3"/>
  <c r="R307" i="3"/>
  <c r="S307" i="3"/>
  <c r="S304" i="3"/>
  <c r="R304" i="3"/>
  <c r="S317" i="3"/>
  <c r="R317" i="3"/>
  <c r="X322" i="3"/>
  <c r="W322" i="3"/>
  <c r="R295" i="3"/>
  <c r="S295" i="3"/>
  <c r="R303" i="3"/>
  <c r="S303" i="3"/>
  <c r="S322" i="3"/>
  <c r="R322" i="3"/>
  <c r="S308" i="3"/>
  <c r="R308" i="3"/>
  <c r="R318" i="3"/>
  <c r="S318" i="3"/>
  <c r="S309" i="3"/>
  <c r="R309" i="3"/>
  <c r="S314" i="3"/>
  <c r="R314" i="3"/>
  <c r="S320" i="3"/>
  <c r="R320" i="3"/>
  <c r="R324" i="3"/>
  <c r="S324" i="3"/>
  <c r="R313" i="3"/>
  <c r="S313" i="3"/>
  <c r="W299" i="3"/>
  <c r="X299" i="3"/>
  <c r="R296" i="3"/>
  <c r="S296" i="3"/>
  <c r="W311" i="3"/>
  <c r="X311" i="3"/>
  <c r="Z330" i="5"/>
  <c r="G329" i="5"/>
  <c r="G334" i="12"/>
  <c r="Z335" i="12"/>
  <c r="E333" i="12"/>
  <c r="Y334" i="12"/>
  <c r="K346" i="7"/>
  <c r="B347" i="7"/>
  <c r="C346" i="7"/>
  <c r="L346" i="7" s="1"/>
  <c r="AG331" i="5"/>
  <c r="AA331" i="5"/>
  <c r="E330" i="5"/>
  <c r="G331" i="3"/>
  <c r="E330" i="3"/>
  <c r="Z331" i="5" l="1"/>
  <c r="G330" i="5"/>
  <c r="Y335" i="12"/>
  <c r="E334" i="12"/>
  <c r="Z336" i="12"/>
  <c r="G335" i="12"/>
  <c r="K347" i="7"/>
  <c r="B348" i="7"/>
  <c r="C347" i="7"/>
  <c r="L347" i="7" s="1"/>
  <c r="AA332" i="5"/>
  <c r="E331" i="5"/>
  <c r="AG332" i="5"/>
  <c r="E331" i="3"/>
  <c r="G332" i="3"/>
  <c r="Z332" i="5" l="1"/>
  <c r="G331" i="5"/>
  <c r="Z337" i="12"/>
  <c r="G336" i="12"/>
  <c r="E335" i="12"/>
  <c r="Y336" i="12"/>
  <c r="C348" i="7"/>
  <c r="L348" i="7" s="1"/>
  <c r="B349" i="7"/>
  <c r="K348" i="7"/>
  <c r="AG333" i="5"/>
  <c r="AA333" i="5"/>
  <c r="E332" i="5"/>
  <c r="G333" i="3"/>
  <c r="E332" i="3"/>
  <c r="Z333" i="5" l="1"/>
  <c r="G332" i="5"/>
  <c r="Y337" i="12"/>
  <c r="E336" i="12"/>
  <c r="Z338" i="12"/>
  <c r="G337" i="12"/>
  <c r="B350" i="7"/>
  <c r="C349" i="7"/>
  <c r="L349" i="7" s="1"/>
  <c r="K349" i="7"/>
  <c r="AA334" i="5"/>
  <c r="E333" i="5"/>
  <c r="AG334" i="5"/>
  <c r="E333" i="3"/>
  <c r="G334" i="3"/>
  <c r="Z334" i="5" l="1"/>
  <c r="G333" i="5"/>
  <c r="Z339" i="12"/>
  <c r="G338" i="12"/>
  <c r="Y338" i="12"/>
  <c r="E337" i="12"/>
  <c r="K350" i="7"/>
  <c r="C350" i="7"/>
  <c r="L350" i="7" s="1"/>
  <c r="B351" i="7"/>
  <c r="AG335" i="5"/>
  <c r="AA335" i="5"/>
  <c r="E334" i="5"/>
  <c r="G335" i="3"/>
  <c r="E334" i="3"/>
  <c r="Z335" i="5" l="1"/>
  <c r="G334" i="5"/>
  <c r="E338" i="12"/>
  <c r="Y339" i="12"/>
  <c r="Z340" i="12"/>
  <c r="G339" i="12"/>
  <c r="C351" i="7"/>
  <c r="L351" i="7" s="1"/>
  <c r="B352" i="7"/>
  <c r="K351" i="7"/>
  <c r="E335" i="5"/>
  <c r="AA336" i="5"/>
  <c r="AG336" i="5"/>
  <c r="E335" i="3"/>
  <c r="G336" i="3"/>
  <c r="Z336" i="5" l="1"/>
  <c r="G335" i="5"/>
  <c r="Z341" i="12"/>
  <c r="G340" i="12"/>
  <c r="Y340" i="12"/>
  <c r="E339" i="12"/>
  <c r="C352" i="7"/>
  <c r="L352" i="7" s="1"/>
  <c r="K352" i="7"/>
  <c r="B353" i="7"/>
  <c r="AG337" i="5"/>
  <c r="AA337" i="5"/>
  <c r="E336" i="5"/>
  <c r="G337" i="3"/>
  <c r="E336" i="3"/>
  <c r="Z337" i="5" l="1"/>
  <c r="G336" i="5"/>
  <c r="Y341" i="12"/>
  <c r="E340" i="12"/>
  <c r="Z342" i="12"/>
  <c r="G341" i="12"/>
  <c r="K353" i="7"/>
  <c r="B354" i="7"/>
  <c r="C353" i="7"/>
  <c r="L353" i="7" s="1"/>
  <c r="AA338" i="5"/>
  <c r="E337" i="5"/>
  <c r="AG338" i="5"/>
  <c r="E337" i="3"/>
  <c r="G338" i="3"/>
  <c r="Z338" i="5" l="1"/>
  <c r="G337" i="5"/>
  <c r="Z343" i="12"/>
  <c r="G342" i="12"/>
  <c r="E341" i="12"/>
  <c r="Y342" i="12"/>
  <c r="K354" i="7"/>
  <c r="C354" i="7"/>
  <c r="L354" i="7" s="1"/>
  <c r="B355" i="7"/>
  <c r="AG339" i="5"/>
  <c r="AA339" i="5"/>
  <c r="E338" i="5"/>
  <c r="G339" i="3"/>
  <c r="E338" i="3"/>
  <c r="Z339" i="5" l="1"/>
  <c r="G338" i="5"/>
  <c r="E342" i="12"/>
  <c r="Y343" i="12"/>
  <c r="Z344" i="12"/>
  <c r="G343" i="12"/>
  <c r="C355" i="7"/>
  <c r="L355" i="7" s="1"/>
  <c r="B356" i="7"/>
  <c r="K355" i="7"/>
  <c r="AA340" i="5"/>
  <c r="E339" i="5"/>
  <c r="AG340" i="5"/>
  <c r="E339" i="3"/>
  <c r="G340" i="3"/>
  <c r="Z340" i="5" l="1"/>
  <c r="G339" i="5"/>
  <c r="Z345" i="12"/>
  <c r="G344" i="12"/>
  <c r="Y344" i="12"/>
  <c r="E343" i="12"/>
  <c r="B357" i="7"/>
  <c r="K356" i="7"/>
  <c r="C356" i="7"/>
  <c r="L356" i="7" s="1"/>
  <c r="AG341" i="5"/>
  <c r="AA341" i="5"/>
  <c r="E340" i="5"/>
  <c r="G341" i="3"/>
  <c r="E340" i="3"/>
  <c r="Z341" i="5" l="1"/>
  <c r="G340" i="5"/>
  <c r="Y345" i="12"/>
  <c r="E344" i="12"/>
  <c r="Z346" i="12"/>
  <c r="G345" i="12"/>
  <c r="B358" i="7"/>
  <c r="K357" i="7"/>
  <c r="C357" i="7"/>
  <c r="L357" i="7" s="1"/>
  <c r="AA342" i="5"/>
  <c r="E341" i="5"/>
  <c r="AG342" i="5"/>
  <c r="E341" i="3"/>
  <c r="G342" i="3"/>
  <c r="Z342" i="5" l="1"/>
  <c r="G341" i="5"/>
  <c r="Z347" i="12"/>
  <c r="G346" i="12"/>
  <c r="Y346" i="12"/>
  <c r="E345" i="12"/>
  <c r="B359" i="7"/>
  <c r="K358" i="7"/>
  <c r="C358" i="7"/>
  <c r="L358" i="7" s="1"/>
  <c r="AG343" i="5"/>
  <c r="E342" i="5"/>
  <c r="AA343" i="5"/>
  <c r="G343" i="3"/>
  <c r="E342" i="3"/>
  <c r="Z343" i="5" l="1"/>
  <c r="G342" i="5"/>
  <c r="Y347" i="12"/>
  <c r="E346" i="12"/>
  <c r="Z348" i="12"/>
  <c r="G347" i="12"/>
  <c r="C359" i="7"/>
  <c r="L359" i="7" s="1"/>
  <c r="K359" i="7"/>
  <c r="B360" i="7"/>
  <c r="AA344" i="5"/>
  <c r="E343" i="5"/>
  <c r="AG344" i="5"/>
  <c r="E343" i="3"/>
  <c r="G344" i="3"/>
  <c r="Z344" i="5" l="1"/>
  <c r="G343" i="5"/>
  <c r="Z349" i="12"/>
  <c r="G348" i="12"/>
  <c r="Y348" i="12"/>
  <c r="E347" i="12"/>
  <c r="C360" i="7"/>
  <c r="L360" i="7" s="1"/>
  <c r="B361" i="7"/>
  <c r="K360" i="7"/>
  <c r="AG345" i="5"/>
  <c r="AA345" i="5"/>
  <c r="E344" i="5"/>
  <c r="G345" i="3"/>
  <c r="E344" i="3"/>
  <c r="Z345" i="5" l="1"/>
  <c r="G344" i="5"/>
  <c r="Y349" i="12"/>
  <c r="E348" i="12"/>
  <c r="Z350" i="12"/>
  <c r="G349" i="12"/>
  <c r="C361" i="7"/>
  <c r="L361" i="7" s="1"/>
  <c r="B362" i="7"/>
  <c r="K361" i="7"/>
  <c r="E345" i="5"/>
  <c r="AA346" i="5"/>
  <c r="AG346" i="5"/>
  <c r="E345" i="3"/>
  <c r="G346" i="3"/>
  <c r="Z346" i="5" l="1"/>
  <c r="G345" i="5"/>
  <c r="Z351" i="12"/>
  <c r="G350" i="12"/>
  <c r="Y350" i="12"/>
  <c r="E349" i="12"/>
  <c r="K362" i="7"/>
  <c r="B363" i="7"/>
  <c r="C362" i="7"/>
  <c r="L362" i="7" s="1"/>
  <c r="AG347" i="5"/>
  <c r="E346" i="5"/>
  <c r="AA347" i="5"/>
  <c r="G347" i="3"/>
  <c r="E346" i="3"/>
  <c r="Z347" i="5" l="1"/>
  <c r="G346" i="5"/>
  <c r="Y351" i="12"/>
  <c r="E350" i="12"/>
  <c r="Z352" i="12"/>
  <c r="G351" i="12"/>
  <c r="K363" i="7"/>
  <c r="B364" i="7"/>
  <c r="C363" i="7"/>
  <c r="L363" i="7" s="1"/>
  <c r="AA348" i="5"/>
  <c r="E347" i="5"/>
  <c r="AG348" i="5"/>
  <c r="E347" i="3"/>
  <c r="G348" i="3"/>
  <c r="Z348" i="5" l="1"/>
  <c r="G347" i="5"/>
  <c r="Z353" i="12"/>
  <c r="G352" i="12"/>
  <c r="Y352" i="12"/>
  <c r="E351" i="12"/>
  <c r="K364" i="7"/>
  <c r="C364" i="7"/>
  <c r="L364" i="7" s="1"/>
  <c r="B365" i="7"/>
  <c r="AG349" i="5"/>
  <c r="AA349" i="5"/>
  <c r="E348" i="5"/>
  <c r="G349" i="3"/>
  <c r="E348" i="3"/>
  <c r="Z349" i="5" l="1"/>
  <c r="G348" i="5"/>
  <c r="Y353" i="12"/>
  <c r="E352" i="12"/>
  <c r="Z354" i="12"/>
  <c r="G353" i="12"/>
  <c r="B366" i="7"/>
  <c r="K365" i="7"/>
  <c r="C365" i="7"/>
  <c r="L365" i="7" s="1"/>
  <c r="E349" i="5"/>
  <c r="AA350" i="5"/>
  <c r="AG350" i="5"/>
  <c r="E349" i="3"/>
  <c r="G350" i="3"/>
  <c r="Z350" i="5" l="1"/>
  <c r="G349" i="5"/>
  <c r="Z355" i="12"/>
  <c r="G354" i="12"/>
  <c r="Y354" i="12"/>
  <c r="E353" i="12"/>
  <c r="K366" i="7"/>
  <c r="B367" i="7"/>
  <c r="C366" i="7"/>
  <c r="L366" i="7" s="1"/>
  <c r="AG351" i="5"/>
  <c r="AA351" i="5"/>
  <c r="E350" i="5"/>
  <c r="G351" i="3"/>
  <c r="E350" i="3"/>
  <c r="Z351" i="5" l="1"/>
  <c r="G350" i="5"/>
  <c r="Y355" i="12"/>
  <c r="E354" i="12"/>
  <c r="Z356" i="12"/>
  <c r="G355" i="12"/>
  <c r="B368" i="7"/>
  <c r="K367" i="7"/>
  <c r="C367" i="7"/>
  <c r="L367" i="7" s="1"/>
  <c r="AA352" i="5"/>
  <c r="E351" i="5"/>
  <c r="AG352" i="5"/>
  <c r="E351" i="3"/>
  <c r="G352" i="3"/>
  <c r="Z352" i="5" l="1"/>
  <c r="G351" i="5"/>
  <c r="Z357" i="12"/>
  <c r="G356" i="12"/>
  <c r="Y356" i="12"/>
  <c r="E355" i="12"/>
  <c r="B369" i="7"/>
  <c r="C368" i="7"/>
  <c r="L368" i="7" s="1"/>
  <c r="K368" i="7"/>
  <c r="AG353" i="5"/>
  <c r="AA353" i="5"/>
  <c r="E352" i="5"/>
  <c r="G353" i="3"/>
  <c r="E352" i="3"/>
  <c r="Z353" i="5" l="1"/>
  <c r="G352" i="5"/>
  <c r="Y357" i="12"/>
  <c r="E356" i="12"/>
  <c r="Z358" i="12"/>
  <c r="G357" i="12"/>
  <c r="B373" i="7"/>
  <c r="C369" i="7"/>
  <c r="L369" i="7" s="1"/>
  <c r="K369" i="7"/>
  <c r="E353" i="5"/>
  <c r="AA354" i="5"/>
  <c r="AG354" i="5"/>
  <c r="E353" i="3"/>
  <c r="G354" i="3"/>
  <c r="Z354" i="5" l="1"/>
  <c r="G353" i="5"/>
  <c r="AD91" i="3"/>
  <c r="AD93" i="3"/>
  <c r="AC95" i="3"/>
  <c r="AD97" i="3"/>
  <c r="AD96" i="3"/>
  <c r="AC91" i="3"/>
  <c r="AC94" i="3"/>
  <c r="AD92" i="3"/>
  <c r="AD95" i="3"/>
  <c r="AC96" i="3"/>
  <c r="AC92" i="3"/>
  <c r="AC93" i="3"/>
  <c r="AD94" i="3"/>
  <c r="AC97" i="3"/>
  <c r="Z359" i="12"/>
  <c r="G358" i="12"/>
  <c r="Y358" i="12"/>
  <c r="E357" i="12"/>
  <c r="B374" i="7"/>
  <c r="K373" i="7"/>
  <c r="C373" i="7"/>
  <c r="L373" i="7" s="1"/>
  <c r="AG355" i="5"/>
  <c r="AA355" i="5"/>
  <c r="E354" i="5"/>
  <c r="G355" i="3"/>
  <c r="E354" i="3"/>
  <c r="Z355" i="5" l="1"/>
  <c r="G354" i="5"/>
  <c r="AE94" i="5" s="1"/>
  <c r="AF90" i="5"/>
  <c r="AE91" i="5"/>
  <c r="Y359" i="12"/>
  <c r="E358" i="12"/>
  <c r="Z360" i="12"/>
  <c r="G359" i="12"/>
  <c r="B375" i="7"/>
  <c r="K374" i="7"/>
  <c r="C374" i="7"/>
  <c r="L374" i="7" s="1"/>
  <c r="AA356" i="5"/>
  <c r="E355" i="5"/>
  <c r="AG356" i="5"/>
  <c r="E355" i="3"/>
  <c r="G356" i="3"/>
  <c r="AE93" i="5" l="1"/>
  <c r="AE95" i="5"/>
  <c r="AE90" i="5"/>
  <c r="AH90" i="5" s="1"/>
  <c r="AI90" i="5" s="1"/>
  <c r="AE91" i="3" s="1"/>
  <c r="AF93" i="5"/>
  <c r="AF94" i="5"/>
  <c r="AH94" i="5" s="1"/>
  <c r="AI94" i="5" s="1"/>
  <c r="AE95" i="3" s="1"/>
  <c r="C11" i="14" s="1"/>
  <c r="AE96" i="5"/>
  <c r="AF92" i="5"/>
  <c r="AE92" i="5"/>
  <c r="AF91" i="5"/>
  <c r="AH91" i="5" s="1"/>
  <c r="AI91" i="5" s="1"/>
  <c r="AF95" i="5"/>
  <c r="Z356" i="5"/>
  <c r="G355" i="5"/>
  <c r="AF96" i="5"/>
  <c r="Z361" i="12"/>
  <c r="G360" i="12"/>
  <c r="Y360" i="12"/>
  <c r="E359" i="12"/>
  <c r="C375" i="7"/>
  <c r="L375" i="7" s="1"/>
  <c r="K375" i="7"/>
  <c r="B376" i="7"/>
  <c r="AG357" i="5"/>
  <c r="AA357" i="5"/>
  <c r="E356" i="5"/>
  <c r="G357" i="3"/>
  <c r="E356" i="3"/>
  <c r="E67" i="14" l="1"/>
  <c r="E74" i="14"/>
  <c r="E60" i="14"/>
  <c r="E53" i="14"/>
  <c r="AF91" i="3"/>
  <c r="C7" i="14"/>
  <c r="AH92" i="5"/>
  <c r="AI92" i="5" s="1"/>
  <c r="AE93" i="3" s="1"/>
  <c r="L341" i="3"/>
  <c r="M341" i="3" s="1"/>
  <c r="AH95" i="5"/>
  <c r="AI95" i="5" s="1"/>
  <c r="AE96" i="3" s="1"/>
  <c r="AF95" i="3"/>
  <c r="L338" i="3"/>
  <c r="N338" i="3" s="1"/>
  <c r="AH96" i="5"/>
  <c r="AI96" i="5" s="1"/>
  <c r="AE97" i="3" s="1"/>
  <c r="L325" i="3"/>
  <c r="P325" i="3" s="1"/>
  <c r="L331" i="3"/>
  <c r="N331" i="3" s="1"/>
  <c r="AE92" i="3"/>
  <c r="C8" i="14" s="1"/>
  <c r="L334" i="3"/>
  <c r="M334" i="3" s="1"/>
  <c r="L352" i="3"/>
  <c r="N352" i="3" s="1"/>
  <c r="L345" i="3"/>
  <c r="M345" i="3" s="1"/>
  <c r="AH93" i="5"/>
  <c r="AI93" i="5" s="1"/>
  <c r="AE94" i="3" s="1"/>
  <c r="C10" i="14" s="1"/>
  <c r="Z357" i="5"/>
  <c r="G356" i="5"/>
  <c r="Y361" i="12"/>
  <c r="E360" i="12"/>
  <c r="Z362" i="12"/>
  <c r="G361" i="12"/>
  <c r="B377" i="7"/>
  <c r="K376" i="7"/>
  <c r="C376" i="7"/>
  <c r="L376" i="7" s="1"/>
  <c r="E357" i="5"/>
  <c r="AA358" i="5"/>
  <c r="AG358" i="5"/>
  <c r="E357" i="3"/>
  <c r="G358" i="3"/>
  <c r="E78" i="14" l="1"/>
  <c r="E71" i="14"/>
  <c r="E57" i="14"/>
  <c r="E64" i="14"/>
  <c r="E50" i="14"/>
  <c r="L329" i="3"/>
  <c r="M329" i="3" s="1"/>
  <c r="C9" i="14"/>
  <c r="E63" i="14"/>
  <c r="E56" i="14"/>
  <c r="E77" i="14"/>
  <c r="F53" i="14"/>
  <c r="G53" i="14"/>
  <c r="F60" i="14"/>
  <c r="G60" i="14"/>
  <c r="G74" i="14"/>
  <c r="F74" i="14"/>
  <c r="E59" i="14"/>
  <c r="E73" i="14"/>
  <c r="E80" i="14"/>
  <c r="E52" i="14"/>
  <c r="E66" i="14"/>
  <c r="L353" i="3"/>
  <c r="M353" i="3" s="1"/>
  <c r="C12" i="14"/>
  <c r="F67" i="14"/>
  <c r="G67" i="14"/>
  <c r="L343" i="3"/>
  <c r="M343" i="3" s="1"/>
  <c r="L339" i="3"/>
  <c r="M339" i="3" s="1"/>
  <c r="L346" i="3"/>
  <c r="N346" i="3" s="1"/>
  <c r="L332" i="3"/>
  <c r="M332" i="3" s="1"/>
  <c r="AF96" i="3"/>
  <c r="AF93" i="3"/>
  <c r="L350" i="3"/>
  <c r="M350" i="3" s="1"/>
  <c r="L336" i="3"/>
  <c r="N336" i="3" s="1"/>
  <c r="N341" i="3"/>
  <c r="M338" i="3"/>
  <c r="M331" i="3"/>
  <c r="N334" i="3"/>
  <c r="N345" i="3"/>
  <c r="AF94" i="3"/>
  <c r="L330" i="3"/>
  <c r="L337" i="3"/>
  <c r="L344" i="3"/>
  <c r="L351" i="3"/>
  <c r="M352" i="3"/>
  <c r="N325" i="3"/>
  <c r="M325" i="3"/>
  <c r="AF92" i="3"/>
  <c r="L328" i="3"/>
  <c r="P328" i="3" s="1"/>
  <c r="L335" i="3"/>
  <c r="L342" i="3"/>
  <c r="L349" i="3"/>
  <c r="U325" i="3"/>
  <c r="AJ90" i="5"/>
  <c r="Z358" i="5"/>
  <c r="G357" i="5"/>
  <c r="S325" i="3"/>
  <c r="R325" i="3"/>
  <c r="Z363" i="12"/>
  <c r="G362" i="12"/>
  <c r="Y362" i="12"/>
  <c r="E361" i="12"/>
  <c r="K377" i="7"/>
  <c r="B378" i="7"/>
  <c r="C377" i="7"/>
  <c r="L377" i="7" s="1"/>
  <c r="AG359" i="5"/>
  <c r="AA359" i="5"/>
  <c r="E358" i="5"/>
  <c r="G359" i="3"/>
  <c r="E358" i="3"/>
  <c r="C18" i="14"/>
  <c r="N329" i="3" l="1"/>
  <c r="N353" i="3"/>
  <c r="E58" i="14"/>
  <c r="E79" i="14"/>
  <c r="E65" i="14"/>
  <c r="E51" i="14"/>
  <c r="E72" i="14"/>
  <c r="G73" i="14"/>
  <c r="F73" i="14"/>
  <c r="G77" i="14"/>
  <c r="F77" i="14"/>
  <c r="G64" i="14"/>
  <c r="F64" i="14"/>
  <c r="G59" i="14"/>
  <c r="F59" i="14"/>
  <c r="F56" i="14"/>
  <c r="G56" i="14"/>
  <c r="I56" i="14"/>
  <c r="F57" i="14"/>
  <c r="G57" i="14"/>
  <c r="F66" i="14"/>
  <c r="G66" i="14"/>
  <c r="G52" i="14"/>
  <c r="F52" i="14"/>
  <c r="G80" i="14"/>
  <c r="F80" i="14"/>
  <c r="I50" i="14"/>
  <c r="F50" i="14"/>
  <c r="G50" i="14"/>
  <c r="G63" i="14"/>
  <c r="F63" i="14"/>
  <c r="F71" i="14"/>
  <c r="G71" i="14"/>
  <c r="E61" i="14"/>
  <c r="E68" i="14"/>
  <c r="E75" i="14"/>
  <c r="E54" i="14"/>
  <c r="C20" i="14"/>
  <c r="C19" i="14"/>
  <c r="F78" i="14"/>
  <c r="G78" i="14"/>
  <c r="N343" i="3"/>
  <c r="X325" i="3"/>
  <c r="N339" i="3"/>
  <c r="N332" i="3"/>
  <c r="M346" i="3"/>
  <c r="N350" i="3"/>
  <c r="M336" i="3"/>
  <c r="U331" i="3"/>
  <c r="W331" i="3" s="1"/>
  <c r="W325" i="3"/>
  <c r="R328" i="3"/>
  <c r="S328" i="3"/>
  <c r="U328" i="3"/>
  <c r="P334" i="3"/>
  <c r="R334" i="3" s="1"/>
  <c r="U330" i="3"/>
  <c r="W330" i="3" s="1"/>
  <c r="U351" i="3"/>
  <c r="W351" i="3" s="1"/>
  <c r="N337" i="3"/>
  <c r="M337" i="3"/>
  <c r="U346" i="3"/>
  <c r="P332" i="3"/>
  <c r="N335" i="3"/>
  <c r="M335" i="3"/>
  <c r="U338" i="3"/>
  <c r="U343" i="3"/>
  <c r="P350" i="3"/>
  <c r="P338" i="3"/>
  <c r="M328" i="3"/>
  <c r="U341" i="3"/>
  <c r="P331" i="3"/>
  <c r="P352" i="3"/>
  <c r="U336" i="3"/>
  <c r="U337" i="3"/>
  <c r="N328" i="3"/>
  <c r="U329" i="3"/>
  <c r="U344" i="3"/>
  <c r="P329" i="3"/>
  <c r="P341" i="3"/>
  <c r="P351" i="3"/>
  <c r="U334" i="3"/>
  <c r="U345" i="3"/>
  <c r="U332" i="3"/>
  <c r="P345" i="3"/>
  <c r="P335" i="3"/>
  <c r="AF97" i="3"/>
  <c r="U339" i="3"/>
  <c r="U335" i="3"/>
  <c r="P330" i="3"/>
  <c r="U349" i="3"/>
  <c r="M349" i="3"/>
  <c r="N349" i="3"/>
  <c r="P346" i="3"/>
  <c r="P343" i="3"/>
  <c r="M351" i="3"/>
  <c r="N351" i="3"/>
  <c r="P349" i="3"/>
  <c r="P337" i="3"/>
  <c r="M344" i="3"/>
  <c r="N344" i="3"/>
  <c r="P344" i="3"/>
  <c r="P353" i="3"/>
  <c r="M330" i="3"/>
  <c r="N330" i="3"/>
  <c r="P336" i="3"/>
  <c r="U350" i="3"/>
  <c r="N342" i="3"/>
  <c r="M342" i="3"/>
  <c r="U353" i="3"/>
  <c r="P342" i="3"/>
  <c r="P339" i="3"/>
  <c r="U352" i="3"/>
  <c r="U342" i="3"/>
  <c r="Z359" i="5"/>
  <c r="G358" i="5"/>
  <c r="Y363" i="12"/>
  <c r="E362" i="12"/>
  <c r="Z364" i="12"/>
  <c r="G363" i="12"/>
  <c r="K378" i="7"/>
  <c r="C378" i="7"/>
  <c r="L378" i="7" s="1"/>
  <c r="B379" i="7"/>
  <c r="AA360" i="5"/>
  <c r="E359" i="5"/>
  <c r="AG360" i="5"/>
  <c r="E359" i="3"/>
  <c r="G360" i="3"/>
  <c r="G65" i="14" l="1"/>
  <c r="F65" i="14"/>
  <c r="F54" i="14"/>
  <c r="G54" i="14"/>
  <c r="F51" i="14"/>
  <c r="G51" i="14"/>
  <c r="E81" i="14"/>
  <c r="E82" i="14" s="1"/>
  <c r="G75" i="14"/>
  <c r="F75" i="14"/>
  <c r="G68" i="14"/>
  <c r="F68" i="14"/>
  <c r="G79" i="14"/>
  <c r="F79" i="14"/>
  <c r="G61" i="14"/>
  <c r="F61" i="14"/>
  <c r="I51" i="14"/>
  <c r="J50" i="14"/>
  <c r="K50" i="14"/>
  <c r="G58" i="14"/>
  <c r="F58" i="14"/>
  <c r="J56" i="14"/>
  <c r="I57" i="14"/>
  <c r="K56" i="14"/>
  <c r="F72" i="14"/>
  <c r="G72" i="14"/>
  <c r="X331" i="3"/>
  <c r="S334" i="3"/>
  <c r="X351" i="3"/>
  <c r="X330" i="3"/>
  <c r="W328" i="3"/>
  <c r="X328" i="3"/>
  <c r="W339" i="3"/>
  <c r="X339" i="3"/>
  <c r="R341" i="3"/>
  <c r="S341" i="3"/>
  <c r="R331" i="3"/>
  <c r="S331" i="3"/>
  <c r="R342" i="3"/>
  <c r="S342" i="3"/>
  <c r="R353" i="3"/>
  <c r="S353" i="3"/>
  <c r="S343" i="3"/>
  <c r="R343" i="3"/>
  <c r="R329" i="3"/>
  <c r="S329" i="3"/>
  <c r="W353" i="3"/>
  <c r="X353" i="3"/>
  <c r="S344" i="3"/>
  <c r="R344" i="3"/>
  <c r="R346" i="3"/>
  <c r="S346" i="3"/>
  <c r="R335" i="3"/>
  <c r="S335" i="3"/>
  <c r="X344" i="3"/>
  <c r="W344" i="3"/>
  <c r="X341" i="3"/>
  <c r="W341" i="3"/>
  <c r="R332" i="3"/>
  <c r="S332" i="3"/>
  <c r="S345" i="3"/>
  <c r="R345" i="3"/>
  <c r="X329" i="3"/>
  <c r="W329" i="3"/>
  <c r="S338" i="3"/>
  <c r="R338" i="3"/>
  <c r="W346" i="3"/>
  <c r="X346" i="3"/>
  <c r="W342" i="3"/>
  <c r="X342" i="3"/>
  <c r="X332" i="3"/>
  <c r="W332" i="3"/>
  <c r="S350" i="3"/>
  <c r="R350" i="3"/>
  <c r="X352" i="3"/>
  <c r="W352" i="3"/>
  <c r="W350" i="3"/>
  <c r="X350" i="3"/>
  <c r="S337" i="3"/>
  <c r="R337" i="3"/>
  <c r="X349" i="3"/>
  <c r="W349" i="3"/>
  <c r="W345" i="3"/>
  <c r="X345" i="3"/>
  <c r="W337" i="3"/>
  <c r="X337" i="3"/>
  <c r="W343" i="3"/>
  <c r="X343" i="3"/>
  <c r="S339" i="3"/>
  <c r="R339" i="3"/>
  <c r="S336" i="3"/>
  <c r="R336" i="3"/>
  <c r="S349" i="3"/>
  <c r="R349" i="3"/>
  <c r="S330" i="3"/>
  <c r="R330" i="3"/>
  <c r="W334" i="3"/>
  <c r="X334" i="3"/>
  <c r="X336" i="3"/>
  <c r="W336" i="3"/>
  <c r="X338" i="3"/>
  <c r="W338" i="3"/>
  <c r="X335" i="3"/>
  <c r="W335" i="3"/>
  <c r="R351" i="3"/>
  <c r="S351" i="3"/>
  <c r="S352" i="3"/>
  <c r="R352" i="3"/>
  <c r="Z360" i="5"/>
  <c r="G359" i="5"/>
  <c r="Z365" i="12"/>
  <c r="G364" i="12"/>
  <c r="Y364" i="12"/>
  <c r="E363" i="12"/>
  <c r="C379" i="7"/>
  <c r="L379" i="7" s="1"/>
  <c r="B380" i="7"/>
  <c r="K379" i="7"/>
  <c r="AG361" i="5"/>
  <c r="AA361" i="5"/>
  <c r="E360" i="5"/>
  <c r="G361" i="3"/>
  <c r="E360" i="3"/>
  <c r="C28" i="14"/>
  <c r="C23" i="14"/>
  <c r="C25" i="14" l="1"/>
  <c r="C29" i="14"/>
  <c r="C30" i="14"/>
  <c r="C24" i="14"/>
  <c r="J51" i="14"/>
  <c r="K51" i="14"/>
  <c r="I52" i="14"/>
  <c r="I58" i="14"/>
  <c r="K57" i="14"/>
  <c r="J57" i="14"/>
  <c r="Z361" i="5"/>
  <c r="G360" i="5"/>
  <c r="Y365" i="12"/>
  <c r="E364" i="12"/>
  <c r="Z366" i="12"/>
  <c r="G365" i="12"/>
  <c r="K380" i="7"/>
  <c r="B381" i="7"/>
  <c r="C380" i="7"/>
  <c r="L380" i="7" s="1"/>
  <c r="E361" i="5"/>
  <c r="AA362" i="5"/>
  <c r="AG362" i="5"/>
  <c r="E361" i="3"/>
  <c r="G362" i="3"/>
  <c r="J58" i="14" l="1"/>
  <c r="K58" i="14"/>
  <c r="J52" i="14"/>
  <c r="K52" i="14"/>
  <c r="I53" i="14"/>
  <c r="Z362" i="5"/>
  <c r="G361" i="5"/>
  <c r="Z367" i="12"/>
  <c r="G366" i="12"/>
  <c r="Y366" i="12"/>
  <c r="E365" i="12"/>
  <c r="K381" i="7"/>
  <c r="B382" i="7"/>
  <c r="C381" i="7"/>
  <c r="L381" i="7" s="1"/>
  <c r="AG363" i="5"/>
  <c r="AA363" i="5"/>
  <c r="E362" i="5"/>
  <c r="G363" i="3"/>
  <c r="E362" i="3"/>
  <c r="J53" i="14" l="1"/>
  <c r="I54" i="14"/>
  <c r="K53" i="14"/>
  <c r="Z363" i="5"/>
  <c r="G362" i="5"/>
  <c r="Y367" i="12"/>
  <c r="E366" i="12"/>
  <c r="Z368" i="12"/>
  <c r="G367" i="12"/>
  <c r="B383" i="7"/>
  <c r="C382" i="7"/>
  <c r="L382" i="7" s="1"/>
  <c r="K382" i="7"/>
  <c r="AA364" i="5"/>
  <c r="E363" i="5"/>
  <c r="AG364" i="5"/>
  <c r="E363" i="3"/>
  <c r="G364" i="3"/>
  <c r="K54" i="14" l="1"/>
  <c r="J54" i="14"/>
  <c r="Z364" i="5"/>
  <c r="G363" i="5"/>
  <c r="Z369" i="12"/>
  <c r="G368" i="12"/>
  <c r="Y368" i="12"/>
  <c r="E367" i="12"/>
  <c r="C383" i="7"/>
  <c r="L383" i="7" s="1"/>
  <c r="B384" i="7"/>
  <c r="K383" i="7"/>
  <c r="AG365" i="5"/>
  <c r="AA365" i="5"/>
  <c r="E364" i="5"/>
  <c r="G365" i="3"/>
  <c r="E364" i="3"/>
  <c r="Z365" i="5" l="1"/>
  <c r="G364" i="5"/>
  <c r="Y369" i="12"/>
  <c r="E368" i="12"/>
  <c r="Z370" i="12"/>
  <c r="G369" i="12"/>
  <c r="B385" i="7"/>
  <c r="K384" i="7"/>
  <c r="C384" i="7"/>
  <c r="L384" i="7" s="1"/>
  <c r="E365" i="5"/>
  <c r="AA366" i="5"/>
  <c r="AG366" i="5"/>
  <c r="E365" i="3"/>
  <c r="G366" i="3"/>
  <c r="Z366" i="5" l="1"/>
  <c r="G365" i="5"/>
  <c r="Z371" i="12"/>
  <c r="G370" i="12"/>
  <c r="Y370" i="12"/>
  <c r="E369" i="12"/>
  <c r="B386" i="7"/>
  <c r="K385" i="7"/>
  <c r="C385" i="7"/>
  <c r="L385" i="7" s="1"/>
  <c r="AG367" i="5"/>
  <c r="AA367" i="5"/>
  <c r="E366" i="5"/>
  <c r="G367" i="3"/>
  <c r="E366" i="3"/>
  <c r="Z367" i="5" l="1"/>
  <c r="G366" i="5"/>
  <c r="Y371" i="12"/>
  <c r="E370" i="12"/>
  <c r="Z372" i="12"/>
  <c r="G371" i="12"/>
  <c r="K386" i="7"/>
  <c r="C386" i="7"/>
  <c r="L386" i="7" s="1"/>
  <c r="B387" i="7"/>
  <c r="AA368" i="5"/>
  <c r="E367" i="5"/>
  <c r="AG368" i="5"/>
  <c r="E367" i="3"/>
  <c r="G368" i="3"/>
  <c r="Z368" i="5" l="1"/>
  <c r="G367" i="5"/>
  <c r="Z373" i="12"/>
  <c r="G372" i="12"/>
  <c r="Y372" i="12"/>
  <c r="E371" i="12"/>
  <c r="K387" i="7"/>
  <c r="C387" i="7"/>
  <c r="L387" i="7" s="1"/>
  <c r="B388" i="7"/>
  <c r="AG369" i="5"/>
  <c r="AA369" i="5"/>
  <c r="E368" i="5"/>
  <c r="G369" i="3"/>
  <c r="E368" i="3"/>
  <c r="Z369" i="5" l="1"/>
  <c r="G368" i="5"/>
  <c r="Y373" i="12"/>
  <c r="E372" i="12"/>
  <c r="Z374" i="12"/>
  <c r="G373" i="12"/>
  <c r="B389" i="7"/>
  <c r="K388" i="7"/>
  <c r="C388" i="7"/>
  <c r="L388" i="7" s="1"/>
  <c r="E369" i="5"/>
  <c r="AA370" i="5"/>
  <c r="AG370" i="5"/>
  <c r="E369" i="3"/>
  <c r="G370" i="3"/>
  <c r="Z370" i="5" l="1"/>
  <c r="G369" i="5"/>
  <c r="Z375" i="12"/>
  <c r="G374" i="12"/>
  <c r="Y374" i="12"/>
  <c r="E373" i="12"/>
  <c r="C389" i="7"/>
  <c r="L389" i="7" s="1"/>
  <c r="B390" i="7"/>
  <c r="K389" i="7"/>
  <c r="AG371" i="5"/>
  <c r="AA371" i="5"/>
  <c r="E370" i="5"/>
  <c r="G371" i="3"/>
  <c r="E370" i="3"/>
  <c r="Z371" i="5" l="1"/>
  <c r="G370" i="5"/>
  <c r="Y375" i="12"/>
  <c r="E374" i="12"/>
  <c r="Z376" i="12"/>
  <c r="G375" i="12"/>
  <c r="C390" i="7"/>
  <c r="L390" i="7" s="1"/>
  <c r="B391" i="7"/>
  <c r="K390" i="7"/>
  <c r="E371" i="5"/>
  <c r="AA372" i="5"/>
  <c r="AG372" i="5"/>
  <c r="E371" i="3"/>
  <c r="G372" i="3"/>
  <c r="Z372" i="5" l="1"/>
  <c r="G371" i="5"/>
  <c r="Z377" i="12"/>
  <c r="G376" i="12"/>
  <c r="Y376" i="12"/>
  <c r="E375" i="12"/>
  <c r="B392" i="7"/>
  <c r="C391" i="7"/>
  <c r="L391" i="7" s="1"/>
  <c r="K391" i="7"/>
  <c r="AG373" i="5"/>
  <c r="AA373" i="5"/>
  <c r="E372" i="5"/>
  <c r="G373" i="3"/>
  <c r="E372" i="3"/>
  <c r="Z373" i="5" l="1"/>
  <c r="G372" i="5"/>
  <c r="Y377" i="12"/>
  <c r="E376" i="12"/>
  <c r="Z378" i="12"/>
  <c r="G377" i="12"/>
  <c r="B393" i="7"/>
  <c r="K392" i="7"/>
  <c r="C392" i="7"/>
  <c r="L392" i="7" s="1"/>
  <c r="E373" i="5"/>
  <c r="AA374" i="5"/>
  <c r="AG374" i="5"/>
  <c r="E373" i="3"/>
  <c r="G374" i="3"/>
  <c r="Z374" i="5" l="1"/>
  <c r="G373" i="5"/>
  <c r="Z379" i="12"/>
  <c r="G378" i="12"/>
  <c r="Y378" i="12"/>
  <c r="E377" i="12"/>
  <c r="C393" i="7"/>
  <c r="L393" i="7" s="1"/>
  <c r="B394" i="7"/>
  <c r="K393" i="7"/>
  <c r="AG375" i="5"/>
  <c r="AA375" i="5"/>
  <c r="E374" i="5"/>
  <c r="G375" i="3"/>
  <c r="E374" i="3"/>
  <c r="Z375" i="5" l="1"/>
  <c r="G374" i="5"/>
  <c r="Y379" i="12"/>
  <c r="E378" i="12"/>
  <c r="Z380" i="12"/>
  <c r="G379" i="12"/>
  <c r="K394" i="7"/>
  <c r="B395" i="7"/>
  <c r="C394" i="7"/>
  <c r="L394" i="7" s="1"/>
  <c r="AA376" i="5"/>
  <c r="E375" i="5"/>
  <c r="AG376" i="5"/>
  <c r="E375" i="3"/>
  <c r="G376" i="3"/>
  <c r="Z376" i="5" l="1"/>
  <c r="G375" i="5"/>
  <c r="Z381" i="12"/>
  <c r="G380" i="12"/>
  <c r="Y380" i="12"/>
  <c r="E379" i="12"/>
  <c r="K395" i="7"/>
  <c r="B396" i="7"/>
  <c r="C395" i="7"/>
  <c r="L395" i="7" s="1"/>
  <c r="AG377" i="5"/>
  <c r="AA377" i="5"/>
  <c r="E376" i="5"/>
  <c r="G377" i="3"/>
  <c r="E376" i="3"/>
  <c r="Z377" i="5" l="1"/>
  <c r="G376" i="5"/>
  <c r="Y381" i="12"/>
  <c r="E380" i="12"/>
  <c r="Z382" i="12"/>
  <c r="G381" i="12"/>
  <c r="K396" i="7"/>
  <c r="B397" i="7"/>
  <c r="C396" i="7"/>
  <c r="L396" i="7" s="1"/>
  <c r="E377" i="5"/>
  <c r="AA378" i="5"/>
  <c r="AG378" i="5"/>
  <c r="E377" i="3"/>
  <c r="G378" i="3"/>
  <c r="Z378" i="5" l="1"/>
  <c r="G377" i="5"/>
  <c r="Z383" i="12"/>
  <c r="G382" i="12"/>
  <c r="Y382" i="12"/>
  <c r="E381" i="12"/>
  <c r="B398" i="7"/>
  <c r="K397" i="7"/>
  <c r="C397" i="7"/>
  <c r="L397" i="7" s="1"/>
  <c r="AG379" i="5"/>
  <c r="AA379" i="5"/>
  <c r="E378" i="5"/>
  <c r="G379" i="3"/>
  <c r="E378" i="3"/>
  <c r="Z379" i="5" l="1"/>
  <c r="G378" i="5"/>
  <c r="Y383" i="12"/>
  <c r="E382" i="12"/>
  <c r="Z384" i="12"/>
  <c r="G383" i="12"/>
  <c r="B399" i="7"/>
  <c r="C398" i="7"/>
  <c r="L398" i="7" s="1"/>
  <c r="K398" i="7"/>
  <c r="AA380" i="5"/>
  <c r="E379" i="5"/>
  <c r="AG380" i="5"/>
  <c r="E379" i="3"/>
  <c r="G380" i="3"/>
  <c r="Z380" i="5" l="1"/>
  <c r="G379" i="5"/>
  <c r="Z385" i="12"/>
  <c r="G385" i="12" s="1"/>
  <c r="G384" i="12"/>
  <c r="Y384" i="12"/>
  <c r="E383" i="12"/>
  <c r="B400" i="7"/>
  <c r="K399" i="7"/>
  <c r="C399" i="7"/>
  <c r="L399" i="7" s="1"/>
  <c r="AG381" i="5"/>
  <c r="AA381" i="5"/>
  <c r="E380" i="5"/>
  <c r="G381" i="3"/>
  <c r="E380" i="3"/>
  <c r="Z381" i="5" l="1"/>
  <c r="G380" i="5"/>
  <c r="Y385" i="12"/>
  <c r="E385" i="12" s="1"/>
  <c r="E384" i="12"/>
  <c r="K400" i="7"/>
  <c r="B401" i="7"/>
  <c r="C400" i="7"/>
  <c r="L400" i="7" s="1"/>
  <c r="E381" i="5"/>
  <c r="AA382" i="5"/>
  <c r="AG382" i="5"/>
  <c r="E381" i="3"/>
  <c r="G382" i="3"/>
  <c r="Z382" i="5" l="1"/>
  <c r="G381" i="5"/>
  <c r="C401" i="7"/>
  <c r="L401" i="7" s="1"/>
  <c r="B402" i="7"/>
  <c r="K401" i="7"/>
  <c r="AG383" i="5"/>
  <c r="E382" i="5"/>
  <c r="AA383" i="5"/>
  <c r="G383" i="3"/>
  <c r="E382" i="3"/>
  <c r="Z383" i="5" l="1"/>
  <c r="G382" i="5"/>
  <c r="C402" i="7"/>
  <c r="L402" i="7" s="1"/>
  <c r="B403" i="7"/>
  <c r="K402" i="7"/>
  <c r="AA384" i="5"/>
  <c r="E383" i="5"/>
  <c r="AG384" i="5"/>
  <c r="E383" i="3"/>
  <c r="G385" i="3"/>
  <c r="G384" i="3"/>
  <c r="AC101" i="3" l="1"/>
  <c r="AC100" i="3"/>
  <c r="AD102" i="3"/>
  <c r="AD98" i="3"/>
  <c r="AC104" i="3"/>
  <c r="AC103" i="3"/>
  <c r="AD103" i="3"/>
  <c r="AD100" i="3"/>
  <c r="AC99" i="3"/>
  <c r="AD99" i="3"/>
  <c r="AC102" i="3"/>
  <c r="AC98" i="3"/>
  <c r="AD104" i="3"/>
  <c r="AD101" i="3"/>
  <c r="Z384" i="5"/>
  <c r="G383" i="5"/>
  <c r="K403" i="7"/>
  <c r="C403" i="7"/>
  <c r="L403" i="7" s="1"/>
  <c r="AG385" i="5"/>
  <c r="AA385" i="5"/>
  <c r="E385" i="5" s="1"/>
  <c r="E384" i="5"/>
  <c r="E385" i="3"/>
  <c r="F19" i="14" s="1" a="1"/>
  <c r="E384" i="3"/>
  <c r="F3" i="4" s="1"/>
  <c r="E13" i="4" s="1"/>
  <c r="I19" i="14" l="1"/>
  <c r="I20" i="14" s="1"/>
  <c r="F20" i="14"/>
  <c r="Z385" i="5"/>
  <c r="G385" i="5" s="1"/>
  <c r="G384" i="5"/>
  <c r="AF103" i="5"/>
  <c r="AF97" i="5"/>
  <c r="AF98" i="5"/>
  <c r="AE103" i="5"/>
  <c r="AE99" i="5"/>
  <c r="AF100" i="5"/>
  <c r="AF101" i="5"/>
  <c r="AF99" i="5"/>
  <c r="AF102" i="5"/>
  <c r="AE101" i="5"/>
  <c r="AE100" i="5"/>
  <c r="AE102" i="5"/>
  <c r="AE98" i="5"/>
  <c r="AE97" i="5"/>
  <c r="AH102" i="5" l="1"/>
  <c r="AI102" i="5" s="1"/>
  <c r="AE103" i="3" s="1"/>
  <c r="AF103" i="3" s="1"/>
  <c r="AH98" i="5"/>
  <c r="AI98" i="5" s="1"/>
  <c r="AE99" i="3" s="1"/>
  <c r="AF99" i="3" s="1"/>
  <c r="AH103" i="5"/>
  <c r="AI103" i="5" s="1"/>
  <c r="AE104" i="3" s="1"/>
  <c r="L374" i="3"/>
  <c r="L381" i="3"/>
  <c r="AH97" i="5"/>
  <c r="AI97" i="5" s="1"/>
  <c r="AE98" i="3" s="1"/>
  <c r="AF98" i="3" s="1"/>
  <c r="AH99" i="5"/>
  <c r="AI99" i="5" s="1"/>
  <c r="AE100" i="3" s="1"/>
  <c r="AF100" i="3" s="1"/>
  <c r="AH100" i="5"/>
  <c r="AI100" i="5" s="1"/>
  <c r="AE101" i="3" s="1"/>
  <c r="AF101" i="3" s="1"/>
  <c r="AH101" i="5"/>
  <c r="AI101" i="5" s="1"/>
  <c r="AE102" i="3" s="1"/>
  <c r="AF102" i="3" s="1"/>
  <c r="L367" i="3" l="1"/>
  <c r="M367" i="3" s="1"/>
  <c r="L377" i="3"/>
  <c r="M377" i="3" s="1"/>
  <c r="L360" i="3"/>
  <c r="M360" i="3" s="1"/>
  <c r="L370" i="3"/>
  <c r="M370" i="3" s="1"/>
  <c r="L363" i="3"/>
  <c r="M363" i="3" s="1"/>
  <c r="L356" i="3"/>
  <c r="N356" i="3" s="1"/>
  <c r="L373" i="3"/>
  <c r="M373" i="3" s="1"/>
  <c r="L358" i="3"/>
  <c r="N358" i="3" s="1"/>
  <c r="L355" i="3"/>
  <c r="M355" i="3" s="1"/>
  <c r="L364" i="3"/>
  <c r="N364" i="3" s="1"/>
  <c r="L365" i="3"/>
  <c r="N365" i="3" s="1"/>
  <c r="AF104" i="3"/>
  <c r="L376" i="3"/>
  <c r="M376" i="3" s="1"/>
  <c r="L369" i="3"/>
  <c r="M369" i="3" s="1"/>
  <c r="L357" i="3"/>
  <c r="M357" i="3" s="1"/>
  <c r="L380" i="3"/>
  <c r="N380" i="3" s="1"/>
  <c r="L362" i="3"/>
  <c r="N362" i="3" s="1"/>
  <c r="L366" i="3"/>
  <c r="M366" i="3" s="1"/>
  <c r="L378" i="3"/>
  <c r="N378" i="3" s="1"/>
  <c r="L379" i="3"/>
  <c r="M379" i="3" s="1"/>
  <c r="L359" i="3"/>
  <c r="M359" i="3" s="1"/>
  <c r="L371" i="3"/>
  <c r="M371" i="3" s="1"/>
  <c r="L372" i="3"/>
  <c r="N372" i="3" s="1"/>
  <c r="N381" i="3"/>
  <c r="M381" i="3"/>
  <c r="M374" i="3"/>
  <c r="N374" i="3"/>
  <c r="AJ97" i="5"/>
  <c r="N367" i="3" l="1"/>
  <c r="N377" i="3"/>
  <c r="N370" i="3"/>
  <c r="M356" i="3"/>
  <c r="N360" i="3"/>
  <c r="N363" i="3"/>
  <c r="N373" i="3"/>
  <c r="M358" i="3"/>
  <c r="U355" i="3"/>
  <c r="X355" i="3" s="1"/>
  <c r="N355" i="3"/>
  <c r="P355" i="3"/>
  <c r="S355" i="3" s="1"/>
  <c r="P356" i="3"/>
  <c r="S356" i="3" s="1"/>
  <c r="U356" i="3"/>
  <c r="X356" i="3" s="1"/>
  <c r="M364" i="3"/>
  <c r="N379" i="3"/>
  <c r="M378" i="3"/>
  <c r="M365" i="3"/>
  <c r="M362" i="3"/>
  <c r="U363" i="3"/>
  <c r="W363" i="3" s="1"/>
  <c r="N369" i="3"/>
  <c r="N376" i="3"/>
  <c r="N359" i="3"/>
  <c r="P377" i="3"/>
  <c r="S377" i="3" s="1"/>
  <c r="U365" i="3"/>
  <c r="X365" i="3" s="1"/>
  <c r="N371" i="3"/>
  <c r="U380" i="3"/>
  <c r="W380" i="3" s="1"/>
  <c r="P373" i="3"/>
  <c r="R373" i="3" s="1"/>
  <c r="P357" i="3"/>
  <c r="S357" i="3" s="1"/>
  <c r="N366" i="3"/>
  <c r="U358" i="3"/>
  <c r="W358" i="3" s="1"/>
  <c r="P363" i="3"/>
  <c r="S363" i="3" s="1"/>
  <c r="P369" i="3"/>
  <c r="S369" i="3" s="1"/>
  <c r="U372" i="3"/>
  <c r="X372" i="3" s="1"/>
  <c r="U369" i="3"/>
  <c r="W369" i="3" s="1"/>
  <c r="P358" i="3"/>
  <c r="R358" i="3" s="1"/>
  <c r="U378" i="3"/>
  <c r="W378" i="3" s="1"/>
  <c r="P366" i="3"/>
  <c r="S366" i="3" s="1"/>
  <c r="M380" i="3"/>
  <c r="N357" i="3"/>
  <c r="U357" i="3"/>
  <c r="X357" i="3" s="1"/>
  <c r="P381" i="3"/>
  <c r="R381" i="3" s="1"/>
  <c r="U379" i="3"/>
  <c r="X379" i="3" s="1"/>
  <c r="P376" i="3"/>
  <c r="S376" i="3" s="1"/>
  <c r="U377" i="3"/>
  <c r="X377" i="3" s="1"/>
  <c r="M372" i="3"/>
  <c r="P359" i="3"/>
  <c r="S359" i="3" s="1"/>
  <c r="P367" i="3"/>
  <c r="R367" i="3" s="1"/>
  <c r="P360" i="3"/>
  <c r="R360" i="3" s="1"/>
  <c r="U376" i="3"/>
  <c r="W376" i="3" s="1"/>
  <c r="U367" i="3"/>
  <c r="X367" i="3" s="1"/>
  <c r="P378" i="3"/>
  <c r="R378" i="3" s="1"/>
  <c r="P365" i="3"/>
  <c r="S365" i="3" s="1"/>
  <c r="U362" i="3"/>
  <c r="X362" i="3" s="1"/>
  <c r="U374" i="3"/>
  <c r="X374" i="3" s="1"/>
  <c r="U373" i="3"/>
  <c r="W373" i="3" s="1"/>
  <c r="U381" i="3"/>
  <c r="X381" i="3" s="1"/>
  <c r="P372" i="3"/>
  <c r="R372" i="3" s="1"/>
  <c r="P380" i="3"/>
  <c r="S380" i="3" s="1"/>
  <c r="P370" i="3"/>
  <c r="R370" i="3" s="1"/>
  <c r="U366" i="3"/>
  <c r="W366" i="3" s="1"/>
  <c r="U360" i="3"/>
  <c r="W360" i="3" s="1"/>
  <c r="U371" i="3"/>
  <c r="W371" i="3" s="1"/>
  <c r="P371" i="3"/>
  <c r="R371" i="3" s="1"/>
  <c r="P374" i="3"/>
  <c r="S374" i="3" s="1"/>
  <c r="U364" i="3"/>
  <c r="X364" i="3" s="1"/>
  <c r="P362" i="3"/>
  <c r="S362" i="3" s="1"/>
  <c r="P364" i="3"/>
  <c r="R364" i="3" s="1"/>
  <c r="P379" i="3"/>
  <c r="R379" i="3" s="1"/>
  <c r="U370" i="3"/>
  <c r="W370" i="3" s="1"/>
  <c r="U359" i="3"/>
  <c r="W359" i="3" s="1"/>
  <c r="W355" i="3" l="1"/>
  <c r="R355" i="3"/>
  <c r="R356" i="3"/>
  <c r="W356" i="3"/>
  <c r="S372" i="3"/>
  <c r="W372" i="3"/>
  <c r="S358" i="3"/>
  <c r="S373" i="3"/>
  <c r="R366" i="3"/>
  <c r="S370" i="3"/>
  <c r="S364" i="3"/>
  <c r="S378" i="3"/>
  <c r="R365" i="3"/>
  <c r="X378" i="3"/>
  <c r="R376" i="3"/>
  <c r="S379" i="3"/>
  <c r="X363" i="3"/>
  <c r="X366" i="3"/>
  <c r="R357" i="3"/>
  <c r="X358" i="3"/>
  <c r="R377" i="3"/>
  <c r="W357" i="3"/>
  <c r="R363" i="3"/>
  <c r="W365" i="3"/>
  <c r="X373" i="3"/>
  <c r="X370" i="3"/>
  <c r="W374" i="3"/>
  <c r="W367" i="3"/>
  <c r="S381" i="3"/>
  <c r="R362" i="3"/>
  <c r="W364" i="3"/>
  <c r="X369" i="3"/>
  <c r="W379" i="3"/>
  <c r="R369" i="3"/>
  <c r="X380" i="3"/>
  <c r="X376" i="3"/>
  <c r="R380" i="3"/>
  <c r="W362" i="3"/>
  <c r="W381" i="3"/>
  <c r="R374" i="3"/>
  <c r="X371" i="3"/>
  <c r="S367" i="3"/>
  <c r="S360" i="3"/>
  <c r="S371" i="3"/>
  <c r="X359" i="3"/>
  <c r="W377" i="3"/>
  <c r="X360" i="3"/>
  <c r="R35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200-000001000000}">
      <text>
        <r>
          <rPr>
            <sz val="10"/>
            <color rgb="FF000000"/>
            <rFont val="Arial"/>
            <family val="2"/>
          </rPr>
          <t>年間目標売上を年間営業日数で割った額に月次の営業日数を掛けた額</t>
        </r>
      </text>
    </comment>
    <comment ref="M6" authorId="0" shapeId="0" xr:uid="{00000000-0006-0000-0200-000002000000}">
      <text>
        <r>
          <rPr>
            <sz val="10"/>
            <color rgb="FF000000"/>
            <rFont val="Arial"/>
            <family val="2"/>
          </rPr>
          <t>実質の月間売上額</t>
        </r>
      </text>
    </comment>
    <comment ref="N6" authorId="0" shapeId="0" xr:uid="{00000000-0006-0000-0200-000003000000}">
      <text>
        <r>
          <rPr>
            <sz val="10"/>
            <color rgb="FF000000"/>
            <rFont val="Arial"/>
            <family val="2"/>
          </rPr>
          <t>実質の月間の売上合計額から、月次の目標金額を差し引いた額</t>
        </r>
      </text>
    </comment>
    <comment ref="P6" authorId="0" shapeId="0" xr:uid="{00000000-0006-0000-0200-000004000000}">
      <text>
        <r>
          <rPr>
            <sz val="10"/>
            <color rgb="FF000000"/>
            <rFont val="Arial"/>
            <family val="2"/>
          </rPr>
          <t>平均月間売上目標額からのパーセンテージ</t>
        </r>
      </text>
    </comment>
    <comment ref="Q6" authorId="0" shapeId="0" xr:uid="{00000000-0006-0000-0200-000005000000}">
      <text>
        <r>
          <rPr>
            <sz val="10"/>
            <color rgb="FF000000"/>
            <rFont val="Arial"/>
            <family val="2"/>
          </rPr>
          <t>目標月間売上目標額からのパーセンテージ</t>
        </r>
      </text>
    </comment>
    <comment ref="B8" authorId="0" shapeId="0" xr:uid="{00000000-0006-0000-0200-000006000000}">
      <text>
        <r>
          <rPr>
            <sz val="10"/>
            <color rgb="FF000000"/>
            <rFont val="Arial"/>
            <family val="2"/>
          </rPr>
          <t>年間目標売上額を年間営業日数で割った額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300-000001000000}">
      <text>
        <r>
          <rPr>
            <sz val="10"/>
            <color rgb="FF000000"/>
            <rFont val="Arial"/>
            <family val="2"/>
          </rPr>
          <t>年間目標売上を年間営業日数で割った額に月次の営業日数を掛けた額</t>
        </r>
      </text>
    </comment>
    <comment ref="M6" authorId="0" shapeId="0" xr:uid="{00000000-0006-0000-0300-000002000000}">
      <text>
        <r>
          <rPr>
            <sz val="10"/>
            <color rgb="FF000000"/>
            <rFont val="Arial"/>
            <family val="2"/>
          </rPr>
          <t>実質の月間売上額</t>
        </r>
      </text>
    </comment>
    <comment ref="N6" authorId="0" shapeId="0" xr:uid="{00000000-0006-0000-0300-000003000000}">
      <text>
        <r>
          <rPr>
            <sz val="10"/>
            <color rgb="FF000000"/>
            <rFont val="Arial"/>
            <family val="2"/>
          </rPr>
          <t>実質の月間の売上合計額から、月次の目標金額を差し引いた額</t>
        </r>
      </text>
    </comment>
    <comment ref="P6" authorId="0" shapeId="0" xr:uid="{00000000-0006-0000-0300-000004000000}">
      <text>
        <r>
          <rPr>
            <sz val="10"/>
            <color rgb="FF000000"/>
            <rFont val="Arial"/>
            <family val="2"/>
          </rPr>
          <t>平均月間売上目標額からのパーセンテージ</t>
        </r>
      </text>
    </comment>
    <comment ref="Q6" authorId="0" shapeId="0" xr:uid="{00000000-0006-0000-0300-000005000000}">
      <text>
        <r>
          <rPr>
            <sz val="10"/>
            <color rgb="FF000000"/>
            <rFont val="Arial"/>
            <family val="2"/>
          </rPr>
          <t>目標月間売上目標額からのパーセンテージ</t>
        </r>
      </text>
    </comment>
    <comment ref="B8" authorId="0" shapeId="0" xr:uid="{00000000-0006-0000-0300-000006000000}">
      <text>
        <r>
          <rPr>
            <sz val="10"/>
            <color rgb="FF000000"/>
            <rFont val="Arial"/>
            <family val="2"/>
          </rPr>
          <t>年間目標売上額を年間営業日数で割った額</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FJ-USER</author>
    <author>Owner</author>
    <author>DAD Design Office</author>
    <author>D587</author>
  </authors>
  <commentList>
    <comment ref="D7" authorId="0" shapeId="0" xr:uid="{00000000-0006-0000-0B00-000001000000}">
      <text>
        <r>
          <rPr>
            <sz val="9"/>
            <color rgb="FF000000"/>
            <rFont val="ＭＳ Ｐゴシック"/>
            <family val="2"/>
            <charset val="128"/>
          </rPr>
          <t>1/15  3,224</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1/31</t>
        </r>
        <r>
          <rPr>
            <sz val="9"/>
            <color rgb="FF000000"/>
            <rFont val="ＭＳ Ｐゴシック"/>
            <family val="2"/>
            <charset val="128"/>
          </rPr>
          <t>　</t>
        </r>
        <r>
          <rPr>
            <sz val="9"/>
            <color rgb="FF000000"/>
            <rFont val="ＭＳ Ｐゴシック"/>
            <family val="2"/>
            <charset val="128"/>
          </rPr>
          <t>1,468</t>
        </r>
        <r>
          <rPr>
            <sz val="9"/>
            <color rgb="FF000000"/>
            <rFont val="ＭＳ Ｐゴシック"/>
            <family val="2"/>
            <charset val="128"/>
          </rPr>
          <t>円</t>
        </r>
        <r>
          <rPr>
            <sz val="9"/>
            <color rgb="FF000000"/>
            <rFont val="ＭＳ Ｐゴシック"/>
            <family val="2"/>
            <charset val="128"/>
          </rPr>
          <t xml:space="preserve">
</t>
        </r>
      </text>
    </comment>
    <comment ref="F7" authorId="0" shapeId="0" xr:uid="{00000000-0006-0000-0B00-000002000000}">
      <text>
        <r>
          <rPr>
            <sz val="9"/>
            <color rgb="FF000000"/>
            <rFont val="ＭＳ Ｐゴシック"/>
            <family val="2"/>
            <charset val="128"/>
          </rPr>
          <t>2/14</t>
        </r>
        <r>
          <rPr>
            <sz val="9"/>
            <color rgb="FF000000"/>
            <rFont val="ＭＳ Ｐゴシック"/>
            <family val="2"/>
            <charset val="128"/>
          </rPr>
          <t>　</t>
        </r>
        <r>
          <rPr>
            <sz val="9"/>
            <color rgb="FF000000"/>
            <rFont val="ＭＳ Ｐゴシック"/>
            <family val="2"/>
            <charset val="128"/>
          </rPr>
          <t>1,280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2/28</t>
        </r>
        <r>
          <rPr>
            <sz val="9"/>
            <color rgb="FF000000"/>
            <rFont val="ＭＳ Ｐゴシック"/>
            <family val="2"/>
            <charset val="128"/>
          </rPr>
          <t>　</t>
        </r>
        <r>
          <rPr>
            <sz val="9"/>
            <color rgb="FF000000"/>
            <rFont val="ＭＳ Ｐゴシック"/>
            <family val="2"/>
            <charset val="128"/>
          </rPr>
          <t>2,417</t>
        </r>
        <r>
          <rPr>
            <sz val="9"/>
            <color rgb="FF000000"/>
            <rFont val="ＭＳ Ｐゴシック"/>
            <family val="2"/>
            <charset val="128"/>
          </rPr>
          <t>円</t>
        </r>
        <r>
          <rPr>
            <sz val="9"/>
            <color rgb="FF000000"/>
            <rFont val="ＭＳ Ｐゴシック"/>
            <family val="2"/>
            <charset val="128"/>
          </rPr>
          <t xml:space="preserve">
</t>
        </r>
      </text>
    </comment>
    <comment ref="H7" authorId="1" shapeId="0" xr:uid="{00000000-0006-0000-0B00-000003000000}">
      <text>
        <r>
          <rPr>
            <sz val="9"/>
            <color rgb="FF000000"/>
            <rFont val="ＭＳ Ｐゴシック"/>
            <family val="2"/>
            <charset val="128"/>
          </rPr>
          <t>三友新聞：取材飲食代</t>
        </r>
        <r>
          <rPr>
            <sz val="9"/>
            <color rgb="FF000000"/>
            <rFont val="ＭＳ Ｐゴシック"/>
            <family val="2"/>
            <charset val="128"/>
          </rPr>
          <t xml:space="preserve">
</t>
        </r>
      </text>
    </comment>
    <comment ref="L7" authorId="1" shapeId="0" xr:uid="{00000000-0006-0000-0B00-000004000000}">
      <text>
        <r>
          <rPr>
            <sz val="9"/>
            <color rgb="FF000000"/>
            <rFont val="ＭＳ Ｐゴシック"/>
            <family val="2"/>
            <charset val="128"/>
          </rPr>
          <t>5/10</t>
        </r>
        <r>
          <rPr>
            <sz val="9"/>
            <color rgb="FF000000"/>
            <rFont val="ＭＳ Ｐゴシック"/>
            <family val="2"/>
            <charset val="128"/>
          </rPr>
          <t>　ぐるなびより</t>
        </r>
        <r>
          <rPr>
            <sz val="9"/>
            <color rgb="FF000000"/>
            <rFont val="ＭＳ Ｐゴシック"/>
            <family val="2"/>
            <charset val="128"/>
          </rPr>
          <t xml:space="preserve">
</t>
        </r>
      </text>
    </comment>
    <comment ref="P7" authorId="0" shapeId="0" xr:uid="{00000000-0006-0000-0B00-000005000000}">
      <text>
        <r>
          <rPr>
            <sz val="9"/>
            <color rgb="FF000000"/>
            <rFont val="ＭＳ Ｐゴシック"/>
            <family val="2"/>
            <charset val="128"/>
          </rPr>
          <t>ぐるなび</t>
        </r>
        <r>
          <rPr>
            <sz val="9"/>
            <color rgb="FF000000"/>
            <rFont val="ＭＳ Ｐゴシック"/>
            <family val="2"/>
            <charset val="128"/>
          </rPr>
          <t xml:space="preserve">
</t>
        </r>
      </text>
    </comment>
    <comment ref="R7" authorId="1" shapeId="0" xr:uid="{00000000-0006-0000-0B00-000006000000}">
      <text>
        <r>
          <rPr>
            <sz val="9"/>
            <color rgb="FF000000"/>
            <rFont val="ＭＳ Ｐゴシック"/>
            <family val="2"/>
            <charset val="128"/>
          </rPr>
          <t>ぐるなび</t>
        </r>
        <r>
          <rPr>
            <sz val="9"/>
            <color rgb="FF000000"/>
            <rFont val="ＭＳ Ｐゴシック"/>
            <family val="2"/>
            <charset val="128"/>
          </rPr>
          <t xml:space="preserve">
</t>
        </r>
        <r>
          <rPr>
            <sz val="9"/>
            <color rgb="FF000000"/>
            <rFont val="ＭＳ Ｐゴシック"/>
            <family val="2"/>
            <charset val="128"/>
          </rPr>
          <t xml:space="preserve">
</t>
        </r>
      </text>
    </comment>
    <comment ref="T7" authorId="0" shapeId="0" xr:uid="{00000000-0006-0000-0B00-000007000000}">
      <text>
        <r>
          <rPr>
            <sz val="9"/>
            <color rgb="FF000000"/>
            <rFont val="ＭＳ Ｐゴシック"/>
            <family val="2"/>
            <charset val="128"/>
          </rPr>
          <t>ぐるなび</t>
        </r>
        <r>
          <rPr>
            <sz val="9"/>
            <color rgb="FF000000"/>
            <rFont val="ＭＳ Ｐゴシック"/>
            <family val="2"/>
            <charset val="128"/>
          </rPr>
          <t xml:space="preserve">
</t>
        </r>
      </text>
    </comment>
    <comment ref="V7" authorId="0" shapeId="0" xr:uid="{00000000-0006-0000-0B00-000008000000}">
      <text>
        <r>
          <rPr>
            <sz val="9"/>
            <color rgb="FF000000"/>
            <rFont val="ＭＳ Ｐゴシック"/>
            <family val="2"/>
            <charset val="128"/>
          </rPr>
          <t>ぐるなび</t>
        </r>
        <r>
          <rPr>
            <sz val="9"/>
            <color rgb="FF000000"/>
            <rFont val="ＭＳ Ｐゴシック"/>
            <family val="2"/>
            <charset val="128"/>
          </rPr>
          <t xml:space="preserve">
</t>
        </r>
      </text>
    </comment>
    <comment ref="X7" authorId="0" shapeId="0" xr:uid="{00000000-0006-0000-0B00-000009000000}">
      <text>
        <r>
          <rPr>
            <sz val="9"/>
            <color rgb="FF000000"/>
            <rFont val="ＭＳ Ｐゴシック"/>
            <family val="2"/>
            <charset val="128"/>
          </rPr>
          <t>ぐるなび</t>
        </r>
        <r>
          <rPr>
            <sz val="9"/>
            <color rgb="FF000000"/>
            <rFont val="ＭＳ Ｐゴシック"/>
            <family val="2"/>
            <charset val="128"/>
          </rPr>
          <t xml:space="preserve">
</t>
        </r>
      </text>
    </comment>
    <comment ref="Z7" authorId="0" shapeId="0" xr:uid="{00000000-0006-0000-0B00-00000A000000}">
      <text>
        <r>
          <rPr>
            <sz val="9"/>
            <color rgb="FF000000"/>
            <rFont val="ＭＳ Ｐゴシック"/>
            <family val="2"/>
            <charset val="128"/>
          </rPr>
          <t>ぐるなび</t>
        </r>
        <r>
          <rPr>
            <sz val="9"/>
            <color rgb="FF000000"/>
            <rFont val="ＭＳ Ｐゴシック"/>
            <family val="2"/>
            <charset val="128"/>
          </rPr>
          <t xml:space="preserve">
</t>
        </r>
      </text>
    </comment>
    <comment ref="C27" authorId="1" shapeId="0" xr:uid="{00000000-0006-0000-0B00-00000B000000}">
      <text>
        <r>
          <rPr>
            <sz val="9"/>
            <color rgb="FF000000"/>
            <rFont val="ＭＳ Ｐゴシック"/>
            <family val="2"/>
            <charset val="128"/>
          </rPr>
          <t>更新料</t>
        </r>
        <r>
          <rPr>
            <sz val="9"/>
            <color rgb="FF000000"/>
            <rFont val="ＭＳ Ｐゴシック"/>
            <family val="2"/>
            <charset val="128"/>
          </rPr>
          <t>650,000</t>
        </r>
        <r>
          <rPr>
            <sz val="9"/>
            <color rgb="FF000000"/>
            <rFont val="ＭＳ Ｐゴシック"/>
            <family val="2"/>
            <charset val="128"/>
          </rPr>
          <t>円を</t>
        </r>
        <r>
          <rPr>
            <sz val="9"/>
            <color rgb="FF000000"/>
            <rFont val="ＭＳ Ｐゴシック"/>
            <family val="2"/>
            <charset val="128"/>
          </rPr>
          <t>3</t>
        </r>
        <r>
          <rPr>
            <sz val="9"/>
            <color rgb="FF000000"/>
            <rFont val="ＭＳ Ｐゴシック"/>
            <family val="2"/>
            <charset val="128"/>
          </rPr>
          <t>年で案分して月々賃料</t>
        </r>
        <r>
          <rPr>
            <sz val="9"/>
            <color rgb="FF000000"/>
            <rFont val="ＭＳ Ｐゴシック"/>
            <family val="2"/>
            <charset val="128"/>
          </rPr>
          <t>650,000</t>
        </r>
        <r>
          <rPr>
            <sz val="9"/>
            <color rgb="FF000000"/>
            <rFont val="ＭＳ Ｐゴシック"/>
            <family val="2"/>
            <charset val="128"/>
          </rPr>
          <t>に計上</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H26.4</t>
        </r>
        <r>
          <rPr>
            <sz val="9"/>
            <color rgb="FF000000"/>
            <rFont val="ＭＳ Ｐゴシック"/>
            <family val="2"/>
            <charset val="128"/>
          </rPr>
          <t>月より消費税増税により家賃改定</t>
        </r>
        <r>
          <rPr>
            <sz val="9"/>
            <color rgb="FF000000"/>
            <rFont val="ＭＳ Ｐゴシック"/>
            <family val="2"/>
            <charset val="128"/>
          </rPr>
          <t xml:space="preserve">
</t>
        </r>
        <r>
          <rPr>
            <sz val="9"/>
            <color rgb="FF000000"/>
            <rFont val="ＭＳ Ｐゴシック"/>
            <family val="2"/>
            <charset val="128"/>
          </rPr>
          <t>650,000</t>
        </r>
        <r>
          <rPr>
            <sz val="9"/>
            <color rgb="FF000000"/>
            <rFont val="ＭＳ Ｐゴシック"/>
            <family val="2"/>
            <charset val="128"/>
          </rPr>
          <t>円（税込）</t>
        </r>
        <r>
          <rPr>
            <sz val="9"/>
            <color rgb="FF000000"/>
            <rFont val="ＭＳ Ｐゴシック"/>
            <family val="2"/>
            <charset val="128"/>
          </rPr>
          <t>→668,572</t>
        </r>
        <r>
          <rPr>
            <sz val="9"/>
            <color rgb="FF000000"/>
            <rFont val="ＭＳ Ｐゴシック"/>
            <family val="2"/>
            <charset val="128"/>
          </rPr>
          <t>円（税込）</t>
        </r>
        <r>
          <rPr>
            <sz val="9"/>
            <color rgb="FF000000"/>
            <rFont val="ＭＳ Ｐゴシック"/>
            <family val="2"/>
            <charset val="128"/>
          </rPr>
          <t xml:space="preserve">
</t>
        </r>
        <r>
          <rPr>
            <sz val="9"/>
            <color rgb="FF000000"/>
            <rFont val="ＭＳ Ｐゴシック"/>
            <family val="2"/>
            <charset val="128"/>
          </rPr>
          <t>よって、</t>
        </r>
        <r>
          <rPr>
            <sz val="9"/>
            <color rgb="FF000000"/>
            <rFont val="ＭＳ Ｐゴシック"/>
            <family val="2"/>
            <charset val="128"/>
          </rPr>
          <t>4</t>
        </r>
        <r>
          <rPr>
            <sz val="9"/>
            <color rgb="FF000000"/>
            <rFont val="ＭＳ Ｐゴシック"/>
            <family val="2"/>
            <charset val="128"/>
          </rPr>
          <t>月より</t>
        </r>
        <r>
          <rPr>
            <sz val="9"/>
            <color rgb="FF000000"/>
            <rFont val="ＭＳ Ｐゴシック"/>
            <family val="2"/>
            <charset val="128"/>
          </rPr>
          <t>668,572</t>
        </r>
        <r>
          <rPr>
            <sz val="9"/>
            <color rgb="FF000000"/>
            <rFont val="ＭＳ Ｐゴシック"/>
            <family val="2"/>
            <charset val="128"/>
          </rPr>
          <t>円に更新料の分割分を加算して</t>
        </r>
        <r>
          <rPr>
            <sz val="9"/>
            <color rgb="FF000000"/>
            <rFont val="ＭＳ Ｐゴシック"/>
            <family val="2"/>
            <charset val="128"/>
          </rPr>
          <t>686,627</t>
        </r>
        <r>
          <rPr>
            <sz val="9"/>
            <color rgb="FF000000"/>
            <rFont val="ＭＳ Ｐゴシック"/>
            <family val="2"/>
            <charset val="128"/>
          </rPr>
          <t>円とする</t>
        </r>
      </text>
    </comment>
    <comment ref="C31" authorId="1" shapeId="0" xr:uid="{00000000-0006-0000-0B00-00000C000000}">
      <text>
        <r>
          <rPr>
            <sz val="9"/>
            <color rgb="FF000000"/>
            <rFont val="ＭＳ Ｐゴシック"/>
            <family val="2"/>
            <charset val="128"/>
          </rPr>
          <t>Ｈ</t>
        </r>
        <r>
          <rPr>
            <sz val="9"/>
            <color rgb="FF000000"/>
            <rFont val="ＭＳ Ｐゴシック"/>
            <family val="2"/>
            <charset val="128"/>
          </rPr>
          <t>24.5.29</t>
        </r>
        <r>
          <rPr>
            <sz val="9"/>
            <color rgb="FF000000"/>
            <rFont val="ＭＳ Ｐゴシック"/>
            <family val="2"/>
            <charset val="128"/>
          </rPr>
          <t>　三井②より振込み</t>
        </r>
        <r>
          <rPr>
            <sz val="9"/>
            <color rgb="FF000000"/>
            <rFont val="ＭＳ Ｐゴシック"/>
            <family val="2"/>
            <charset val="128"/>
          </rPr>
          <t xml:space="preserve">
</t>
        </r>
        <r>
          <rPr>
            <sz val="9"/>
            <color rgb="FF000000"/>
            <rFont val="ＭＳ Ｐゴシック"/>
            <family val="2"/>
            <charset val="128"/>
          </rPr>
          <t>6,000</t>
        </r>
        <r>
          <rPr>
            <sz val="9"/>
            <color rgb="FF000000"/>
            <rFont val="ＭＳ Ｐゴシック"/>
            <family val="2"/>
            <charset val="128"/>
          </rPr>
          <t>円／年間</t>
        </r>
        <r>
          <rPr>
            <sz val="9"/>
            <color rgb="FF000000"/>
            <rFont val="ＭＳ Ｐゴシック"/>
            <family val="2"/>
            <charset val="128"/>
          </rPr>
          <t xml:space="preserve">
</t>
        </r>
        <r>
          <rPr>
            <sz val="9"/>
            <color rgb="FF000000"/>
            <rFont val="ＭＳ Ｐゴシック"/>
            <family val="2"/>
            <charset val="128"/>
          </rPr>
          <t>2</t>
        </r>
        <r>
          <rPr>
            <sz val="9"/>
            <color rgb="FF000000"/>
            <rFont val="ＭＳ Ｐゴシック"/>
            <family val="2"/>
            <charset val="128"/>
          </rPr>
          <t>年分</t>
        </r>
        <r>
          <rPr>
            <sz val="9"/>
            <color rgb="FF000000"/>
            <rFont val="ＭＳ Ｐゴシック"/>
            <family val="2"/>
            <charset val="128"/>
          </rPr>
          <t>12,000</t>
        </r>
        <r>
          <rPr>
            <sz val="9"/>
            <color rgb="FF000000"/>
            <rFont val="ＭＳ Ｐゴシック"/>
            <family val="2"/>
            <charset val="128"/>
          </rPr>
          <t>円</t>
        </r>
        <r>
          <rPr>
            <sz val="9"/>
            <color rgb="FF000000"/>
            <rFont val="ＭＳ Ｐゴシック"/>
            <family val="2"/>
            <charset val="128"/>
          </rPr>
          <t xml:space="preserve">
</t>
        </r>
      </text>
    </comment>
    <comment ref="C32" authorId="1" shapeId="0" xr:uid="{00000000-0006-0000-0B00-00000D000000}">
      <text>
        <r>
          <rPr>
            <sz val="9"/>
            <color rgb="FF000000"/>
            <rFont val="ＭＳ Ｐゴシック"/>
            <family val="2"/>
            <charset val="128"/>
          </rPr>
          <t>三共消毒：ゴキブリ駆除</t>
        </r>
        <r>
          <rPr>
            <sz val="9"/>
            <color rgb="FF000000"/>
            <rFont val="ＭＳ Ｐゴシック"/>
            <family val="2"/>
            <charset val="128"/>
          </rPr>
          <t>50,400</t>
        </r>
        <r>
          <rPr>
            <sz val="9"/>
            <color rgb="FF000000"/>
            <rFont val="ＭＳ Ｐゴシック"/>
            <family val="2"/>
            <charset val="128"/>
          </rPr>
          <t>円　</t>
        </r>
        <r>
          <rPr>
            <sz val="9"/>
            <color rgb="FF000000"/>
            <rFont val="ＭＳ Ｐゴシック"/>
            <family val="2"/>
            <charset val="128"/>
          </rPr>
          <t>4,200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24.4</t>
        </r>
        <r>
          <rPr>
            <sz val="9"/>
            <color rgb="FF000000"/>
            <rFont val="ＭＳ Ｐゴシック"/>
            <family val="2"/>
            <charset val="128"/>
          </rPr>
          <t>月～Ｈ</t>
        </r>
        <r>
          <rPr>
            <sz val="9"/>
            <color rgb="FF000000"/>
            <rFont val="ＭＳ Ｐゴシック"/>
            <family val="2"/>
            <charset val="128"/>
          </rPr>
          <t>25.4</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三共消毒：ゴキブリ駆除</t>
        </r>
        <r>
          <rPr>
            <sz val="9"/>
            <color rgb="FF000000"/>
            <rFont val="ＭＳ Ｐゴシック"/>
            <family val="2"/>
            <charset val="128"/>
          </rPr>
          <t>47,250</t>
        </r>
        <r>
          <rPr>
            <sz val="9"/>
            <color rgb="FF000000"/>
            <rFont val="ＭＳ Ｐゴシック"/>
            <family val="2"/>
            <charset val="128"/>
          </rPr>
          <t>円　</t>
        </r>
        <r>
          <rPr>
            <sz val="9"/>
            <color rgb="FF000000"/>
            <rFont val="ＭＳ Ｐゴシック"/>
            <family val="2"/>
            <charset val="128"/>
          </rPr>
          <t>3 937</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25.4</t>
        </r>
        <r>
          <rPr>
            <sz val="9"/>
            <color rgb="FF000000"/>
            <rFont val="ＭＳ Ｐゴシック"/>
            <family val="2"/>
            <charset val="128"/>
          </rPr>
          <t>月～Ｈ</t>
        </r>
        <r>
          <rPr>
            <sz val="9"/>
            <color rgb="FF000000"/>
            <rFont val="ＭＳ Ｐゴシック"/>
            <family val="2"/>
            <charset val="128"/>
          </rPr>
          <t>26.4</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三共消毒：ねずみ駆除</t>
        </r>
        <r>
          <rPr>
            <sz val="9"/>
            <color rgb="FF000000"/>
            <rFont val="ＭＳ Ｐゴシック"/>
            <family val="2"/>
            <charset val="128"/>
          </rPr>
          <t>130,000</t>
        </r>
        <r>
          <rPr>
            <sz val="9"/>
            <color rgb="FF000000"/>
            <rFont val="ＭＳ Ｐゴシック"/>
            <family val="2"/>
            <charset val="128"/>
          </rPr>
          <t>円　</t>
        </r>
        <r>
          <rPr>
            <sz val="9"/>
            <color rgb="FF000000"/>
            <rFont val="ＭＳ Ｐゴシック"/>
            <family val="2"/>
            <charset val="128"/>
          </rPr>
          <t>10,834</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26.1</t>
        </r>
        <r>
          <rPr>
            <sz val="9"/>
            <color rgb="FF000000"/>
            <rFont val="ＭＳ Ｐゴシック"/>
            <family val="2"/>
            <charset val="128"/>
          </rPr>
          <t>月～Ｈ</t>
        </r>
        <r>
          <rPr>
            <sz val="9"/>
            <color rgb="FF000000"/>
            <rFont val="ＭＳ Ｐゴシック"/>
            <family val="2"/>
            <charset val="128"/>
          </rPr>
          <t>27.1</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三共消毒：補虫器レンタル　</t>
        </r>
        <r>
          <rPr>
            <sz val="9"/>
            <color rgb="FF000000"/>
            <rFont val="ＭＳ Ｐゴシック"/>
            <family val="2"/>
            <charset val="128"/>
          </rPr>
          <t>15,120</t>
        </r>
        <r>
          <rPr>
            <sz val="9"/>
            <color rgb="FF000000"/>
            <rFont val="ＭＳ Ｐゴシック"/>
            <family val="2"/>
            <charset val="128"/>
          </rPr>
          <t>円　</t>
        </r>
        <r>
          <rPr>
            <sz val="9"/>
            <color rgb="FF000000"/>
            <rFont val="ＭＳ Ｐゴシック"/>
            <family val="2"/>
            <charset val="128"/>
          </rPr>
          <t>1,260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(H26.1</t>
        </r>
        <r>
          <rPr>
            <sz val="9"/>
            <color rgb="FF000000"/>
            <rFont val="ＭＳ Ｐゴシック"/>
            <family val="2"/>
            <charset val="128"/>
          </rPr>
          <t>月～</t>
        </r>
        <r>
          <rPr>
            <sz val="9"/>
            <color rgb="FF000000"/>
            <rFont val="ＭＳ Ｐゴシック"/>
            <family val="2"/>
            <charset val="128"/>
          </rPr>
          <t>H27.1</t>
        </r>
        <r>
          <rPr>
            <sz val="9"/>
            <color rgb="FF000000"/>
            <rFont val="ＭＳ Ｐゴシック"/>
            <family val="2"/>
            <charset val="128"/>
          </rPr>
          <t>月</t>
        </r>
        <r>
          <rPr>
            <sz val="9"/>
            <color rgb="FF000000"/>
            <rFont val="ＭＳ Ｐゴシック"/>
            <family val="2"/>
            <charset val="128"/>
          </rPr>
          <t xml:space="preserve">)
</t>
        </r>
      </text>
    </comment>
    <comment ref="D32" authorId="1" shapeId="0" xr:uid="{00000000-0006-0000-0B00-00000E000000}">
      <text>
        <r>
          <rPr>
            <sz val="9"/>
            <color rgb="FF000000"/>
            <rFont val="ＭＳ Ｐゴシック"/>
            <family val="2"/>
            <charset val="128"/>
          </rPr>
          <t>三共消毒年</t>
        </r>
        <r>
          <rPr>
            <sz val="9"/>
            <color rgb="FF000000"/>
            <rFont val="ＭＳ Ｐゴシック"/>
            <family val="2"/>
            <charset val="128"/>
          </rPr>
          <t>1</t>
        </r>
        <r>
          <rPr>
            <sz val="9"/>
            <color rgb="FF000000"/>
            <rFont val="ＭＳ Ｐゴシック"/>
            <family val="2"/>
            <charset val="128"/>
          </rPr>
          <t>活払い</t>
        </r>
        <r>
          <rPr>
            <sz val="9"/>
            <color rgb="FF000000"/>
            <rFont val="ＭＳ Ｐゴシック"/>
            <family val="2"/>
            <charset val="128"/>
          </rPr>
          <t>145152</t>
        </r>
        <r>
          <rPr>
            <sz val="9"/>
            <color rgb="FF000000"/>
            <rFont val="ＭＳ Ｐゴシック"/>
            <family val="2"/>
            <charset val="128"/>
          </rPr>
          <t>円</t>
        </r>
        <r>
          <rPr>
            <sz val="9"/>
            <color rgb="FF000000"/>
            <rFont val="ＭＳ Ｐゴシック"/>
            <family val="2"/>
            <charset val="128"/>
          </rPr>
          <t xml:space="preserve">
</t>
        </r>
      </text>
    </comment>
    <comment ref="J32" authorId="1" shapeId="0" xr:uid="{00000000-0006-0000-0B00-00000F000000}">
      <text>
        <r>
          <rPr>
            <sz val="9"/>
            <color indexed="81"/>
            <rFont val="ＭＳ Ｐゴシック"/>
            <family val="3"/>
            <charset val="128"/>
          </rPr>
          <t xml:space="preserve">ゴキブリ更新月
</t>
        </r>
      </text>
    </comment>
    <comment ref="D33" authorId="0" shapeId="0" xr:uid="{00000000-0006-0000-0B00-000010000000}">
      <text>
        <r>
          <rPr>
            <sz val="9"/>
            <color rgb="FF000000"/>
            <rFont val="ＭＳ Ｐゴシック"/>
            <family val="2"/>
            <charset val="128"/>
          </rPr>
          <t>マルゼン</t>
        </r>
        <r>
          <rPr>
            <sz val="9"/>
            <color rgb="FF000000"/>
            <rFont val="ＭＳ Ｐゴシック"/>
            <family val="2"/>
            <charset val="128"/>
          </rPr>
          <t xml:space="preserve">
</t>
        </r>
      </text>
    </comment>
    <comment ref="N33" authorId="0" shapeId="0" xr:uid="{00000000-0006-0000-0B00-000011000000}">
      <text>
        <r>
          <rPr>
            <sz val="9"/>
            <color rgb="FF000000"/>
            <rFont val="ＭＳ Ｐゴシック"/>
            <family val="2"/>
            <charset val="128"/>
          </rPr>
          <t>エアコンの室外機修理</t>
        </r>
        <r>
          <rPr>
            <sz val="9"/>
            <color rgb="FF000000"/>
            <rFont val="ＭＳ Ｐゴシック"/>
            <family val="2"/>
            <charset val="128"/>
          </rPr>
          <t>30</t>
        </r>
        <r>
          <rPr>
            <sz val="9"/>
            <color rgb="FF000000"/>
            <rFont val="ＭＳ Ｐゴシック"/>
            <family val="2"/>
            <charset val="128"/>
          </rPr>
          <t>万円を</t>
        </r>
        <r>
          <rPr>
            <sz val="9"/>
            <color rgb="FF000000"/>
            <rFont val="ＭＳ Ｐゴシック"/>
            <family val="2"/>
            <charset val="128"/>
          </rPr>
          <t>12</t>
        </r>
        <r>
          <rPr>
            <sz val="9"/>
            <color rgb="FF000000"/>
            <rFont val="ＭＳ Ｐゴシック"/>
            <family val="2"/>
            <charset val="128"/>
          </rPr>
          <t>月まで</t>
        </r>
        <r>
          <rPr>
            <sz val="9"/>
            <color rgb="FF000000"/>
            <rFont val="ＭＳ Ｐゴシック"/>
            <family val="2"/>
            <charset val="128"/>
          </rPr>
          <t>7</t>
        </r>
        <r>
          <rPr>
            <sz val="9"/>
            <color rgb="FF000000"/>
            <rFont val="ＭＳ Ｐゴシック"/>
            <family val="2"/>
            <charset val="128"/>
          </rPr>
          <t>分割</t>
        </r>
        <r>
          <rPr>
            <sz val="9"/>
            <color rgb="FF000000"/>
            <rFont val="ＭＳ Ｐゴシック"/>
            <family val="2"/>
            <charset val="128"/>
          </rPr>
          <t>42857</t>
        </r>
        <r>
          <rPr>
            <sz val="9"/>
            <color rgb="FF000000"/>
            <rFont val="ＭＳ Ｐゴシック"/>
            <family val="2"/>
            <charset val="128"/>
          </rPr>
          <t>円</t>
        </r>
      </text>
    </comment>
    <comment ref="P33" authorId="0" shapeId="0" xr:uid="{00000000-0006-0000-0B00-000012000000}">
      <text>
        <r>
          <rPr>
            <sz val="9"/>
            <color rgb="FF000000"/>
            <rFont val="ＭＳ Ｐゴシック"/>
            <family val="2"/>
            <charset val="128"/>
          </rPr>
          <t>エアコンの室外機修理</t>
        </r>
        <r>
          <rPr>
            <sz val="9"/>
            <color rgb="FF000000"/>
            <rFont val="ＭＳ Ｐゴシック"/>
            <family val="2"/>
            <charset val="128"/>
          </rPr>
          <t>30</t>
        </r>
        <r>
          <rPr>
            <sz val="9"/>
            <color rgb="FF000000"/>
            <rFont val="ＭＳ Ｐゴシック"/>
            <family val="2"/>
            <charset val="128"/>
          </rPr>
          <t>万円を</t>
        </r>
        <r>
          <rPr>
            <sz val="9"/>
            <color rgb="FF000000"/>
            <rFont val="ＭＳ Ｐゴシック"/>
            <family val="2"/>
            <charset val="128"/>
          </rPr>
          <t>12</t>
        </r>
        <r>
          <rPr>
            <sz val="9"/>
            <color rgb="FF000000"/>
            <rFont val="ＭＳ Ｐゴシック"/>
            <family val="2"/>
            <charset val="128"/>
          </rPr>
          <t>月まで</t>
        </r>
        <r>
          <rPr>
            <sz val="9"/>
            <color rgb="FF000000"/>
            <rFont val="ＭＳ Ｐゴシック"/>
            <family val="2"/>
            <charset val="128"/>
          </rPr>
          <t>7</t>
        </r>
        <r>
          <rPr>
            <sz val="9"/>
            <color rgb="FF000000"/>
            <rFont val="ＭＳ Ｐゴシック"/>
            <family val="2"/>
            <charset val="128"/>
          </rPr>
          <t>分割</t>
        </r>
        <r>
          <rPr>
            <sz val="9"/>
            <color rgb="FF000000"/>
            <rFont val="ＭＳ Ｐゴシック"/>
            <family val="2"/>
            <charset val="128"/>
          </rPr>
          <t>42857</t>
        </r>
        <r>
          <rPr>
            <sz val="9"/>
            <color rgb="FF000000"/>
            <rFont val="ＭＳ Ｐゴシック"/>
            <family val="2"/>
            <charset val="128"/>
          </rPr>
          <t>円</t>
        </r>
      </text>
    </comment>
    <comment ref="R33" authorId="2" shapeId="0" xr:uid="{00000000-0006-0000-0B00-000013000000}">
      <text>
        <r>
          <rPr>
            <sz val="11"/>
            <color rgb="FF000000"/>
            <rFont val="ＭＳ Ｐゴシック"/>
            <family val="2"/>
            <charset val="128"/>
          </rPr>
          <t>エアコンの室外機修理</t>
        </r>
        <r>
          <rPr>
            <sz val="11"/>
            <color rgb="FF000000"/>
            <rFont val="ＭＳ Ｐゴシック"/>
            <family val="2"/>
            <charset val="128"/>
          </rPr>
          <t>30</t>
        </r>
        <r>
          <rPr>
            <sz val="11"/>
            <color rgb="FF000000"/>
            <rFont val="ＭＳ Ｐゴシック"/>
            <family val="2"/>
            <charset val="128"/>
          </rPr>
          <t>万円を</t>
        </r>
        <r>
          <rPr>
            <sz val="11"/>
            <color rgb="FF000000"/>
            <rFont val="ＭＳ Ｐゴシック"/>
            <family val="2"/>
            <charset val="128"/>
          </rPr>
          <t>12</t>
        </r>
        <r>
          <rPr>
            <sz val="11"/>
            <color rgb="FF000000"/>
            <rFont val="ＭＳ Ｐゴシック"/>
            <family val="2"/>
            <charset val="128"/>
          </rPr>
          <t>月まで</t>
        </r>
        <r>
          <rPr>
            <sz val="11"/>
            <color rgb="FF000000"/>
            <rFont val="ＭＳ Ｐゴシック"/>
            <family val="2"/>
            <charset val="128"/>
          </rPr>
          <t>7</t>
        </r>
        <r>
          <rPr>
            <sz val="11"/>
            <color rgb="FF000000"/>
            <rFont val="ＭＳ Ｐゴシック"/>
            <family val="2"/>
            <charset val="128"/>
          </rPr>
          <t>分割</t>
        </r>
        <r>
          <rPr>
            <sz val="11"/>
            <color rgb="FF000000"/>
            <rFont val="ＭＳ Ｐゴシック"/>
            <family val="2"/>
            <charset val="128"/>
          </rPr>
          <t>42857</t>
        </r>
        <r>
          <rPr>
            <sz val="11"/>
            <color rgb="FF000000"/>
            <rFont val="ＭＳ Ｐゴシック"/>
            <family val="2"/>
            <charset val="128"/>
          </rPr>
          <t>円</t>
        </r>
      </text>
    </comment>
    <comment ref="T33" authorId="2" shapeId="0" xr:uid="{00000000-0006-0000-0B00-000014000000}">
      <text>
        <r>
          <rPr>
            <b/>
            <sz val="9"/>
            <color indexed="81"/>
            <rFont val="ＭＳ Ｐゴシック"/>
            <family val="3"/>
            <charset val="128"/>
          </rPr>
          <t>ダイキン16740
マルゼン39442</t>
        </r>
      </text>
    </comment>
    <comment ref="V33" authorId="2" shapeId="0" xr:uid="{00000000-0006-0000-0B00-000015000000}">
      <text>
        <r>
          <rPr>
            <b/>
            <sz val="9"/>
            <color indexed="81"/>
            <rFont val="ＭＳ Ｐゴシック"/>
            <family val="3"/>
            <charset val="128"/>
          </rPr>
          <t>エアコンの室外機修理30万円を12月まで7分割42857円</t>
        </r>
      </text>
    </comment>
    <comment ref="X33" authorId="2" shapeId="0" xr:uid="{00000000-0006-0000-0B00-000016000000}">
      <text>
        <r>
          <rPr>
            <b/>
            <sz val="9"/>
            <color rgb="FF000000"/>
            <rFont val="ＭＳ Ｐゴシック"/>
            <family val="2"/>
            <charset val="128"/>
          </rPr>
          <t>エアコンの室外機修理</t>
        </r>
        <r>
          <rPr>
            <b/>
            <sz val="9"/>
            <color rgb="FF000000"/>
            <rFont val="ＭＳ Ｐゴシック"/>
            <family val="2"/>
            <charset val="128"/>
          </rPr>
          <t>30</t>
        </r>
        <r>
          <rPr>
            <b/>
            <sz val="9"/>
            <color rgb="FF000000"/>
            <rFont val="ＭＳ Ｐゴシック"/>
            <family val="2"/>
            <charset val="128"/>
          </rPr>
          <t>万円を</t>
        </r>
        <r>
          <rPr>
            <b/>
            <sz val="9"/>
            <color rgb="FF000000"/>
            <rFont val="ＭＳ Ｐゴシック"/>
            <family val="2"/>
            <charset val="128"/>
          </rPr>
          <t>12</t>
        </r>
        <r>
          <rPr>
            <b/>
            <sz val="9"/>
            <color rgb="FF000000"/>
            <rFont val="ＭＳ Ｐゴシック"/>
            <family val="2"/>
            <charset val="128"/>
          </rPr>
          <t>月まで</t>
        </r>
        <r>
          <rPr>
            <b/>
            <sz val="9"/>
            <color rgb="FF000000"/>
            <rFont val="ＭＳ Ｐゴシック"/>
            <family val="2"/>
            <charset val="128"/>
          </rPr>
          <t>7</t>
        </r>
        <r>
          <rPr>
            <b/>
            <sz val="9"/>
            <color rgb="FF000000"/>
            <rFont val="ＭＳ Ｐゴシック"/>
            <family val="2"/>
            <charset val="128"/>
          </rPr>
          <t>分割</t>
        </r>
        <r>
          <rPr>
            <b/>
            <sz val="9"/>
            <color rgb="FF000000"/>
            <rFont val="ＭＳ Ｐゴシック"/>
            <family val="2"/>
            <charset val="128"/>
          </rPr>
          <t>42857</t>
        </r>
        <r>
          <rPr>
            <b/>
            <sz val="9"/>
            <color rgb="FF000000"/>
            <rFont val="ＭＳ Ｐゴシック"/>
            <family val="2"/>
            <charset val="128"/>
          </rPr>
          <t>円</t>
        </r>
      </text>
    </comment>
    <comment ref="Z33" authorId="2" shapeId="0" xr:uid="{00000000-0006-0000-0B00-000017000000}">
      <text>
        <r>
          <rPr>
            <b/>
            <sz val="9"/>
            <color indexed="81"/>
            <rFont val="ＭＳ Ｐゴシック"/>
            <family val="3"/>
            <charset val="128"/>
          </rPr>
          <t>エアコンの室外機修理30万円を12月まで7分割42857円</t>
        </r>
      </text>
    </comment>
    <comment ref="C34" authorId="1" shapeId="0" xr:uid="{00000000-0006-0000-0B00-000018000000}">
      <text>
        <r>
          <rPr>
            <sz val="9"/>
            <color rgb="FF000000"/>
            <rFont val="ＭＳ Ｐゴシック"/>
            <family val="2"/>
            <charset val="128"/>
          </rPr>
          <t>2018.3</t>
        </r>
        <r>
          <rPr>
            <sz val="9"/>
            <color rgb="FF000000"/>
            <rFont val="ＭＳ Ｐゴシック"/>
            <family val="2"/>
            <charset val="128"/>
          </rPr>
          <t>月　製氷機　</t>
        </r>
        <r>
          <rPr>
            <sz val="9"/>
            <color rgb="FF000000"/>
            <rFont val="ＭＳ Ｐゴシック"/>
            <family val="2"/>
            <charset val="128"/>
          </rPr>
          <t xml:space="preserve">  8,800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2019.1</t>
        </r>
        <r>
          <rPr>
            <sz val="9"/>
            <color rgb="FF000000"/>
            <rFont val="ＭＳ Ｐゴシック"/>
            <family val="2"/>
            <charset val="128"/>
          </rPr>
          <t>月　冷蔵庫　</t>
        </r>
        <r>
          <rPr>
            <sz val="9"/>
            <color rgb="FF000000"/>
            <rFont val="ＭＳ Ｐゴシック"/>
            <family val="2"/>
            <charset val="128"/>
          </rPr>
          <t>36,850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2020.4</t>
        </r>
        <r>
          <rPr>
            <sz val="9"/>
            <color rgb="FF000000"/>
            <rFont val="ＭＳ Ｐゴシック"/>
            <family val="2"/>
            <charset val="128"/>
          </rPr>
          <t>月　レジ　　　</t>
        </r>
        <r>
          <rPr>
            <sz val="9"/>
            <color rgb="FF000000"/>
            <rFont val="ＭＳ Ｐゴシック"/>
            <family val="2"/>
            <charset val="128"/>
          </rPr>
          <t>34,760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2022.6</t>
        </r>
        <r>
          <rPr>
            <sz val="9"/>
            <color rgb="FF000000"/>
            <rFont val="ＭＳ Ｐゴシック"/>
            <family val="2"/>
            <charset val="128"/>
          </rPr>
          <t>月　食洗器　</t>
        </r>
        <r>
          <rPr>
            <sz val="9"/>
            <color rgb="FF000000"/>
            <rFont val="ＭＳ Ｐゴシック"/>
            <family val="2"/>
            <charset val="128"/>
          </rPr>
          <t>17,600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2022.12</t>
        </r>
        <r>
          <rPr>
            <sz val="9"/>
            <color rgb="FF000000"/>
            <rFont val="ＭＳ Ｐゴシック"/>
            <family val="2"/>
            <charset val="128"/>
          </rPr>
          <t>月　製氷機</t>
        </r>
        <r>
          <rPr>
            <sz val="9"/>
            <color rgb="FF000000"/>
            <rFont val="ＭＳ Ｐゴシック"/>
            <family val="2"/>
            <charset val="128"/>
          </rPr>
          <t>13,060</t>
        </r>
        <r>
          <rPr>
            <sz val="9"/>
            <color rgb="FF000000"/>
            <rFont val="ＭＳ Ｐゴシック"/>
            <family val="2"/>
            <charset val="128"/>
          </rPr>
          <t>円（</t>
        </r>
        <r>
          <rPr>
            <sz val="9"/>
            <color rgb="FF000000"/>
            <rFont val="ＭＳ Ｐゴシック"/>
            <family val="2"/>
            <charset val="128"/>
          </rPr>
          <t>G</t>
        </r>
        <r>
          <rPr>
            <sz val="9"/>
            <color rgb="FF000000"/>
            <rFont val="ＭＳ Ｐゴシック"/>
            <family val="2"/>
            <charset val="128"/>
          </rPr>
          <t>被害）</t>
        </r>
        <r>
          <rPr>
            <sz val="9"/>
            <color rgb="FF000000"/>
            <rFont val="ＭＳ Ｐゴシック"/>
            <family val="2"/>
            <charset val="128"/>
          </rPr>
          <t xml:space="preserve">
</t>
        </r>
        <r>
          <rPr>
            <sz val="9"/>
            <color rgb="FF000000"/>
            <rFont val="ＭＳ Ｐゴシック"/>
            <family val="2"/>
            <charset val="128"/>
          </rPr>
          <t>2023.1</t>
        </r>
        <r>
          <rPr>
            <sz val="9"/>
            <color rgb="FF000000"/>
            <rFont val="ＭＳ Ｐゴシック"/>
            <family val="2"/>
            <charset val="128"/>
          </rPr>
          <t>月　冷凍冷蔵庫　</t>
        </r>
        <r>
          <rPr>
            <sz val="9"/>
            <color rgb="FF000000"/>
            <rFont val="ＭＳ Ｐゴシック"/>
            <family val="2"/>
            <charset val="128"/>
          </rPr>
          <t>11,550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全て税込み月額</t>
        </r>
      </text>
    </comment>
    <comment ref="C35" authorId="1" shapeId="0" xr:uid="{00000000-0006-0000-0B00-000019000000}">
      <text>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ｷｬﾝｼｽﾃﾑ：年間</t>
        </r>
        <r>
          <rPr>
            <sz val="9"/>
            <color rgb="FF000000"/>
            <rFont val="ＭＳ Ｐゴシック"/>
            <family val="2"/>
            <charset val="128"/>
          </rPr>
          <t>25,000</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t>
        </r>
        <r>
          <rPr>
            <sz val="9"/>
            <color rgb="FF000000"/>
            <rFont val="ＭＳ Ｐゴシック"/>
            <family val="2"/>
            <charset val="128"/>
          </rPr>
          <t>2,083</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25.1</t>
        </r>
        <r>
          <rPr>
            <sz val="9"/>
            <color rgb="FF000000"/>
            <rFont val="ＭＳ Ｐゴシック"/>
            <family val="2"/>
            <charset val="128"/>
          </rPr>
          <t>月～Ｈ</t>
        </r>
        <r>
          <rPr>
            <sz val="9"/>
            <color rgb="FF000000"/>
            <rFont val="ＭＳ Ｐゴシック"/>
            <family val="2"/>
            <charset val="128"/>
          </rPr>
          <t>25.12</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26.1</t>
        </r>
        <r>
          <rPr>
            <sz val="9"/>
            <color rgb="FF000000"/>
            <rFont val="ＭＳ Ｐゴシック"/>
            <family val="2"/>
            <charset val="128"/>
          </rPr>
          <t>月～Ｈ</t>
        </r>
        <r>
          <rPr>
            <sz val="9"/>
            <color rgb="FF000000"/>
            <rFont val="ＭＳ Ｐゴシック"/>
            <family val="2"/>
            <charset val="128"/>
          </rPr>
          <t>26.12</t>
        </r>
        <r>
          <rPr>
            <sz val="9"/>
            <color rgb="FF000000"/>
            <rFont val="ＭＳ Ｐゴシック"/>
            <family val="2"/>
            <charset val="128"/>
          </rPr>
          <t>月）</t>
        </r>
      </text>
    </comment>
    <comment ref="C38" authorId="1" shapeId="0" xr:uid="{00000000-0006-0000-0B00-00001A000000}">
      <text>
        <r>
          <rPr>
            <sz val="9"/>
            <color rgb="FF000000"/>
            <rFont val="ＭＳ Ｐゴシック"/>
            <family val="2"/>
            <charset val="128"/>
          </rPr>
          <t>（想定）</t>
        </r>
        <r>
          <rPr>
            <sz val="9"/>
            <color rgb="FF000000"/>
            <rFont val="ＭＳ Ｐゴシック"/>
            <family val="2"/>
            <charset val="128"/>
          </rPr>
          <t>40,416,398</t>
        </r>
        <r>
          <rPr>
            <sz val="9"/>
            <color rgb="FF000000"/>
            <rFont val="ＭＳ Ｐゴシック"/>
            <family val="2"/>
            <charset val="128"/>
          </rPr>
          <t>円×</t>
        </r>
        <r>
          <rPr>
            <sz val="9"/>
            <color rgb="FF000000"/>
            <rFont val="ＭＳ Ｐゴシック"/>
            <family val="2"/>
            <charset val="128"/>
          </rPr>
          <t>1.4</t>
        </r>
        <r>
          <rPr>
            <sz val="9"/>
            <color rgb="FF000000"/>
            <rFont val="ＭＳ Ｐゴシック"/>
            <family val="2"/>
            <charset val="128"/>
          </rPr>
          <t>％＝</t>
        </r>
        <r>
          <rPr>
            <sz val="9"/>
            <color rgb="FF000000"/>
            <rFont val="ＭＳ Ｐゴシック"/>
            <family val="2"/>
            <charset val="128"/>
          </rPr>
          <t>565,703</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ヶ月</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47,1427</t>
        </r>
        <r>
          <rPr>
            <sz val="9"/>
            <color rgb="FF000000"/>
            <rFont val="ＭＳ Ｐゴシック"/>
            <family val="2"/>
            <charset val="128"/>
          </rPr>
          <t>円</t>
        </r>
        <r>
          <rPr>
            <sz val="9"/>
            <color rgb="FF000000"/>
            <rFont val="ＭＳ Ｐゴシック"/>
            <family val="2"/>
            <charset val="128"/>
          </rPr>
          <t>/</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t>
        </r>
      </text>
    </comment>
    <comment ref="N38" authorId="2" shapeId="0" xr:uid="{00000000-0006-0000-0B00-00001B000000}">
      <text>
        <r>
          <rPr>
            <b/>
            <sz val="9"/>
            <color indexed="81"/>
            <rFont val="ＭＳ Ｐゴシック"/>
            <family val="3"/>
            <charset val="128"/>
          </rPr>
          <t>総額474700円の84％で398748円の12分割</t>
        </r>
      </text>
    </comment>
    <comment ref="C39" authorId="1" shapeId="0" xr:uid="{00000000-0006-0000-0B00-00001C000000}">
      <text>
        <r>
          <rPr>
            <sz val="9"/>
            <color rgb="FF000000"/>
            <rFont val="ＭＳ Ｐゴシック"/>
            <family val="2"/>
            <charset val="128"/>
          </rPr>
          <t>4,191,441</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ヶ月＝</t>
        </r>
        <r>
          <rPr>
            <sz val="9"/>
            <color rgb="FF000000"/>
            <rFont val="ＭＳ Ｐゴシック"/>
            <family val="2"/>
            <charset val="128"/>
          </rPr>
          <t>349,286</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t>
        </r>
      </text>
    </comment>
    <comment ref="D39" authorId="2" shapeId="0" xr:uid="{00000000-0006-0000-0B00-00001D000000}">
      <text>
        <r>
          <rPr>
            <b/>
            <sz val="9"/>
            <color rgb="FF000000"/>
            <rFont val="ＭＳ Ｐゴシック"/>
            <family val="2"/>
            <charset val="128"/>
          </rPr>
          <t>3849599</t>
        </r>
        <r>
          <rPr>
            <b/>
            <sz val="9"/>
            <color rgb="FF000000"/>
            <rFont val="ＭＳ Ｐゴシック"/>
            <family val="2"/>
            <charset val="128"/>
          </rPr>
          <t>円を</t>
        </r>
        <r>
          <rPr>
            <b/>
            <sz val="9"/>
            <color rgb="FF000000"/>
            <rFont val="ＭＳ Ｐゴシック"/>
            <family val="2"/>
            <charset val="128"/>
          </rPr>
          <t>12</t>
        </r>
        <r>
          <rPr>
            <b/>
            <sz val="9"/>
            <color rgb="FF000000"/>
            <rFont val="ＭＳ Ｐゴシック"/>
            <family val="2"/>
            <charset val="128"/>
          </rPr>
          <t>分割</t>
        </r>
      </text>
    </comment>
    <comment ref="C40" authorId="3" shapeId="0" xr:uid="{00000000-0006-0000-0B00-00001E000000}">
      <text>
        <r>
          <rPr>
            <sz val="9"/>
            <color rgb="FF000000"/>
            <rFont val="游ゴシック"/>
            <family val="3"/>
            <charset val="128"/>
          </rPr>
          <t>あいおい損保</t>
        </r>
        <r>
          <rPr>
            <sz val="9"/>
            <color rgb="FF000000"/>
            <rFont val="MS P ゴシック"/>
            <charset val="128"/>
          </rPr>
          <t xml:space="preserve">
</t>
        </r>
        <r>
          <rPr>
            <sz val="9"/>
            <color rgb="FF000000"/>
            <rFont val="MS P ゴシック"/>
            <charset val="128"/>
          </rPr>
          <t>R6.10.2</t>
        </r>
        <r>
          <rPr>
            <sz val="9"/>
            <color rgb="FF000000"/>
            <rFont val="游ゴシック"/>
            <family val="3"/>
            <charset val="128"/>
          </rPr>
          <t>～</t>
        </r>
        <r>
          <rPr>
            <sz val="9"/>
            <color rgb="FF000000"/>
            <rFont val="MS P ゴシック"/>
            <charset val="128"/>
          </rPr>
          <t xml:space="preserve">R7.10.2
</t>
        </r>
        <r>
          <rPr>
            <sz val="9"/>
            <color rgb="FF000000"/>
            <rFont val="MS P ゴシック"/>
            <charset val="128"/>
          </rPr>
          <t>233,040</t>
        </r>
        <r>
          <rPr>
            <sz val="9"/>
            <color rgb="FF000000"/>
            <rFont val="游ゴシック"/>
            <family val="3"/>
            <charset val="128"/>
          </rPr>
          <t>円÷</t>
        </r>
        <r>
          <rPr>
            <sz val="9"/>
            <color rgb="FF000000"/>
            <rFont val="MS P ゴシック"/>
            <charset val="128"/>
          </rPr>
          <t>12</t>
        </r>
        <r>
          <rPr>
            <sz val="9"/>
            <color rgb="FF000000"/>
            <rFont val="游ゴシック"/>
            <family val="3"/>
            <charset val="128"/>
          </rPr>
          <t>か月＝</t>
        </r>
        <r>
          <rPr>
            <sz val="9"/>
            <color rgb="FF000000"/>
            <rFont val="MS P ゴシック"/>
            <charset val="128"/>
          </rPr>
          <t>19,420</t>
        </r>
        <r>
          <rPr>
            <sz val="9"/>
            <color rgb="FF000000"/>
            <rFont val="游ゴシック"/>
            <family val="3"/>
            <charset val="128"/>
          </rPr>
          <t>円</t>
        </r>
        <r>
          <rPr>
            <sz val="9"/>
            <color rgb="FF000000"/>
            <rFont val="MS P ゴシック"/>
            <charset val="128"/>
          </rPr>
          <t xml:space="preserve">
</t>
        </r>
      </text>
    </comment>
    <comment ref="C45" authorId="1" shapeId="0" xr:uid="{00000000-0006-0000-0B00-00001F000000}">
      <text>
        <r>
          <rPr>
            <sz val="9"/>
            <color rgb="FF000000"/>
            <rFont val="ＭＳ Ｐゴシック"/>
            <family val="2"/>
            <charset val="128"/>
          </rPr>
          <t>テックエンジニアリング：ハンディ保守契約Ｈ</t>
        </r>
        <r>
          <rPr>
            <sz val="9"/>
            <color rgb="FF000000"/>
            <rFont val="ＭＳ Ｐゴシック"/>
            <family val="2"/>
            <charset val="128"/>
          </rPr>
          <t>24.3.12</t>
        </r>
        <r>
          <rPr>
            <sz val="9"/>
            <color rgb="FF000000"/>
            <rFont val="ＭＳ Ｐゴシック"/>
            <family val="2"/>
            <charset val="128"/>
          </rPr>
          <t>～Ｈ</t>
        </r>
        <r>
          <rPr>
            <sz val="9"/>
            <color rgb="FF000000"/>
            <rFont val="ＭＳ Ｐゴシック"/>
            <family val="2"/>
            <charset val="128"/>
          </rPr>
          <t>25.3.11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239,400</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19,950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テックエンジニアリング：ハンディ保守契約Ｈ</t>
        </r>
        <r>
          <rPr>
            <sz val="9"/>
            <color rgb="FF000000"/>
            <rFont val="ＭＳ Ｐゴシック"/>
            <family val="2"/>
            <charset val="128"/>
          </rPr>
          <t>25.3.12</t>
        </r>
        <r>
          <rPr>
            <sz val="9"/>
            <color rgb="FF000000"/>
            <rFont val="ＭＳ Ｐゴシック"/>
            <family val="2"/>
            <charset val="128"/>
          </rPr>
          <t>～Ｈ</t>
        </r>
        <r>
          <rPr>
            <sz val="9"/>
            <color rgb="FF000000"/>
            <rFont val="ＭＳ Ｐゴシック"/>
            <family val="2"/>
            <charset val="128"/>
          </rPr>
          <t>26.3.11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211,050</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17,587</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テックエンジニアリング：ハンディ保守契約Ｈ</t>
        </r>
        <r>
          <rPr>
            <sz val="9"/>
            <color rgb="FF000000"/>
            <rFont val="ＭＳ Ｐゴシック"/>
            <family val="2"/>
            <charset val="128"/>
          </rPr>
          <t>26.3.12</t>
        </r>
        <r>
          <rPr>
            <sz val="9"/>
            <color rgb="FF000000"/>
            <rFont val="ＭＳ Ｐゴシック"/>
            <family val="2"/>
            <charset val="128"/>
          </rPr>
          <t>～Ｈ</t>
        </r>
        <r>
          <rPr>
            <sz val="9"/>
            <color rgb="FF000000"/>
            <rFont val="ＭＳ Ｐゴシック"/>
            <family val="2"/>
            <charset val="128"/>
          </rPr>
          <t>27.3.11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216,578</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18,048</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ラッキーアイクレマス：コーヒーマシン保守契約　</t>
        </r>
        <r>
          <rPr>
            <sz val="9"/>
            <color rgb="FF000000"/>
            <rFont val="ＭＳ Ｐゴシック"/>
            <family val="2"/>
            <charset val="128"/>
          </rPr>
          <t>H25.1</t>
        </r>
        <r>
          <rPr>
            <sz val="9"/>
            <color rgb="FF000000"/>
            <rFont val="ＭＳ Ｐゴシック"/>
            <family val="2"/>
            <charset val="128"/>
          </rPr>
          <t>月～</t>
        </r>
        <r>
          <rPr>
            <sz val="9"/>
            <color rgb="FF000000"/>
            <rFont val="ＭＳ Ｐゴシック"/>
            <family val="2"/>
            <charset val="128"/>
          </rPr>
          <t>1</t>
        </r>
        <r>
          <rPr>
            <sz val="9"/>
            <color rgb="FF000000"/>
            <rFont val="ＭＳ Ｐゴシック"/>
            <family val="2"/>
            <charset val="128"/>
          </rPr>
          <t>年間</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100,800</t>
        </r>
        <r>
          <rPr>
            <sz val="9"/>
            <color rgb="FF000000"/>
            <rFont val="ＭＳ Ｐゴシック"/>
            <family val="2"/>
            <charset val="128"/>
          </rPr>
          <t>円（税込）</t>
        </r>
        <r>
          <rPr>
            <sz val="9"/>
            <color rgb="FF000000"/>
            <rFont val="ＭＳ Ｐゴシック"/>
            <family val="2"/>
            <charset val="128"/>
          </rPr>
          <t>/</t>
        </r>
        <r>
          <rPr>
            <sz val="9"/>
            <color rgb="FF000000"/>
            <rFont val="ＭＳ Ｐゴシック"/>
            <family val="2"/>
            <charset val="128"/>
          </rPr>
          <t>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8,400</t>
        </r>
        <r>
          <rPr>
            <sz val="9"/>
            <color rgb="FF000000"/>
            <rFont val="ＭＳ Ｐゴシック"/>
            <family val="2"/>
            <charset val="128"/>
          </rPr>
          <t>円</t>
        </r>
        <r>
          <rPr>
            <sz val="9"/>
            <color rgb="FF000000"/>
            <rFont val="ＭＳ Ｐゴシック"/>
            <family val="2"/>
            <charset val="128"/>
          </rPr>
          <t>/</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xml:space="preserve"> </t>
        </r>
      </text>
    </comment>
    <comment ref="F45" authorId="2" shapeId="0" xr:uid="{00000000-0006-0000-0B00-000020000000}">
      <text>
        <r>
          <rPr>
            <b/>
            <sz val="9"/>
            <color indexed="81"/>
            <rFont val="ＭＳ Ｐゴシック"/>
            <family val="3"/>
            <charset val="128"/>
          </rPr>
          <t>3月より217080円請求</t>
        </r>
      </text>
    </comment>
    <comment ref="H45" authorId="1" shapeId="0" xr:uid="{00000000-0006-0000-0B00-000021000000}">
      <text>
        <r>
          <rPr>
            <sz val="9"/>
            <color rgb="FF000000"/>
            <rFont val="ＭＳ Ｐゴシック"/>
            <family val="2"/>
            <charset val="128"/>
          </rPr>
          <t>ハンディ年間保守契約更新月</t>
        </r>
        <r>
          <rPr>
            <sz val="9"/>
            <color rgb="FF000000"/>
            <rFont val="ＭＳ Ｐゴシック"/>
            <family val="2"/>
            <charset val="128"/>
          </rPr>
          <t>217080</t>
        </r>
        <r>
          <rPr>
            <sz val="9"/>
            <color rgb="FF000000"/>
            <rFont val="ＭＳ Ｐゴシック"/>
            <family val="2"/>
            <charset val="128"/>
          </rPr>
          <t>円</t>
        </r>
        <r>
          <rPr>
            <sz val="9"/>
            <color rgb="FF000000"/>
            <rFont val="ＭＳ Ｐゴシック"/>
            <family val="2"/>
            <charset val="128"/>
          </rPr>
          <t xml:space="preserve">
</t>
        </r>
      </text>
    </comment>
    <comment ref="D46" authorId="1" shapeId="0" xr:uid="{00000000-0006-0000-0B00-000022000000}">
      <text>
        <r>
          <rPr>
            <sz val="9"/>
            <color rgb="FF000000"/>
            <rFont val="ＭＳ Ｐゴシック"/>
            <family val="2"/>
            <charset val="128"/>
          </rPr>
          <t>1/10</t>
        </r>
        <r>
          <rPr>
            <sz val="9"/>
            <color rgb="FF000000"/>
            <rFont val="ＭＳ Ｐゴシック"/>
            <family val="2"/>
            <charset val="128"/>
          </rPr>
          <t>～</t>
        </r>
        <r>
          <rPr>
            <sz val="9"/>
            <color rgb="FF000000"/>
            <rFont val="ＭＳ Ｐゴシック"/>
            <family val="2"/>
            <charset val="128"/>
          </rPr>
          <t xml:space="preserve">2/6
</t>
        </r>
        <r>
          <rPr>
            <sz val="9"/>
            <color rgb="FF000000"/>
            <rFont val="ＭＳ Ｐゴシック"/>
            <family val="2"/>
            <charset val="128"/>
          </rPr>
          <t xml:space="preserve">
</t>
        </r>
      </text>
    </comment>
    <comment ref="F46" authorId="1" shapeId="0" xr:uid="{00000000-0006-0000-0B00-000023000000}">
      <text>
        <r>
          <rPr>
            <sz val="9"/>
            <color rgb="FF000000"/>
            <rFont val="ＭＳ Ｐゴシック"/>
            <family val="2"/>
            <charset val="128"/>
          </rPr>
          <t>2/8</t>
        </r>
        <r>
          <rPr>
            <sz val="9"/>
            <color rgb="FF000000"/>
            <rFont val="ＭＳ Ｐゴシック"/>
            <family val="2"/>
            <charset val="128"/>
          </rPr>
          <t>～</t>
        </r>
        <r>
          <rPr>
            <sz val="9"/>
            <color rgb="FF000000"/>
            <rFont val="ＭＳ Ｐゴシック"/>
            <family val="2"/>
            <charset val="128"/>
          </rPr>
          <t xml:space="preserve">3/7
</t>
        </r>
        <r>
          <rPr>
            <sz val="9"/>
            <color rgb="FF000000"/>
            <rFont val="ＭＳ Ｐゴシック"/>
            <family val="2"/>
            <charset val="128"/>
          </rPr>
          <t xml:space="preserve">
</t>
        </r>
      </text>
    </comment>
    <comment ref="H46" authorId="1" shapeId="0" xr:uid="{00000000-0006-0000-0B00-000024000000}">
      <text>
        <r>
          <rPr>
            <sz val="9"/>
            <color indexed="81"/>
            <rFont val="ＭＳ Ｐゴシック"/>
            <family val="3"/>
            <charset val="128"/>
          </rPr>
          <t xml:space="preserve">3/8～4/8
</t>
        </r>
      </text>
    </comment>
    <comment ref="J46" authorId="1" shapeId="0" xr:uid="{00000000-0006-0000-0B00-000025000000}">
      <text>
        <r>
          <rPr>
            <sz val="9"/>
            <color rgb="FF000000"/>
            <rFont val="ＭＳ Ｐゴシック"/>
            <family val="2"/>
            <charset val="128"/>
          </rPr>
          <t>4/6</t>
        </r>
        <r>
          <rPr>
            <sz val="9"/>
            <color rgb="FF000000"/>
            <rFont val="ＭＳ Ｐゴシック"/>
            <family val="2"/>
            <charset val="128"/>
          </rPr>
          <t>～</t>
        </r>
        <r>
          <rPr>
            <sz val="9"/>
            <color rgb="FF000000"/>
            <rFont val="ＭＳ Ｐゴシック"/>
            <family val="2"/>
            <charset val="128"/>
          </rPr>
          <t xml:space="preserve">5/9
</t>
        </r>
        <r>
          <rPr>
            <sz val="9"/>
            <color rgb="FF000000"/>
            <rFont val="ＭＳ Ｐゴシック"/>
            <family val="2"/>
            <charset val="128"/>
          </rPr>
          <t xml:space="preserve">
</t>
        </r>
      </text>
    </comment>
    <comment ref="L46" authorId="1" shapeId="0" xr:uid="{00000000-0006-0000-0B00-000026000000}">
      <text>
        <r>
          <rPr>
            <sz val="9"/>
            <color indexed="81"/>
            <rFont val="ＭＳ Ｐゴシック"/>
            <family val="3"/>
            <charset val="128"/>
          </rPr>
          <t xml:space="preserve">6/引落
5/10～6/6
</t>
        </r>
      </text>
    </comment>
    <comment ref="N46" authorId="1" shapeId="0" xr:uid="{00000000-0006-0000-0B00-000027000000}">
      <text>
        <r>
          <rPr>
            <sz val="9"/>
            <color indexed="81"/>
            <rFont val="ＭＳ Ｐゴシック"/>
            <family val="3"/>
            <charset val="128"/>
          </rPr>
          <t xml:space="preserve">6/7～7/7
</t>
        </r>
      </text>
    </comment>
    <comment ref="P46" authorId="1" shapeId="0" xr:uid="{00000000-0006-0000-0B00-000028000000}">
      <text>
        <r>
          <rPr>
            <sz val="9"/>
            <color indexed="81"/>
            <rFont val="ＭＳ Ｐゴシック"/>
            <family val="3"/>
            <charset val="128"/>
          </rPr>
          <t xml:space="preserve">7/9～8/7
</t>
        </r>
      </text>
    </comment>
    <comment ref="R46" authorId="1" shapeId="0" xr:uid="{00000000-0006-0000-0B00-000029000000}">
      <text>
        <r>
          <rPr>
            <sz val="9"/>
            <color indexed="81"/>
            <rFont val="ＭＳ Ｐゴシック"/>
            <family val="3"/>
            <charset val="128"/>
          </rPr>
          <t xml:space="preserve">8/8～9/8
</t>
        </r>
      </text>
    </comment>
    <comment ref="T46" authorId="1" shapeId="0" xr:uid="{00000000-0006-0000-0B00-00002A000000}">
      <text>
        <r>
          <rPr>
            <sz val="9"/>
            <color indexed="81"/>
            <rFont val="ＭＳ Ｐゴシック"/>
            <family val="3"/>
            <charset val="128"/>
          </rPr>
          <t xml:space="preserve">9/9～10/8
</t>
        </r>
      </text>
    </comment>
    <comment ref="V46" authorId="1" shapeId="0" xr:uid="{00000000-0006-0000-0B00-00002B000000}">
      <text>
        <r>
          <rPr>
            <sz val="9"/>
            <color indexed="81"/>
            <rFont val="ＭＳ Ｐゴシック"/>
            <family val="3"/>
            <charset val="128"/>
          </rPr>
          <t xml:space="preserve">10/9～11/10
</t>
        </r>
      </text>
    </comment>
    <comment ref="X46" authorId="1" shapeId="0" xr:uid="{00000000-0006-0000-0B00-00002C000000}">
      <text>
        <r>
          <rPr>
            <sz val="9"/>
            <color rgb="FF000000"/>
            <rFont val="ＭＳ Ｐゴシック"/>
            <family val="2"/>
            <charset val="128"/>
          </rPr>
          <t>11/11</t>
        </r>
        <r>
          <rPr>
            <sz val="9"/>
            <color rgb="FF000000"/>
            <rFont val="ＭＳ Ｐゴシック"/>
            <family val="2"/>
            <charset val="128"/>
          </rPr>
          <t>～</t>
        </r>
        <r>
          <rPr>
            <sz val="9"/>
            <color rgb="FF000000"/>
            <rFont val="ＭＳ Ｐゴシック"/>
            <family val="2"/>
            <charset val="128"/>
          </rPr>
          <t xml:space="preserve">12/9
</t>
        </r>
        <r>
          <rPr>
            <sz val="9"/>
            <color rgb="FF000000"/>
            <rFont val="ＭＳ Ｐゴシック"/>
            <family val="2"/>
            <charset val="128"/>
          </rPr>
          <t xml:space="preserve">
</t>
        </r>
      </text>
    </comment>
    <comment ref="Z46" authorId="1" shapeId="0" xr:uid="{00000000-0006-0000-0B00-00002D000000}">
      <text>
        <r>
          <rPr>
            <sz val="9"/>
            <color rgb="FF000000"/>
            <rFont val="ＭＳ Ｐゴシック"/>
            <family val="2"/>
            <charset val="128"/>
          </rPr>
          <t>12/10</t>
        </r>
        <r>
          <rPr>
            <sz val="9"/>
            <color rgb="FF000000"/>
            <rFont val="ＭＳ Ｐゴシック"/>
            <family val="2"/>
            <charset val="128"/>
          </rPr>
          <t>～</t>
        </r>
        <r>
          <rPr>
            <sz val="9"/>
            <color rgb="FF000000"/>
            <rFont val="ＭＳ Ｐゴシック"/>
            <family val="2"/>
            <charset val="128"/>
          </rPr>
          <t xml:space="preserve">1/8
</t>
        </r>
        <r>
          <rPr>
            <sz val="9"/>
            <color rgb="FF000000"/>
            <rFont val="ＭＳ Ｐゴシック"/>
            <family val="2"/>
            <charset val="128"/>
          </rPr>
          <t xml:space="preserve">
</t>
        </r>
      </text>
    </comment>
    <comment ref="D47" authorId="0" shapeId="0" xr:uid="{00000000-0006-0000-0B00-00002E000000}">
      <text>
        <r>
          <rPr>
            <sz val="9"/>
            <color rgb="FF000000"/>
            <rFont val="ＭＳ Ｐゴシック"/>
            <family val="2"/>
            <charset val="128"/>
          </rPr>
          <t>1/8</t>
        </r>
        <r>
          <rPr>
            <sz val="9"/>
            <color rgb="FF000000"/>
            <rFont val="ＭＳ Ｐゴシック"/>
            <family val="2"/>
            <charset val="128"/>
          </rPr>
          <t>～</t>
        </r>
        <r>
          <rPr>
            <sz val="9"/>
            <color rgb="FF000000"/>
            <rFont val="ＭＳ Ｐゴシック"/>
            <family val="2"/>
            <charset val="128"/>
          </rPr>
          <t xml:space="preserve">2/1
</t>
        </r>
      </text>
    </comment>
    <comment ref="F47" authorId="1" shapeId="0" xr:uid="{00000000-0006-0000-0B00-00002F000000}">
      <text>
        <r>
          <rPr>
            <sz val="9"/>
            <color rgb="FF000000"/>
            <rFont val="ＭＳ Ｐゴシック"/>
            <family val="2"/>
            <charset val="128"/>
          </rPr>
          <t>3/12</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2/2</t>
        </r>
        <r>
          <rPr>
            <sz val="9"/>
            <color rgb="FF000000"/>
            <rFont val="ＭＳ Ｐゴシック"/>
            <family val="2"/>
            <charset val="128"/>
          </rPr>
          <t>～</t>
        </r>
        <r>
          <rPr>
            <sz val="9"/>
            <color rgb="FF000000"/>
            <rFont val="ＭＳ Ｐゴシック"/>
            <family val="2"/>
            <charset val="128"/>
          </rPr>
          <t>3/1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H47" authorId="1" shapeId="0" xr:uid="{00000000-0006-0000-0B00-000030000000}">
      <text>
        <r>
          <rPr>
            <sz val="9"/>
            <color rgb="FF000000"/>
            <rFont val="ＭＳ Ｐゴシック"/>
            <family val="2"/>
            <charset val="128"/>
          </rPr>
          <t>4/10</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3/2</t>
        </r>
        <r>
          <rPr>
            <sz val="9"/>
            <color rgb="FF000000"/>
            <rFont val="ＭＳ Ｐゴシック"/>
            <family val="2"/>
            <charset val="128"/>
          </rPr>
          <t>～</t>
        </r>
        <r>
          <rPr>
            <sz val="9"/>
            <color rgb="FF000000"/>
            <rFont val="ＭＳ Ｐゴシック"/>
            <family val="2"/>
            <charset val="128"/>
          </rPr>
          <t>4/1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J47" authorId="1" shapeId="0" xr:uid="{00000000-0006-0000-0B00-000031000000}">
      <text>
        <r>
          <rPr>
            <sz val="9"/>
            <color rgb="FF000000"/>
            <rFont val="ＭＳ Ｐゴシック"/>
            <family val="2"/>
            <charset val="128"/>
          </rPr>
          <t>5/14</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4/2</t>
        </r>
        <r>
          <rPr>
            <sz val="9"/>
            <color rgb="FF000000"/>
            <rFont val="ＭＳ Ｐゴシック"/>
            <family val="2"/>
            <charset val="128"/>
          </rPr>
          <t>～</t>
        </r>
        <r>
          <rPr>
            <sz val="9"/>
            <color rgb="FF000000"/>
            <rFont val="ＭＳ Ｐゴシック"/>
            <family val="2"/>
            <charset val="128"/>
          </rPr>
          <t>5/1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L47" authorId="1" shapeId="0" xr:uid="{00000000-0006-0000-0B00-000032000000}">
      <text>
        <r>
          <rPr>
            <sz val="9"/>
            <color rgb="FF000000"/>
            <rFont val="ＭＳ Ｐゴシック"/>
            <family val="2"/>
            <charset val="128"/>
          </rPr>
          <t>6/12</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5/2</t>
        </r>
        <r>
          <rPr>
            <sz val="9"/>
            <color rgb="FF000000"/>
            <rFont val="ＭＳ Ｐゴシック"/>
            <family val="2"/>
            <charset val="128"/>
          </rPr>
          <t>～</t>
        </r>
        <r>
          <rPr>
            <sz val="9"/>
            <color rgb="FF000000"/>
            <rFont val="ＭＳ Ｐゴシック"/>
            <family val="2"/>
            <charset val="128"/>
          </rPr>
          <t>6/3</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N47" authorId="1" shapeId="0" xr:uid="{00000000-0006-0000-0B00-000033000000}">
      <text>
        <r>
          <rPr>
            <sz val="9"/>
            <color rgb="FF000000"/>
            <rFont val="ＭＳ Ｐゴシック"/>
            <family val="2"/>
            <charset val="128"/>
          </rPr>
          <t>7/10</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6/4</t>
        </r>
        <r>
          <rPr>
            <sz val="9"/>
            <color rgb="FF000000"/>
            <rFont val="ＭＳ Ｐゴシック"/>
            <family val="2"/>
            <charset val="128"/>
          </rPr>
          <t>～</t>
        </r>
        <r>
          <rPr>
            <sz val="9"/>
            <color rgb="FF000000"/>
            <rFont val="ＭＳ Ｐゴシック"/>
            <family val="2"/>
            <charset val="128"/>
          </rPr>
          <t>7/1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P47" authorId="1" shapeId="0" xr:uid="{00000000-0006-0000-0B00-000034000000}">
      <text>
        <r>
          <rPr>
            <sz val="9"/>
            <color indexed="81"/>
            <rFont val="ＭＳ Ｐゴシック"/>
            <family val="3"/>
            <charset val="128"/>
          </rPr>
          <t xml:space="preserve">8/12引落
7/2～8/1分
</t>
        </r>
      </text>
    </comment>
    <comment ref="R47" authorId="1" shapeId="0" xr:uid="{00000000-0006-0000-0B00-000035000000}">
      <text>
        <r>
          <rPr>
            <sz val="9"/>
            <color indexed="81"/>
            <rFont val="ＭＳ Ｐゴシック"/>
            <family val="3"/>
            <charset val="128"/>
          </rPr>
          <t xml:space="preserve">9/11引落
8/2～9/2分
</t>
        </r>
      </text>
    </comment>
    <comment ref="T47" authorId="1" shapeId="0" xr:uid="{00000000-0006-0000-0B00-000036000000}">
      <text>
        <r>
          <rPr>
            <sz val="9"/>
            <color indexed="81"/>
            <rFont val="ＭＳ Ｐゴシック"/>
            <family val="3"/>
            <charset val="128"/>
          </rPr>
          <t xml:space="preserve">10/10引落
9/3～10/1分
</t>
        </r>
      </text>
    </comment>
    <comment ref="V47" authorId="1" shapeId="0" xr:uid="{00000000-0006-0000-0B00-000037000000}">
      <text>
        <r>
          <rPr>
            <sz val="9"/>
            <color rgb="FF000000"/>
            <rFont val="ＭＳ Ｐゴシック"/>
            <family val="2"/>
            <charset val="128"/>
          </rPr>
          <t>11/13</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10/2</t>
        </r>
        <r>
          <rPr>
            <sz val="9"/>
            <color rgb="FF000000"/>
            <rFont val="ＭＳ Ｐゴシック"/>
            <family val="2"/>
            <charset val="128"/>
          </rPr>
          <t>～</t>
        </r>
        <r>
          <rPr>
            <sz val="9"/>
            <color rgb="FF000000"/>
            <rFont val="ＭＳ Ｐゴシック"/>
            <family val="2"/>
            <charset val="128"/>
          </rPr>
          <t>11/1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X47" authorId="1" shapeId="0" xr:uid="{00000000-0006-0000-0B00-000038000000}">
      <text>
        <r>
          <rPr>
            <sz val="9"/>
            <color indexed="81"/>
            <rFont val="ＭＳ Ｐゴシック"/>
            <family val="3"/>
            <charset val="128"/>
          </rPr>
          <t xml:space="preserve">12/11引落
11/2～12/2分
</t>
        </r>
      </text>
    </comment>
    <comment ref="Z47" authorId="1" shapeId="0" xr:uid="{00000000-0006-0000-0B00-000039000000}">
      <text>
        <r>
          <rPr>
            <sz val="9"/>
            <color rgb="FF000000"/>
            <rFont val="ＭＳ Ｐゴシック"/>
            <family val="2"/>
            <charset val="128"/>
          </rPr>
          <t>/</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12/4</t>
        </r>
        <r>
          <rPr>
            <sz val="9"/>
            <color rgb="FF000000"/>
            <rFont val="ＭＳ Ｐゴシック"/>
            <family val="2"/>
            <charset val="128"/>
          </rPr>
          <t>～</t>
        </r>
        <r>
          <rPr>
            <sz val="9"/>
            <color rgb="FF000000"/>
            <rFont val="ＭＳ Ｐゴシック"/>
            <family val="2"/>
            <charset val="128"/>
          </rPr>
          <t>1/7</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C55" authorId="1" shapeId="0" xr:uid="{00000000-0006-0000-0B00-00003A000000}">
      <text>
        <r>
          <rPr>
            <sz val="9"/>
            <color rgb="FF000000"/>
            <rFont val="ＭＳ Ｐゴシック"/>
            <family val="2"/>
            <charset val="128"/>
          </rPr>
          <t>売上比率で案分</t>
        </r>
        <r>
          <rPr>
            <sz val="9"/>
            <color rgb="FF000000"/>
            <rFont val="ＭＳ Ｐゴシック"/>
            <family val="2"/>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FJ-USER</author>
    <author>Owner</author>
    <author>DAD Design Office</author>
    <author>D587</author>
  </authors>
  <commentList>
    <comment ref="D7" authorId="0" shapeId="0" xr:uid="{00000000-0006-0000-0C00-000001000000}">
      <text>
        <r>
          <rPr>
            <sz val="9"/>
            <color rgb="FF000000"/>
            <rFont val="ＭＳ Ｐゴシック"/>
            <family val="2"/>
            <charset val="128"/>
          </rPr>
          <t>1/15  3,224</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1/31</t>
        </r>
        <r>
          <rPr>
            <sz val="9"/>
            <color rgb="FF000000"/>
            <rFont val="ＭＳ Ｐゴシック"/>
            <family val="2"/>
            <charset val="128"/>
          </rPr>
          <t>　</t>
        </r>
        <r>
          <rPr>
            <sz val="9"/>
            <color rgb="FF000000"/>
            <rFont val="ＭＳ Ｐゴシック"/>
            <family val="2"/>
            <charset val="128"/>
          </rPr>
          <t>1,468</t>
        </r>
        <r>
          <rPr>
            <sz val="9"/>
            <color rgb="FF000000"/>
            <rFont val="ＭＳ Ｐゴシック"/>
            <family val="2"/>
            <charset val="128"/>
          </rPr>
          <t>円</t>
        </r>
        <r>
          <rPr>
            <sz val="9"/>
            <color rgb="FF000000"/>
            <rFont val="ＭＳ Ｐゴシック"/>
            <family val="2"/>
            <charset val="128"/>
          </rPr>
          <t xml:space="preserve">
</t>
        </r>
      </text>
    </comment>
    <comment ref="F7" authorId="0" shapeId="0" xr:uid="{00000000-0006-0000-0C00-000002000000}">
      <text>
        <r>
          <rPr>
            <sz val="9"/>
            <color rgb="FF000000"/>
            <rFont val="ＭＳ Ｐゴシック"/>
            <family val="2"/>
            <charset val="128"/>
          </rPr>
          <t>2/14</t>
        </r>
        <r>
          <rPr>
            <sz val="9"/>
            <color rgb="FF000000"/>
            <rFont val="ＭＳ Ｐゴシック"/>
            <family val="2"/>
            <charset val="128"/>
          </rPr>
          <t>　</t>
        </r>
        <r>
          <rPr>
            <sz val="9"/>
            <color rgb="FF000000"/>
            <rFont val="ＭＳ Ｐゴシック"/>
            <family val="2"/>
            <charset val="128"/>
          </rPr>
          <t>1,280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2/28</t>
        </r>
        <r>
          <rPr>
            <sz val="9"/>
            <color rgb="FF000000"/>
            <rFont val="ＭＳ Ｐゴシック"/>
            <family val="2"/>
            <charset val="128"/>
          </rPr>
          <t>　</t>
        </r>
        <r>
          <rPr>
            <sz val="9"/>
            <color rgb="FF000000"/>
            <rFont val="ＭＳ Ｐゴシック"/>
            <family val="2"/>
            <charset val="128"/>
          </rPr>
          <t>2,417</t>
        </r>
        <r>
          <rPr>
            <sz val="9"/>
            <color rgb="FF000000"/>
            <rFont val="ＭＳ Ｐゴシック"/>
            <family val="2"/>
            <charset val="128"/>
          </rPr>
          <t>円</t>
        </r>
        <r>
          <rPr>
            <sz val="9"/>
            <color rgb="FF000000"/>
            <rFont val="ＭＳ Ｐゴシック"/>
            <family val="2"/>
            <charset val="128"/>
          </rPr>
          <t xml:space="preserve">
</t>
        </r>
      </text>
    </comment>
    <comment ref="H7" authorId="1" shapeId="0" xr:uid="{00000000-0006-0000-0C00-000003000000}">
      <text>
        <r>
          <rPr>
            <sz val="9"/>
            <color rgb="FF000000"/>
            <rFont val="ＭＳ Ｐゴシック"/>
            <family val="2"/>
            <charset val="128"/>
          </rPr>
          <t>三友新聞：取材飲食代</t>
        </r>
        <r>
          <rPr>
            <sz val="9"/>
            <color rgb="FF000000"/>
            <rFont val="ＭＳ Ｐゴシック"/>
            <family val="2"/>
            <charset val="128"/>
          </rPr>
          <t xml:space="preserve">
</t>
        </r>
      </text>
    </comment>
    <comment ref="L7" authorId="1" shapeId="0" xr:uid="{00000000-0006-0000-0C00-000004000000}">
      <text>
        <r>
          <rPr>
            <sz val="9"/>
            <color rgb="FF000000"/>
            <rFont val="ＭＳ Ｐゴシック"/>
            <family val="2"/>
            <charset val="128"/>
          </rPr>
          <t>5/10</t>
        </r>
        <r>
          <rPr>
            <sz val="9"/>
            <color rgb="FF000000"/>
            <rFont val="ＭＳ Ｐゴシック"/>
            <family val="2"/>
            <charset val="128"/>
          </rPr>
          <t>　ぐるなびより</t>
        </r>
        <r>
          <rPr>
            <sz val="9"/>
            <color rgb="FF000000"/>
            <rFont val="ＭＳ Ｐゴシック"/>
            <family val="2"/>
            <charset val="128"/>
          </rPr>
          <t xml:space="preserve">
</t>
        </r>
      </text>
    </comment>
    <comment ref="P7" authorId="0" shapeId="0" xr:uid="{00000000-0006-0000-0C00-000005000000}">
      <text>
        <r>
          <rPr>
            <sz val="9"/>
            <color rgb="FF000000"/>
            <rFont val="ＭＳ Ｐゴシック"/>
            <family val="2"/>
            <charset val="128"/>
          </rPr>
          <t>ぐるなび</t>
        </r>
        <r>
          <rPr>
            <sz val="9"/>
            <color rgb="FF000000"/>
            <rFont val="ＭＳ Ｐゴシック"/>
            <family val="2"/>
            <charset val="128"/>
          </rPr>
          <t xml:space="preserve">
</t>
        </r>
      </text>
    </comment>
    <comment ref="R7" authorId="1" shapeId="0" xr:uid="{00000000-0006-0000-0C00-000006000000}">
      <text>
        <r>
          <rPr>
            <sz val="9"/>
            <color rgb="FF000000"/>
            <rFont val="ＭＳ Ｐゴシック"/>
            <family val="2"/>
            <charset val="128"/>
          </rPr>
          <t>ぐるなび</t>
        </r>
        <r>
          <rPr>
            <sz val="9"/>
            <color rgb="FF000000"/>
            <rFont val="ＭＳ Ｐゴシック"/>
            <family val="2"/>
            <charset val="128"/>
          </rPr>
          <t xml:space="preserve">
</t>
        </r>
        <r>
          <rPr>
            <sz val="9"/>
            <color rgb="FF000000"/>
            <rFont val="ＭＳ Ｐゴシック"/>
            <family val="2"/>
            <charset val="128"/>
          </rPr>
          <t xml:space="preserve">
</t>
        </r>
      </text>
    </comment>
    <comment ref="T7" authorId="0" shapeId="0" xr:uid="{00000000-0006-0000-0C00-000007000000}">
      <text>
        <r>
          <rPr>
            <sz val="9"/>
            <color rgb="FF000000"/>
            <rFont val="ＭＳ Ｐゴシック"/>
            <family val="2"/>
            <charset val="128"/>
          </rPr>
          <t>ぐるなび</t>
        </r>
        <r>
          <rPr>
            <sz val="9"/>
            <color rgb="FF000000"/>
            <rFont val="ＭＳ Ｐゴシック"/>
            <family val="2"/>
            <charset val="128"/>
          </rPr>
          <t xml:space="preserve">
</t>
        </r>
      </text>
    </comment>
    <comment ref="V7" authorId="0" shapeId="0" xr:uid="{00000000-0006-0000-0C00-000008000000}">
      <text>
        <r>
          <rPr>
            <sz val="9"/>
            <color rgb="FF000000"/>
            <rFont val="ＭＳ Ｐゴシック"/>
            <family val="2"/>
            <charset val="128"/>
          </rPr>
          <t>ぐるなび</t>
        </r>
        <r>
          <rPr>
            <sz val="9"/>
            <color rgb="FF000000"/>
            <rFont val="ＭＳ Ｐゴシック"/>
            <family val="2"/>
            <charset val="128"/>
          </rPr>
          <t xml:space="preserve">
</t>
        </r>
      </text>
    </comment>
    <comment ref="X7" authorId="0" shapeId="0" xr:uid="{00000000-0006-0000-0C00-000009000000}">
      <text>
        <r>
          <rPr>
            <sz val="9"/>
            <color rgb="FF000000"/>
            <rFont val="ＭＳ Ｐゴシック"/>
            <family val="2"/>
            <charset val="128"/>
          </rPr>
          <t>ぐるなび</t>
        </r>
        <r>
          <rPr>
            <sz val="9"/>
            <color rgb="FF000000"/>
            <rFont val="ＭＳ Ｐゴシック"/>
            <family val="2"/>
            <charset val="128"/>
          </rPr>
          <t xml:space="preserve">
</t>
        </r>
      </text>
    </comment>
    <comment ref="Z7" authorId="0" shapeId="0" xr:uid="{00000000-0006-0000-0C00-00000A000000}">
      <text>
        <r>
          <rPr>
            <sz val="9"/>
            <color rgb="FF000000"/>
            <rFont val="ＭＳ Ｐゴシック"/>
            <family val="2"/>
            <charset val="128"/>
          </rPr>
          <t>ぐるなび</t>
        </r>
        <r>
          <rPr>
            <sz val="9"/>
            <color rgb="FF000000"/>
            <rFont val="ＭＳ Ｐゴシック"/>
            <family val="2"/>
            <charset val="128"/>
          </rPr>
          <t xml:space="preserve">
</t>
        </r>
      </text>
    </comment>
    <comment ref="C27" authorId="1" shapeId="0" xr:uid="{00000000-0006-0000-0C00-00000B000000}">
      <text>
        <r>
          <rPr>
            <sz val="9"/>
            <color rgb="FF000000"/>
            <rFont val="ＭＳ Ｐゴシック"/>
            <family val="2"/>
            <charset val="128"/>
          </rPr>
          <t>更新料</t>
        </r>
        <r>
          <rPr>
            <sz val="9"/>
            <color rgb="FF000000"/>
            <rFont val="ＭＳ Ｐゴシック"/>
            <family val="2"/>
            <charset val="128"/>
          </rPr>
          <t>650,000</t>
        </r>
        <r>
          <rPr>
            <sz val="9"/>
            <color rgb="FF000000"/>
            <rFont val="ＭＳ Ｐゴシック"/>
            <family val="2"/>
            <charset val="128"/>
          </rPr>
          <t>円を</t>
        </r>
        <r>
          <rPr>
            <sz val="9"/>
            <color rgb="FF000000"/>
            <rFont val="ＭＳ Ｐゴシック"/>
            <family val="2"/>
            <charset val="128"/>
          </rPr>
          <t>3</t>
        </r>
        <r>
          <rPr>
            <sz val="9"/>
            <color rgb="FF000000"/>
            <rFont val="ＭＳ Ｐゴシック"/>
            <family val="2"/>
            <charset val="128"/>
          </rPr>
          <t>年で案分して月々賃料</t>
        </r>
        <r>
          <rPr>
            <sz val="9"/>
            <color rgb="FF000000"/>
            <rFont val="ＭＳ Ｐゴシック"/>
            <family val="2"/>
            <charset val="128"/>
          </rPr>
          <t>650,000</t>
        </r>
        <r>
          <rPr>
            <sz val="9"/>
            <color rgb="FF000000"/>
            <rFont val="ＭＳ Ｐゴシック"/>
            <family val="2"/>
            <charset val="128"/>
          </rPr>
          <t>に計上</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H26.4</t>
        </r>
        <r>
          <rPr>
            <sz val="9"/>
            <color rgb="FF000000"/>
            <rFont val="ＭＳ Ｐゴシック"/>
            <family val="2"/>
            <charset val="128"/>
          </rPr>
          <t>月より消費税増税により家賃改定</t>
        </r>
        <r>
          <rPr>
            <sz val="9"/>
            <color rgb="FF000000"/>
            <rFont val="ＭＳ Ｐゴシック"/>
            <family val="2"/>
            <charset val="128"/>
          </rPr>
          <t xml:space="preserve">
</t>
        </r>
        <r>
          <rPr>
            <sz val="9"/>
            <color rgb="FF000000"/>
            <rFont val="ＭＳ Ｐゴシック"/>
            <family val="2"/>
            <charset val="128"/>
          </rPr>
          <t>650,000</t>
        </r>
        <r>
          <rPr>
            <sz val="9"/>
            <color rgb="FF000000"/>
            <rFont val="ＭＳ Ｐゴシック"/>
            <family val="2"/>
            <charset val="128"/>
          </rPr>
          <t>円（税込）</t>
        </r>
        <r>
          <rPr>
            <sz val="9"/>
            <color rgb="FF000000"/>
            <rFont val="ＭＳ Ｐゴシック"/>
            <family val="2"/>
            <charset val="128"/>
          </rPr>
          <t>→668,572</t>
        </r>
        <r>
          <rPr>
            <sz val="9"/>
            <color rgb="FF000000"/>
            <rFont val="ＭＳ Ｐゴシック"/>
            <family val="2"/>
            <charset val="128"/>
          </rPr>
          <t>円（税込）</t>
        </r>
        <r>
          <rPr>
            <sz val="9"/>
            <color rgb="FF000000"/>
            <rFont val="ＭＳ Ｐゴシック"/>
            <family val="2"/>
            <charset val="128"/>
          </rPr>
          <t xml:space="preserve">
</t>
        </r>
        <r>
          <rPr>
            <sz val="9"/>
            <color rgb="FF000000"/>
            <rFont val="ＭＳ Ｐゴシック"/>
            <family val="2"/>
            <charset val="128"/>
          </rPr>
          <t>よって、</t>
        </r>
        <r>
          <rPr>
            <sz val="9"/>
            <color rgb="FF000000"/>
            <rFont val="ＭＳ Ｐゴシック"/>
            <family val="2"/>
            <charset val="128"/>
          </rPr>
          <t>4</t>
        </r>
        <r>
          <rPr>
            <sz val="9"/>
            <color rgb="FF000000"/>
            <rFont val="ＭＳ Ｐゴシック"/>
            <family val="2"/>
            <charset val="128"/>
          </rPr>
          <t>月より</t>
        </r>
        <r>
          <rPr>
            <sz val="9"/>
            <color rgb="FF000000"/>
            <rFont val="ＭＳ Ｐゴシック"/>
            <family val="2"/>
            <charset val="128"/>
          </rPr>
          <t>668,572</t>
        </r>
        <r>
          <rPr>
            <sz val="9"/>
            <color rgb="FF000000"/>
            <rFont val="ＭＳ Ｐゴシック"/>
            <family val="2"/>
            <charset val="128"/>
          </rPr>
          <t>円に更新料の分割分を加算して</t>
        </r>
        <r>
          <rPr>
            <sz val="9"/>
            <color rgb="FF000000"/>
            <rFont val="ＭＳ Ｐゴシック"/>
            <family val="2"/>
            <charset val="128"/>
          </rPr>
          <t>686,627</t>
        </r>
        <r>
          <rPr>
            <sz val="9"/>
            <color rgb="FF000000"/>
            <rFont val="ＭＳ Ｐゴシック"/>
            <family val="2"/>
            <charset val="128"/>
          </rPr>
          <t>円とする</t>
        </r>
      </text>
    </comment>
    <comment ref="C31" authorId="1" shapeId="0" xr:uid="{00000000-0006-0000-0C00-00000C000000}">
      <text>
        <r>
          <rPr>
            <sz val="9"/>
            <color rgb="FF000000"/>
            <rFont val="ＭＳ Ｐゴシック"/>
            <family val="2"/>
            <charset val="128"/>
          </rPr>
          <t>Ｈ</t>
        </r>
        <r>
          <rPr>
            <sz val="9"/>
            <color rgb="FF000000"/>
            <rFont val="ＭＳ Ｐゴシック"/>
            <family val="2"/>
            <charset val="128"/>
          </rPr>
          <t>24.5.29</t>
        </r>
        <r>
          <rPr>
            <sz val="9"/>
            <color rgb="FF000000"/>
            <rFont val="ＭＳ Ｐゴシック"/>
            <family val="2"/>
            <charset val="128"/>
          </rPr>
          <t>　三井②より振込み</t>
        </r>
        <r>
          <rPr>
            <sz val="9"/>
            <color rgb="FF000000"/>
            <rFont val="ＭＳ Ｐゴシック"/>
            <family val="2"/>
            <charset val="128"/>
          </rPr>
          <t xml:space="preserve">
</t>
        </r>
        <r>
          <rPr>
            <sz val="9"/>
            <color rgb="FF000000"/>
            <rFont val="ＭＳ Ｐゴシック"/>
            <family val="2"/>
            <charset val="128"/>
          </rPr>
          <t>6,000</t>
        </r>
        <r>
          <rPr>
            <sz val="9"/>
            <color rgb="FF000000"/>
            <rFont val="ＭＳ Ｐゴシック"/>
            <family val="2"/>
            <charset val="128"/>
          </rPr>
          <t>円／年間</t>
        </r>
        <r>
          <rPr>
            <sz val="9"/>
            <color rgb="FF000000"/>
            <rFont val="ＭＳ Ｐゴシック"/>
            <family val="2"/>
            <charset val="128"/>
          </rPr>
          <t xml:space="preserve">
</t>
        </r>
        <r>
          <rPr>
            <sz val="9"/>
            <color rgb="FF000000"/>
            <rFont val="ＭＳ Ｐゴシック"/>
            <family val="2"/>
            <charset val="128"/>
          </rPr>
          <t>2</t>
        </r>
        <r>
          <rPr>
            <sz val="9"/>
            <color rgb="FF000000"/>
            <rFont val="ＭＳ Ｐゴシック"/>
            <family val="2"/>
            <charset val="128"/>
          </rPr>
          <t>年分</t>
        </r>
        <r>
          <rPr>
            <sz val="9"/>
            <color rgb="FF000000"/>
            <rFont val="ＭＳ Ｐゴシック"/>
            <family val="2"/>
            <charset val="128"/>
          </rPr>
          <t>12,000</t>
        </r>
        <r>
          <rPr>
            <sz val="9"/>
            <color rgb="FF000000"/>
            <rFont val="ＭＳ Ｐゴシック"/>
            <family val="2"/>
            <charset val="128"/>
          </rPr>
          <t>円</t>
        </r>
        <r>
          <rPr>
            <sz val="9"/>
            <color rgb="FF000000"/>
            <rFont val="ＭＳ Ｐゴシック"/>
            <family val="2"/>
            <charset val="128"/>
          </rPr>
          <t xml:space="preserve">
</t>
        </r>
      </text>
    </comment>
    <comment ref="C32" authorId="1" shapeId="0" xr:uid="{00000000-0006-0000-0C00-00000D000000}">
      <text>
        <r>
          <rPr>
            <sz val="9"/>
            <color rgb="FF000000"/>
            <rFont val="ＭＳ Ｐゴシック"/>
            <family val="2"/>
            <charset val="128"/>
          </rPr>
          <t>三共消毒：ゴキブリ駆除</t>
        </r>
        <r>
          <rPr>
            <sz val="9"/>
            <color rgb="FF000000"/>
            <rFont val="ＭＳ Ｐゴシック"/>
            <family val="2"/>
            <charset val="128"/>
          </rPr>
          <t>50,400</t>
        </r>
        <r>
          <rPr>
            <sz val="9"/>
            <color rgb="FF000000"/>
            <rFont val="ＭＳ Ｐゴシック"/>
            <family val="2"/>
            <charset val="128"/>
          </rPr>
          <t>円　</t>
        </r>
        <r>
          <rPr>
            <sz val="9"/>
            <color rgb="FF000000"/>
            <rFont val="ＭＳ Ｐゴシック"/>
            <family val="2"/>
            <charset val="128"/>
          </rPr>
          <t>4,200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24.4</t>
        </r>
        <r>
          <rPr>
            <sz val="9"/>
            <color rgb="FF000000"/>
            <rFont val="ＭＳ Ｐゴシック"/>
            <family val="2"/>
            <charset val="128"/>
          </rPr>
          <t>月～Ｈ</t>
        </r>
        <r>
          <rPr>
            <sz val="9"/>
            <color rgb="FF000000"/>
            <rFont val="ＭＳ Ｐゴシック"/>
            <family val="2"/>
            <charset val="128"/>
          </rPr>
          <t>25.4</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三共消毒：ゴキブリ駆除</t>
        </r>
        <r>
          <rPr>
            <sz val="9"/>
            <color rgb="FF000000"/>
            <rFont val="ＭＳ Ｐゴシック"/>
            <family val="2"/>
            <charset val="128"/>
          </rPr>
          <t>47,250</t>
        </r>
        <r>
          <rPr>
            <sz val="9"/>
            <color rgb="FF000000"/>
            <rFont val="ＭＳ Ｐゴシック"/>
            <family val="2"/>
            <charset val="128"/>
          </rPr>
          <t>円　</t>
        </r>
        <r>
          <rPr>
            <sz val="9"/>
            <color rgb="FF000000"/>
            <rFont val="ＭＳ Ｐゴシック"/>
            <family val="2"/>
            <charset val="128"/>
          </rPr>
          <t>3 937</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25.4</t>
        </r>
        <r>
          <rPr>
            <sz val="9"/>
            <color rgb="FF000000"/>
            <rFont val="ＭＳ Ｐゴシック"/>
            <family val="2"/>
            <charset val="128"/>
          </rPr>
          <t>月～Ｈ</t>
        </r>
        <r>
          <rPr>
            <sz val="9"/>
            <color rgb="FF000000"/>
            <rFont val="ＭＳ Ｐゴシック"/>
            <family val="2"/>
            <charset val="128"/>
          </rPr>
          <t>26.4</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三共消毒：ねずみ駆除</t>
        </r>
        <r>
          <rPr>
            <sz val="9"/>
            <color rgb="FF000000"/>
            <rFont val="ＭＳ Ｐゴシック"/>
            <family val="2"/>
            <charset val="128"/>
          </rPr>
          <t>130,000</t>
        </r>
        <r>
          <rPr>
            <sz val="9"/>
            <color rgb="FF000000"/>
            <rFont val="ＭＳ Ｐゴシック"/>
            <family val="2"/>
            <charset val="128"/>
          </rPr>
          <t>円　</t>
        </r>
        <r>
          <rPr>
            <sz val="9"/>
            <color rgb="FF000000"/>
            <rFont val="ＭＳ Ｐゴシック"/>
            <family val="2"/>
            <charset val="128"/>
          </rPr>
          <t>10,834</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26.1</t>
        </r>
        <r>
          <rPr>
            <sz val="9"/>
            <color rgb="FF000000"/>
            <rFont val="ＭＳ Ｐゴシック"/>
            <family val="2"/>
            <charset val="128"/>
          </rPr>
          <t>月～Ｈ</t>
        </r>
        <r>
          <rPr>
            <sz val="9"/>
            <color rgb="FF000000"/>
            <rFont val="ＭＳ Ｐゴシック"/>
            <family val="2"/>
            <charset val="128"/>
          </rPr>
          <t>27.1</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三共消毒：補虫器レンタル　</t>
        </r>
        <r>
          <rPr>
            <sz val="9"/>
            <color rgb="FF000000"/>
            <rFont val="ＭＳ Ｐゴシック"/>
            <family val="2"/>
            <charset val="128"/>
          </rPr>
          <t>15,120</t>
        </r>
        <r>
          <rPr>
            <sz val="9"/>
            <color rgb="FF000000"/>
            <rFont val="ＭＳ Ｐゴシック"/>
            <family val="2"/>
            <charset val="128"/>
          </rPr>
          <t>円　</t>
        </r>
        <r>
          <rPr>
            <sz val="9"/>
            <color rgb="FF000000"/>
            <rFont val="ＭＳ Ｐゴシック"/>
            <family val="2"/>
            <charset val="128"/>
          </rPr>
          <t>1,260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(H26.1</t>
        </r>
        <r>
          <rPr>
            <sz val="9"/>
            <color rgb="FF000000"/>
            <rFont val="ＭＳ Ｐゴシック"/>
            <family val="2"/>
            <charset val="128"/>
          </rPr>
          <t>月～</t>
        </r>
        <r>
          <rPr>
            <sz val="9"/>
            <color rgb="FF000000"/>
            <rFont val="ＭＳ Ｐゴシック"/>
            <family val="2"/>
            <charset val="128"/>
          </rPr>
          <t>H27.1</t>
        </r>
        <r>
          <rPr>
            <sz val="9"/>
            <color rgb="FF000000"/>
            <rFont val="ＭＳ Ｐゴシック"/>
            <family val="2"/>
            <charset val="128"/>
          </rPr>
          <t>月</t>
        </r>
        <r>
          <rPr>
            <sz val="9"/>
            <color rgb="FF000000"/>
            <rFont val="ＭＳ Ｐゴシック"/>
            <family val="2"/>
            <charset val="128"/>
          </rPr>
          <t xml:space="preserve">)
</t>
        </r>
      </text>
    </comment>
    <comment ref="D32" authorId="1" shapeId="0" xr:uid="{00000000-0006-0000-0C00-00000E000000}">
      <text>
        <r>
          <rPr>
            <sz val="9"/>
            <color rgb="FF000000"/>
            <rFont val="ＭＳ Ｐゴシック"/>
            <family val="2"/>
            <charset val="128"/>
          </rPr>
          <t>三共消毒年</t>
        </r>
        <r>
          <rPr>
            <sz val="9"/>
            <color rgb="FF000000"/>
            <rFont val="ＭＳ Ｐゴシック"/>
            <family val="2"/>
            <charset val="128"/>
          </rPr>
          <t>1</t>
        </r>
        <r>
          <rPr>
            <sz val="9"/>
            <color rgb="FF000000"/>
            <rFont val="ＭＳ Ｐゴシック"/>
            <family val="2"/>
            <charset val="128"/>
          </rPr>
          <t>活払い</t>
        </r>
        <r>
          <rPr>
            <sz val="9"/>
            <color rgb="FF000000"/>
            <rFont val="ＭＳ Ｐゴシック"/>
            <family val="2"/>
            <charset val="128"/>
          </rPr>
          <t>145152</t>
        </r>
        <r>
          <rPr>
            <sz val="9"/>
            <color rgb="FF000000"/>
            <rFont val="ＭＳ Ｐゴシック"/>
            <family val="2"/>
            <charset val="128"/>
          </rPr>
          <t>円</t>
        </r>
        <r>
          <rPr>
            <sz val="9"/>
            <color rgb="FF000000"/>
            <rFont val="ＭＳ Ｐゴシック"/>
            <family val="2"/>
            <charset val="128"/>
          </rPr>
          <t xml:space="preserve">
</t>
        </r>
      </text>
    </comment>
    <comment ref="J32" authorId="1" shapeId="0" xr:uid="{00000000-0006-0000-0C00-00000F000000}">
      <text>
        <r>
          <rPr>
            <sz val="9"/>
            <color indexed="81"/>
            <rFont val="ＭＳ Ｐゴシック"/>
            <family val="3"/>
            <charset val="128"/>
          </rPr>
          <t xml:space="preserve">ゴキブリ更新月
</t>
        </r>
      </text>
    </comment>
    <comment ref="D33" authorId="0" shapeId="0" xr:uid="{00000000-0006-0000-0C00-000010000000}">
      <text>
        <r>
          <rPr>
            <sz val="9"/>
            <color rgb="FF000000"/>
            <rFont val="ＭＳ Ｐゴシック"/>
            <family val="2"/>
            <charset val="128"/>
          </rPr>
          <t>マルゼン</t>
        </r>
        <r>
          <rPr>
            <sz val="9"/>
            <color rgb="FF000000"/>
            <rFont val="ＭＳ Ｐゴシック"/>
            <family val="2"/>
            <charset val="128"/>
          </rPr>
          <t xml:space="preserve">
</t>
        </r>
      </text>
    </comment>
    <comment ref="N33" authorId="0" shapeId="0" xr:uid="{00000000-0006-0000-0C00-000011000000}">
      <text>
        <r>
          <rPr>
            <sz val="9"/>
            <color rgb="FF000000"/>
            <rFont val="ＭＳ Ｐゴシック"/>
            <family val="2"/>
            <charset val="128"/>
          </rPr>
          <t>エアコンの室外機修理</t>
        </r>
        <r>
          <rPr>
            <sz val="9"/>
            <color rgb="FF000000"/>
            <rFont val="ＭＳ Ｐゴシック"/>
            <family val="2"/>
            <charset val="128"/>
          </rPr>
          <t>30</t>
        </r>
        <r>
          <rPr>
            <sz val="9"/>
            <color rgb="FF000000"/>
            <rFont val="ＭＳ Ｐゴシック"/>
            <family val="2"/>
            <charset val="128"/>
          </rPr>
          <t>万円を</t>
        </r>
        <r>
          <rPr>
            <sz val="9"/>
            <color rgb="FF000000"/>
            <rFont val="ＭＳ Ｐゴシック"/>
            <family val="2"/>
            <charset val="128"/>
          </rPr>
          <t>12</t>
        </r>
        <r>
          <rPr>
            <sz val="9"/>
            <color rgb="FF000000"/>
            <rFont val="ＭＳ Ｐゴシック"/>
            <family val="2"/>
            <charset val="128"/>
          </rPr>
          <t>月まで</t>
        </r>
        <r>
          <rPr>
            <sz val="9"/>
            <color rgb="FF000000"/>
            <rFont val="ＭＳ Ｐゴシック"/>
            <family val="2"/>
            <charset val="128"/>
          </rPr>
          <t>7</t>
        </r>
        <r>
          <rPr>
            <sz val="9"/>
            <color rgb="FF000000"/>
            <rFont val="ＭＳ Ｐゴシック"/>
            <family val="2"/>
            <charset val="128"/>
          </rPr>
          <t>分割</t>
        </r>
        <r>
          <rPr>
            <sz val="9"/>
            <color rgb="FF000000"/>
            <rFont val="ＭＳ Ｐゴシック"/>
            <family val="2"/>
            <charset val="128"/>
          </rPr>
          <t>42857</t>
        </r>
        <r>
          <rPr>
            <sz val="9"/>
            <color rgb="FF000000"/>
            <rFont val="ＭＳ Ｐゴシック"/>
            <family val="2"/>
            <charset val="128"/>
          </rPr>
          <t>円</t>
        </r>
      </text>
    </comment>
    <comment ref="P33" authorId="0" shapeId="0" xr:uid="{00000000-0006-0000-0C00-000012000000}">
      <text>
        <r>
          <rPr>
            <sz val="9"/>
            <color rgb="FF000000"/>
            <rFont val="ＭＳ Ｐゴシック"/>
            <family val="2"/>
            <charset val="128"/>
          </rPr>
          <t>エアコンの室外機修理</t>
        </r>
        <r>
          <rPr>
            <sz val="9"/>
            <color rgb="FF000000"/>
            <rFont val="ＭＳ Ｐゴシック"/>
            <family val="2"/>
            <charset val="128"/>
          </rPr>
          <t>30</t>
        </r>
        <r>
          <rPr>
            <sz val="9"/>
            <color rgb="FF000000"/>
            <rFont val="ＭＳ Ｐゴシック"/>
            <family val="2"/>
            <charset val="128"/>
          </rPr>
          <t>万円を</t>
        </r>
        <r>
          <rPr>
            <sz val="9"/>
            <color rgb="FF000000"/>
            <rFont val="ＭＳ Ｐゴシック"/>
            <family val="2"/>
            <charset val="128"/>
          </rPr>
          <t>12</t>
        </r>
        <r>
          <rPr>
            <sz val="9"/>
            <color rgb="FF000000"/>
            <rFont val="ＭＳ Ｐゴシック"/>
            <family val="2"/>
            <charset val="128"/>
          </rPr>
          <t>月まで</t>
        </r>
        <r>
          <rPr>
            <sz val="9"/>
            <color rgb="FF000000"/>
            <rFont val="ＭＳ Ｐゴシック"/>
            <family val="2"/>
            <charset val="128"/>
          </rPr>
          <t>7</t>
        </r>
        <r>
          <rPr>
            <sz val="9"/>
            <color rgb="FF000000"/>
            <rFont val="ＭＳ Ｐゴシック"/>
            <family val="2"/>
            <charset val="128"/>
          </rPr>
          <t>分割</t>
        </r>
        <r>
          <rPr>
            <sz val="9"/>
            <color rgb="FF000000"/>
            <rFont val="ＭＳ Ｐゴシック"/>
            <family val="2"/>
            <charset val="128"/>
          </rPr>
          <t>42857</t>
        </r>
        <r>
          <rPr>
            <sz val="9"/>
            <color rgb="FF000000"/>
            <rFont val="ＭＳ Ｐゴシック"/>
            <family val="2"/>
            <charset val="128"/>
          </rPr>
          <t>円</t>
        </r>
      </text>
    </comment>
    <comment ref="R33" authorId="2" shapeId="0" xr:uid="{00000000-0006-0000-0C00-000013000000}">
      <text>
        <r>
          <rPr>
            <sz val="11"/>
            <color rgb="FF000000"/>
            <rFont val="ＭＳ Ｐゴシック"/>
            <family val="2"/>
            <charset val="128"/>
          </rPr>
          <t>エアコンの室外機修理</t>
        </r>
        <r>
          <rPr>
            <sz val="11"/>
            <color rgb="FF000000"/>
            <rFont val="ＭＳ Ｐゴシック"/>
            <family val="2"/>
            <charset val="128"/>
          </rPr>
          <t>30</t>
        </r>
        <r>
          <rPr>
            <sz val="11"/>
            <color rgb="FF000000"/>
            <rFont val="ＭＳ Ｐゴシック"/>
            <family val="2"/>
            <charset val="128"/>
          </rPr>
          <t>万円を</t>
        </r>
        <r>
          <rPr>
            <sz val="11"/>
            <color rgb="FF000000"/>
            <rFont val="ＭＳ Ｐゴシック"/>
            <family val="2"/>
            <charset val="128"/>
          </rPr>
          <t>12</t>
        </r>
        <r>
          <rPr>
            <sz val="11"/>
            <color rgb="FF000000"/>
            <rFont val="ＭＳ Ｐゴシック"/>
            <family val="2"/>
            <charset val="128"/>
          </rPr>
          <t>月まで</t>
        </r>
        <r>
          <rPr>
            <sz val="11"/>
            <color rgb="FF000000"/>
            <rFont val="ＭＳ Ｐゴシック"/>
            <family val="2"/>
            <charset val="128"/>
          </rPr>
          <t>7</t>
        </r>
        <r>
          <rPr>
            <sz val="11"/>
            <color rgb="FF000000"/>
            <rFont val="ＭＳ Ｐゴシック"/>
            <family val="2"/>
            <charset val="128"/>
          </rPr>
          <t>分割</t>
        </r>
        <r>
          <rPr>
            <sz val="11"/>
            <color rgb="FF000000"/>
            <rFont val="ＭＳ Ｐゴシック"/>
            <family val="2"/>
            <charset val="128"/>
          </rPr>
          <t>42857</t>
        </r>
        <r>
          <rPr>
            <sz val="11"/>
            <color rgb="FF000000"/>
            <rFont val="ＭＳ Ｐゴシック"/>
            <family val="2"/>
            <charset val="128"/>
          </rPr>
          <t>円</t>
        </r>
      </text>
    </comment>
    <comment ref="T33" authorId="2" shapeId="0" xr:uid="{00000000-0006-0000-0C00-000014000000}">
      <text>
        <r>
          <rPr>
            <b/>
            <sz val="9"/>
            <color indexed="81"/>
            <rFont val="ＭＳ Ｐゴシック"/>
            <family val="3"/>
            <charset val="128"/>
          </rPr>
          <t>ダイキン16740
マルゼン39442</t>
        </r>
      </text>
    </comment>
    <comment ref="V33" authorId="2" shapeId="0" xr:uid="{00000000-0006-0000-0C00-000015000000}">
      <text>
        <r>
          <rPr>
            <b/>
            <sz val="9"/>
            <color indexed="81"/>
            <rFont val="ＭＳ Ｐゴシック"/>
            <family val="3"/>
            <charset val="128"/>
          </rPr>
          <t>エアコンの室外機修理30万円を12月まで7分割42857円</t>
        </r>
      </text>
    </comment>
    <comment ref="X33" authorId="2" shapeId="0" xr:uid="{00000000-0006-0000-0C00-000016000000}">
      <text>
        <r>
          <rPr>
            <b/>
            <sz val="9"/>
            <color rgb="FF000000"/>
            <rFont val="ＭＳ Ｐゴシック"/>
            <family val="2"/>
            <charset val="128"/>
          </rPr>
          <t>エアコンの室外機修理</t>
        </r>
        <r>
          <rPr>
            <b/>
            <sz val="9"/>
            <color rgb="FF000000"/>
            <rFont val="ＭＳ Ｐゴシック"/>
            <family val="2"/>
            <charset val="128"/>
          </rPr>
          <t>30</t>
        </r>
        <r>
          <rPr>
            <b/>
            <sz val="9"/>
            <color rgb="FF000000"/>
            <rFont val="ＭＳ Ｐゴシック"/>
            <family val="2"/>
            <charset val="128"/>
          </rPr>
          <t>万円を</t>
        </r>
        <r>
          <rPr>
            <b/>
            <sz val="9"/>
            <color rgb="FF000000"/>
            <rFont val="ＭＳ Ｐゴシック"/>
            <family val="2"/>
            <charset val="128"/>
          </rPr>
          <t>12</t>
        </r>
        <r>
          <rPr>
            <b/>
            <sz val="9"/>
            <color rgb="FF000000"/>
            <rFont val="ＭＳ Ｐゴシック"/>
            <family val="2"/>
            <charset val="128"/>
          </rPr>
          <t>月まで</t>
        </r>
        <r>
          <rPr>
            <b/>
            <sz val="9"/>
            <color rgb="FF000000"/>
            <rFont val="ＭＳ Ｐゴシック"/>
            <family val="2"/>
            <charset val="128"/>
          </rPr>
          <t>7</t>
        </r>
        <r>
          <rPr>
            <b/>
            <sz val="9"/>
            <color rgb="FF000000"/>
            <rFont val="ＭＳ Ｐゴシック"/>
            <family val="2"/>
            <charset val="128"/>
          </rPr>
          <t>分割</t>
        </r>
        <r>
          <rPr>
            <b/>
            <sz val="9"/>
            <color rgb="FF000000"/>
            <rFont val="ＭＳ Ｐゴシック"/>
            <family val="2"/>
            <charset val="128"/>
          </rPr>
          <t>42857</t>
        </r>
        <r>
          <rPr>
            <b/>
            <sz val="9"/>
            <color rgb="FF000000"/>
            <rFont val="ＭＳ Ｐゴシック"/>
            <family val="2"/>
            <charset val="128"/>
          </rPr>
          <t>円</t>
        </r>
      </text>
    </comment>
    <comment ref="Z33" authorId="2" shapeId="0" xr:uid="{00000000-0006-0000-0C00-000017000000}">
      <text>
        <r>
          <rPr>
            <b/>
            <sz val="9"/>
            <color indexed="81"/>
            <rFont val="ＭＳ Ｐゴシック"/>
            <family val="3"/>
            <charset val="128"/>
          </rPr>
          <t>エアコンの室外機修理30万円を12月まで7分割42857円</t>
        </r>
      </text>
    </comment>
    <comment ref="C34" authorId="1" shapeId="0" xr:uid="{00000000-0006-0000-0C00-000018000000}">
      <text>
        <r>
          <rPr>
            <sz val="9"/>
            <color rgb="FF000000"/>
            <rFont val="ＭＳ Ｐゴシック"/>
            <family val="2"/>
            <charset val="128"/>
          </rPr>
          <t>2018.3</t>
        </r>
        <r>
          <rPr>
            <sz val="9"/>
            <color rgb="FF000000"/>
            <rFont val="ＭＳ Ｐゴシック"/>
            <family val="2"/>
            <charset val="128"/>
          </rPr>
          <t>月　製氷機　</t>
        </r>
        <r>
          <rPr>
            <sz val="9"/>
            <color rgb="FF000000"/>
            <rFont val="ＭＳ Ｐゴシック"/>
            <family val="2"/>
            <charset val="128"/>
          </rPr>
          <t xml:space="preserve">  8,800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2019.1</t>
        </r>
        <r>
          <rPr>
            <sz val="9"/>
            <color rgb="FF000000"/>
            <rFont val="ＭＳ Ｐゴシック"/>
            <family val="2"/>
            <charset val="128"/>
          </rPr>
          <t>月　冷蔵庫　</t>
        </r>
        <r>
          <rPr>
            <sz val="9"/>
            <color rgb="FF000000"/>
            <rFont val="ＭＳ Ｐゴシック"/>
            <family val="2"/>
            <charset val="128"/>
          </rPr>
          <t>36,850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2020.4</t>
        </r>
        <r>
          <rPr>
            <sz val="9"/>
            <color rgb="FF000000"/>
            <rFont val="ＭＳ Ｐゴシック"/>
            <family val="2"/>
            <charset val="128"/>
          </rPr>
          <t>月　レジ　　　</t>
        </r>
        <r>
          <rPr>
            <sz val="9"/>
            <color rgb="FF000000"/>
            <rFont val="ＭＳ Ｐゴシック"/>
            <family val="2"/>
            <charset val="128"/>
          </rPr>
          <t>34,760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2022.6</t>
        </r>
        <r>
          <rPr>
            <sz val="9"/>
            <color rgb="FF000000"/>
            <rFont val="ＭＳ Ｐゴシック"/>
            <family val="2"/>
            <charset val="128"/>
          </rPr>
          <t>月　食洗器　</t>
        </r>
        <r>
          <rPr>
            <sz val="9"/>
            <color rgb="FF000000"/>
            <rFont val="ＭＳ Ｐゴシック"/>
            <family val="2"/>
            <charset val="128"/>
          </rPr>
          <t>17,600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2022.12</t>
        </r>
        <r>
          <rPr>
            <sz val="9"/>
            <color rgb="FF000000"/>
            <rFont val="ＭＳ Ｐゴシック"/>
            <family val="2"/>
            <charset val="128"/>
          </rPr>
          <t>月　製氷機</t>
        </r>
        <r>
          <rPr>
            <sz val="9"/>
            <color rgb="FF000000"/>
            <rFont val="ＭＳ Ｐゴシック"/>
            <family val="2"/>
            <charset val="128"/>
          </rPr>
          <t>13,060</t>
        </r>
        <r>
          <rPr>
            <sz val="9"/>
            <color rgb="FF000000"/>
            <rFont val="ＭＳ Ｐゴシック"/>
            <family val="2"/>
            <charset val="128"/>
          </rPr>
          <t>円（</t>
        </r>
        <r>
          <rPr>
            <sz val="9"/>
            <color rgb="FF000000"/>
            <rFont val="ＭＳ Ｐゴシック"/>
            <family val="2"/>
            <charset val="128"/>
          </rPr>
          <t>G</t>
        </r>
        <r>
          <rPr>
            <sz val="9"/>
            <color rgb="FF000000"/>
            <rFont val="ＭＳ Ｐゴシック"/>
            <family val="2"/>
            <charset val="128"/>
          </rPr>
          <t>被害）</t>
        </r>
        <r>
          <rPr>
            <sz val="9"/>
            <color rgb="FF000000"/>
            <rFont val="ＭＳ Ｐゴシック"/>
            <family val="2"/>
            <charset val="128"/>
          </rPr>
          <t xml:space="preserve">
</t>
        </r>
        <r>
          <rPr>
            <sz val="9"/>
            <color rgb="FF000000"/>
            <rFont val="ＭＳ Ｐゴシック"/>
            <family val="2"/>
            <charset val="128"/>
          </rPr>
          <t>2023.1</t>
        </r>
        <r>
          <rPr>
            <sz val="9"/>
            <color rgb="FF000000"/>
            <rFont val="ＭＳ Ｐゴシック"/>
            <family val="2"/>
            <charset val="128"/>
          </rPr>
          <t>月　冷凍冷蔵庫　</t>
        </r>
        <r>
          <rPr>
            <sz val="9"/>
            <color rgb="FF000000"/>
            <rFont val="ＭＳ Ｐゴシック"/>
            <family val="2"/>
            <charset val="128"/>
          </rPr>
          <t>11,550</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全て税込み月額</t>
        </r>
      </text>
    </comment>
    <comment ref="C35" authorId="1" shapeId="0" xr:uid="{00000000-0006-0000-0C00-000019000000}">
      <text>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ｷｬﾝｼｽﾃﾑ：年間</t>
        </r>
        <r>
          <rPr>
            <sz val="9"/>
            <color rgb="FF000000"/>
            <rFont val="ＭＳ Ｐゴシック"/>
            <family val="2"/>
            <charset val="128"/>
          </rPr>
          <t>25,000</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t>
        </r>
        <r>
          <rPr>
            <sz val="9"/>
            <color rgb="FF000000"/>
            <rFont val="ＭＳ Ｐゴシック"/>
            <family val="2"/>
            <charset val="128"/>
          </rPr>
          <t>2,083</t>
        </r>
        <r>
          <rPr>
            <sz val="9"/>
            <color rgb="FF000000"/>
            <rFont val="ＭＳ Ｐゴシック"/>
            <family val="2"/>
            <charset val="128"/>
          </rPr>
          <t>円</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25.1</t>
        </r>
        <r>
          <rPr>
            <sz val="9"/>
            <color rgb="FF000000"/>
            <rFont val="ＭＳ Ｐゴシック"/>
            <family val="2"/>
            <charset val="128"/>
          </rPr>
          <t>月～Ｈ</t>
        </r>
        <r>
          <rPr>
            <sz val="9"/>
            <color rgb="FF000000"/>
            <rFont val="ＭＳ Ｐゴシック"/>
            <family val="2"/>
            <charset val="128"/>
          </rPr>
          <t>25.12</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（Ｈ</t>
        </r>
        <r>
          <rPr>
            <sz val="9"/>
            <color rgb="FF000000"/>
            <rFont val="ＭＳ Ｐゴシック"/>
            <family val="2"/>
            <charset val="128"/>
          </rPr>
          <t>26.1</t>
        </r>
        <r>
          <rPr>
            <sz val="9"/>
            <color rgb="FF000000"/>
            <rFont val="ＭＳ Ｐゴシック"/>
            <family val="2"/>
            <charset val="128"/>
          </rPr>
          <t>月～Ｈ</t>
        </r>
        <r>
          <rPr>
            <sz val="9"/>
            <color rgb="FF000000"/>
            <rFont val="ＭＳ Ｐゴシック"/>
            <family val="2"/>
            <charset val="128"/>
          </rPr>
          <t>26.12</t>
        </r>
        <r>
          <rPr>
            <sz val="9"/>
            <color rgb="FF000000"/>
            <rFont val="ＭＳ Ｐゴシック"/>
            <family val="2"/>
            <charset val="128"/>
          </rPr>
          <t>月）</t>
        </r>
      </text>
    </comment>
    <comment ref="C38" authorId="1" shapeId="0" xr:uid="{00000000-0006-0000-0C00-00001A000000}">
      <text>
        <r>
          <rPr>
            <sz val="9"/>
            <color rgb="FF000000"/>
            <rFont val="ＭＳ Ｐゴシック"/>
            <family val="2"/>
            <charset val="128"/>
          </rPr>
          <t>（想定）</t>
        </r>
        <r>
          <rPr>
            <sz val="9"/>
            <color rgb="FF000000"/>
            <rFont val="ＭＳ Ｐゴシック"/>
            <family val="2"/>
            <charset val="128"/>
          </rPr>
          <t>40,416,398</t>
        </r>
        <r>
          <rPr>
            <sz val="9"/>
            <color rgb="FF000000"/>
            <rFont val="ＭＳ Ｐゴシック"/>
            <family val="2"/>
            <charset val="128"/>
          </rPr>
          <t>円×</t>
        </r>
        <r>
          <rPr>
            <sz val="9"/>
            <color rgb="FF000000"/>
            <rFont val="ＭＳ Ｐゴシック"/>
            <family val="2"/>
            <charset val="128"/>
          </rPr>
          <t>1.4</t>
        </r>
        <r>
          <rPr>
            <sz val="9"/>
            <color rgb="FF000000"/>
            <rFont val="ＭＳ Ｐゴシック"/>
            <family val="2"/>
            <charset val="128"/>
          </rPr>
          <t>％＝</t>
        </r>
        <r>
          <rPr>
            <sz val="9"/>
            <color rgb="FF000000"/>
            <rFont val="ＭＳ Ｐゴシック"/>
            <family val="2"/>
            <charset val="128"/>
          </rPr>
          <t>565,703</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ヶ月</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47,1427</t>
        </r>
        <r>
          <rPr>
            <sz val="9"/>
            <color rgb="FF000000"/>
            <rFont val="ＭＳ Ｐゴシック"/>
            <family val="2"/>
            <charset val="128"/>
          </rPr>
          <t>円</t>
        </r>
        <r>
          <rPr>
            <sz val="9"/>
            <color rgb="FF000000"/>
            <rFont val="ＭＳ Ｐゴシック"/>
            <family val="2"/>
            <charset val="128"/>
          </rPr>
          <t>/</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t>
        </r>
      </text>
    </comment>
    <comment ref="N38" authorId="2" shapeId="0" xr:uid="{00000000-0006-0000-0C00-00001B000000}">
      <text>
        <r>
          <rPr>
            <b/>
            <sz val="9"/>
            <color indexed="81"/>
            <rFont val="ＭＳ Ｐゴシック"/>
            <family val="3"/>
            <charset val="128"/>
          </rPr>
          <t>総額474700円の84％で398748円の12分割</t>
        </r>
      </text>
    </comment>
    <comment ref="C39" authorId="1" shapeId="0" xr:uid="{00000000-0006-0000-0C00-00001C000000}">
      <text>
        <r>
          <rPr>
            <sz val="9"/>
            <color rgb="FF000000"/>
            <rFont val="ＭＳ Ｐゴシック"/>
            <family val="2"/>
            <charset val="128"/>
          </rPr>
          <t>4,191,441</t>
        </r>
        <r>
          <rPr>
            <sz val="9"/>
            <color rgb="FF000000"/>
            <rFont val="ＭＳ Ｐゴシック"/>
            <family val="2"/>
            <charset val="128"/>
          </rPr>
          <t>円÷</t>
        </r>
        <r>
          <rPr>
            <sz val="9"/>
            <color rgb="FF000000"/>
            <rFont val="ＭＳ Ｐゴシック"/>
            <family val="2"/>
            <charset val="128"/>
          </rPr>
          <t>12</t>
        </r>
        <r>
          <rPr>
            <sz val="9"/>
            <color rgb="FF000000"/>
            <rFont val="ＭＳ Ｐゴシック"/>
            <family val="2"/>
            <charset val="128"/>
          </rPr>
          <t>ヶ月＝</t>
        </r>
        <r>
          <rPr>
            <sz val="9"/>
            <color rgb="FF000000"/>
            <rFont val="ＭＳ Ｐゴシック"/>
            <family val="2"/>
            <charset val="128"/>
          </rPr>
          <t>349,286</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t>
        </r>
      </text>
    </comment>
    <comment ref="D39" authorId="2" shapeId="0" xr:uid="{00000000-0006-0000-0C00-00001D000000}">
      <text>
        <r>
          <rPr>
            <b/>
            <sz val="9"/>
            <color rgb="FF000000"/>
            <rFont val="ＭＳ Ｐゴシック"/>
            <family val="2"/>
            <charset val="128"/>
          </rPr>
          <t>3849599</t>
        </r>
        <r>
          <rPr>
            <b/>
            <sz val="9"/>
            <color rgb="FF000000"/>
            <rFont val="ＭＳ Ｐゴシック"/>
            <family val="2"/>
            <charset val="128"/>
          </rPr>
          <t>円を</t>
        </r>
        <r>
          <rPr>
            <b/>
            <sz val="9"/>
            <color rgb="FF000000"/>
            <rFont val="ＭＳ Ｐゴシック"/>
            <family val="2"/>
            <charset val="128"/>
          </rPr>
          <t>12</t>
        </r>
        <r>
          <rPr>
            <b/>
            <sz val="9"/>
            <color rgb="FF000000"/>
            <rFont val="ＭＳ Ｐゴシック"/>
            <family val="2"/>
            <charset val="128"/>
          </rPr>
          <t>分割</t>
        </r>
      </text>
    </comment>
    <comment ref="C40" authorId="3" shapeId="0" xr:uid="{00000000-0006-0000-0C00-00001E000000}">
      <text>
        <r>
          <rPr>
            <sz val="9"/>
            <color rgb="FF000000"/>
            <rFont val="游ゴシック"/>
            <family val="2"/>
            <charset val="128"/>
            <scheme val="minor"/>
          </rPr>
          <t>あいおい損保</t>
        </r>
        <r>
          <rPr>
            <sz val="9"/>
            <color rgb="FF000000"/>
            <rFont val="MS P ゴシック"/>
            <family val="3"/>
            <charset val="128"/>
          </rPr>
          <t xml:space="preserve">
</t>
        </r>
        <r>
          <rPr>
            <sz val="9"/>
            <color rgb="FF000000"/>
            <rFont val="MS P ゴシック"/>
            <family val="3"/>
            <charset val="128"/>
          </rPr>
          <t>R6.10.2</t>
        </r>
        <r>
          <rPr>
            <sz val="9"/>
            <color rgb="FF000000"/>
            <rFont val="游ゴシック"/>
            <family val="2"/>
            <charset val="128"/>
            <scheme val="minor"/>
          </rPr>
          <t>～</t>
        </r>
        <r>
          <rPr>
            <sz val="9"/>
            <color rgb="FF000000"/>
            <rFont val="MS P ゴシック"/>
            <family val="3"/>
            <charset val="128"/>
          </rPr>
          <t xml:space="preserve">R7.10.2
</t>
        </r>
        <r>
          <rPr>
            <sz val="9"/>
            <color rgb="FF000000"/>
            <rFont val="MS P ゴシック"/>
            <family val="3"/>
            <charset val="128"/>
          </rPr>
          <t>233,040</t>
        </r>
        <r>
          <rPr>
            <sz val="9"/>
            <color rgb="FF000000"/>
            <rFont val="游ゴシック"/>
            <family val="2"/>
            <charset val="128"/>
            <scheme val="minor"/>
          </rPr>
          <t>円÷</t>
        </r>
        <r>
          <rPr>
            <sz val="9"/>
            <color rgb="FF000000"/>
            <rFont val="MS P ゴシック"/>
            <family val="3"/>
            <charset val="128"/>
          </rPr>
          <t>12</t>
        </r>
        <r>
          <rPr>
            <sz val="9"/>
            <color rgb="FF000000"/>
            <rFont val="游ゴシック"/>
            <family val="2"/>
            <charset val="128"/>
            <scheme val="minor"/>
          </rPr>
          <t>か月＝</t>
        </r>
        <r>
          <rPr>
            <sz val="9"/>
            <color rgb="FF000000"/>
            <rFont val="MS P ゴシック"/>
            <family val="3"/>
            <charset val="128"/>
          </rPr>
          <t>19,420</t>
        </r>
        <r>
          <rPr>
            <sz val="9"/>
            <color rgb="FF000000"/>
            <rFont val="游ゴシック"/>
            <family val="2"/>
            <charset val="128"/>
            <scheme val="minor"/>
          </rPr>
          <t>円</t>
        </r>
        <r>
          <rPr>
            <sz val="9"/>
            <color rgb="FF000000"/>
            <rFont val="MS P ゴシック"/>
            <family val="3"/>
            <charset val="128"/>
          </rPr>
          <t xml:space="preserve">
</t>
        </r>
      </text>
    </comment>
    <comment ref="C45" authorId="1" shapeId="0" xr:uid="{00000000-0006-0000-0C00-00001F000000}">
      <text>
        <r>
          <rPr>
            <sz val="9"/>
            <color rgb="FF000000"/>
            <rFont val="ＭＳ Ｐゴシック"/>
            <family val="2"/>
            <charset val="128"/>
          </rPr>
          <t>テックエンジニアリング：ハンディ保守契約Ｈ</t>
        </r>
        <r>
          <rPr>
            <sz val="9"/>
            <color rgb="FF000000"/>
            <rFont val="ＭＳ Ｐゴシック"/>
            <family val="2"/>
            <charset val="128"/>
          </rPr>
          <t>24.3.12</t>
        </r>
        <r>
          <rPr>
            <sz val="9"/>
            <color rgb="FF000000"/>
            <rFont val="ＭＳ Ｐゴシック"/>
            <family val="2"/>
            <charset val="128"/>
          </rPr>
          <t>～Ｈ</t>
        </r>
        <r>
          <rPr>
            <sz val="9"/>
            <color rgb="FF000000"/>
            <rFont val="ＭＳ Ｐゴシック"/>
            <family val="2"/>
            <charset val="128"/>
          </rPr>
          <t>25.3.11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239,400</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19,950</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テックエンジニアリング：ハンディ保守契約Ｈ</t>
        </r>
        <r>
          <rPr>
            <sz val="9"/>
            <color rgb="FF000000"/>
            <rFont val="ＭＳ Ｐゴシック"/>
            <family val="2"/>
            <charset val="128"/>
          </rPr>
          <t>25.3.12</t>
        </r>
        <r>
          <rPr>
            <sz val="9"/>
            <color rgb="FF000000"/>
            <rFont val="ＭＳ Ｐゴシック"/>
            <family val="2"/>
            <charset val="128"/>
          </rPr>
          <t>～Ｈ</t>
        </r>
        <r>
          <rPr>
            <sz val="9"/>
            <color rgb="FF000000"/>
            <rFont val="ＭＳ Ｐゴシック"/>
            <family val="2"/>
            <charset val="128"/>
          </rPr>
          <t>26.3.11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211,050</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17,587</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テックエンジニアリング：ハンディ保守契約Ｈ</t>
        </r>
        <r>
          <rPr>
            <sz val="9"/>
            <color rgb="FF000000"/>
            <rFont val="ＭＳ Ｐゴシック"/>
            <family val="2"/>
            <charset val="128"/>
          </rPr>
          <t>26.3.12</t>
        </r>
        <r>
          <rPr>
            <sz val="9"/>
            <color rgb="FF000000"/>
            <rFont val="ＭＳ Ｐゴシック"/>
            <family val="2"/>
            <charset val="128"/>
          </rPr>
          <t>～Ｈ</t>
        </r>
        <r>
          <rPr>
            <sz val="9"/>
            <color rgb="FF000000"/>
            <rFont val="ＭＳ Ｐゴシック"/>
            <family val="2"/>
            <charset val="128"/>
          </rPr>
          <t>27.3.11</t>
        </r>
        <r>
          <rPr>
            <sz val="9"/>
            <color rgb="FF000000"/>
            <rFont val="ＭＳ Ｐゴシック"/>
            <family val="2"/>
            <charset val="128"/>
          </rPr>
          <t>　</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216,578</t>
        </r>
        <r>
          <rPr>
            <sz val="9"/>
            <color rgb="FF000000"/>
            <rFont val="ＭＳ Ｐゴシック"/>
            <family val="2"/>
            <charset val="128"/>
          </rPr>
          <t>円／年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18,048</t>
        </r>
        <r>
          <rPr>
            <sz val="9"/>
            <color rgb="FF000000"/>
            <rFont val="ＭＳ Ｐゴシック"/>
            <family val="2"/>
            <charset val="128"/>
          </rPr>
          <t>円／月</t>
        </r>
        <r>
          <rPr>
            <sz val="9"/>
            <color rgb="FF000000"/>
            <rFont val="ＭＳ Ｐゴシック"/>
            <family val="2"/>
            <charset val="128"/>
          </rPr>
          <t xml:space="preserve">
</t>
        </r>
        <r>
          <rPr>
            <sz val="9"/>
            <color rgb="FF000000"/>
            <rFont val="ＭＳ Ｐゴシック"/>
            <family val="2"/>
            <charset val="128"/>
          </rPr>
          <t xml:space="preserve">
</t>
        </r>
        <r>
          <rPr>
            <sz val="9"/>
            <color rgb="FF000000"/>
            <rFont val="ＭＳ Ｐゴシック"/>
            <family val="2"/>
            <charset val="128"/>
          </rPr>
          <t>ラッキーアイクレマス：コーヒーマシン保守契約　</t>
        </r>
        <r>
          <rPr>
            <sz val="9"/>
            <color rgb="FF000000"/>
            <rFont val="ＭＳ Ｐゴシック"/>
            <family val="2"/>
            <charset val="128"/>
          </rPr>
          <t>H25.1</t>
        </r>
        <r>
          <rPr>
            <sz val="9"/>
            <color rgb="FF000000"/>
            <rFont val="ＭＳ Ｐゴシック"/>
            <family val="2"/>
            <charset val="128"/>
          </rPr>
          <t>月～</t>
        </r>
        <r>
          <rPr>
            <sz val="9"/>
            <color rgb="FF000000"/>
            <rFont val="ＭＳ Ｐゴシック"/>
            <family val="2"/>
            <charset val="128"/>
          </rPr>
          <t>1</t>
        </r>
        <r>
          <rPr>
            <sz val="9"/>
            <color rgb="FF000000"/>
            <rFont val="ＭＳ Ｐゴシック"/>
            <family val="2"/>
            <charset val="128"/>
          </rPr>
          <t>年間</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100,800</t>
        </r>
        <r>
          <rPr>
            <sz val="9"/>
            <color rgb="FF000000"/>
            <rFont val="ＭＳ Ｐゴシック"/>
            <family val="2"/>
            <charset val="128"/>
          </rPr>
          <t>円（税込）</t>
        </r>
        <r>
          <rPr>
            <sz val="9"/>
            <color rgb="FF000000"/>
            <rFont val="ＭＳ Ｐゴシック"/>
            <family val="2"/>
            <charset val="128"/>
          </rPr>
          <t>/</t>
        </r>
        <r>
          <rPr>
            <sz val="9"/>
            <color rgb="FF000000"/>
            <rFont val="ＭＳ Ｐゴシック"/>
            <family val="2"/>
            <charset val="128"/>
          </rPr>
          <t>年</t>
        </r>
        <r>
          <rPr>
            <sz val="9"/>
            <color rgb="FF000000"/>
            <rFont val="ＭＳ Ｐゴシック"/>
            <family val="2"/>
            <charset val="128"/>
          </rPr>
          <t xml:space="preserve">
</t>
        </r>
        <r>
          <rPr>
            <sz val="9"/>
            <color rgb="FF000000"/>
            <rFont val="ＭＳ Ｐゴシック"/>
            <family val="2"/>
            <charset val="128"/>
          </rPr>
          <t>　　　　　　　　　　　　　　　</t>
        </r>
        <r>
          <rPr>
            <sz val="9"/>
            <color rgb="FF000000"/>
            <rFont val="ＭＳ Ｐゴシック"/>
            <family val="2"/>
            <charset val="128"/>
          </rPr>
          <t>8,400</t>
        </r>
        <r>
          <rPr>
            <sz val="9"/>
            <color rgb="FF000000"/>
            <rFont val="ＭＳ Ｐゴシック"/>
            <family val="2"/>
            <charset val="128"/>
          </rPr>
          <t>円</t>
        </r>
        <r>
          <rPr>
            <sz val="9"/>
            <color rgb="FF000000"/>
            <rFont val="ＭＳ Ｐゴシック"/>
            <family val="2"/>
            <charset val="128"/>
          </rPr>
          <t>/</t>
        </r>
        <r>
          <rPr>
            <sz val="9"/>
            <color rgb="FF000000"/>
            <rFont val="ＭＳ Ｐゴシック"/>
            <family val="2"/>
            <charset val="128"/>
          </rPr>
          <t>月</t>
        </r>
        <r>
          <rPr>
            <sz val="9"/>
            <color rgb="FF000000"/>
            <rFont val="ＭＳ Ｐゴシック"/>
            <family val="2"/>
            <charset val="128"/>
          </rPr>
          <t xml:space="preserve">
</t>
        </r>
        <r>
          <rPr>
            <sz val="9"/>
            <color rgb="FF000000"/>
            <rFont val="ＭＳ Ｐゴシック"/>
            <family val="2"/>
            <charset val="128"/>
          </rPr>
          <t xml:space="preserve"> </t>
        </r>
      </text>
    </comment>
    <comment ref="F45" authorId="2" shapeId="0" xr:uid="{00000000-0006-0000-0C00-000020000000}">
      <text>
        <r>
          <rPr>
            <b/>
            <sz val="9"/>
            <color indexed="81"/>
            <rFont val="ＭＳ Ｐゴシック"/>
            <family val="3"/>
            <charset val="128"/>
          </rPr>
          <t>3月より217080円請求</t>
        </r>
      </text>
    </comment>
    <comment ref="H45" authorId="1" shapeId="0" xr:uid="{00000000-0006-0000-0C00-000021000000}">
      <text>
        <r>
          <rPr>
            <sz val="9"/>
            <color rgb="FF000000"/>
            <rFont val="ＭＳ Ｐゴシック"/>
            <family val="2"/>
            <charset val="128"/>
          </rPr>
          <t>ハンディ年間保守契約更新月</t>
        </r>
        <r>
          <rPr>
            <sz val="9"/>
            <color rgb="FF000000"/>
            <rFont val="ＭＳ Ｐゴシック"/>
            <family val="2"/>
            <charset val="128"/>
          </rPr>
          <t>217080</t>
        </r>
        <r>
          <rPr>
            <sz val="9"/>
            <color rgb="FF000000"/>
            <rFont val="ＭＳ Ｐゴシック"/>
            <family val="2"/>
            <charset val="128"/>
          </rPr>
          <t>円</t>
        </r>
        <r>
          <rPr>
            <sz val="9"/>
            <color rgb="FF000000"/>
            <rFont val="ＭＳ Ｐゴシック"/>
            <family val="2"/>
            <charset val="128"/>
          </rPr>
          <t xml:space="preserve">
</t>
        </r>
      </text>
    </comment>
    <comment ref="D46" authorId="1" shapeId="0" xr:uid="{00000000-0006-0000-0C00-000022000000}">
      <text>
        <r>
          <rPr>
            <sz val="9"/>
            <color rgb="FF000000"/>
            <rFont val="ＭＳ Ｐゴシック"/>
            <family val="2"/>
            <charset val="128"/>
          </rPr>
          <t>1/10</t>
        </r>
        <r>
          <rPr>
            <sz val="9"/>
            <color rgb="FF000000"/>
            <rFont val="ＭＳ Ｐゴシック"/>
            <family val="2"/>
            <charset val="128"/>
          </rPr>
          <t>～</t>
        </r>
        <r>
          <rPr>
            <sz val="9"/>
            <color rgb="FF000000"/>
            <rFont val="ＭＳ Ｐゴシック"/>
            <family val="2"/>
            <charset val="128"/>
          </rPr>
          <t xml:space="preserve">2/6
</t>
        </r>
        <r>
          <rPr>
            <sz val="9"/>
            <color rgb="FF000000"/>
            <rFont val="ＭＳ Ｐゴシック"/>
            <family val="2"/>
            <charset val="128"/>
          </rPr>
          <t xml:space="preserve">
</t>
        </r>
      </text>
    </comment>
    <comment ref="F46" authorId="1" shapeId="0" xr:uid="{00000000-0006-0000-0C00-000023000000}">
      <text>
        <r>
          <rPr>
            <sz val="9"/>
            <color rgb="FF000000"/>
            <rFont val="ＭＳ Ｐゴシック"/>
            <family val="2"/>
            <charset val="128"/>
          </rPr>
          <t>2/8</t>
        </r>
        <r>
          <rPr>
            <sz val="9"/>
            <color rgb="FF000000"/>
            <rFont val="ＭＳ Ｐゴシック"/>
            <family val="2"/>
            <charset val="128"/>
          </rPr>
          <t>～</t>
        </r>
        <r>
          <rPr>
            <sz val="9"/>
            <color rgb="FF000000"/>
            <rFont val="ＭＳ Ｐゴシック"/>
            <family val="2"/>
            <charset val="128"/>
          </rPr>
          <t xml:space="preserve">3/7
</t>
        </r>
        <r>
          <rPr>
            <sz val="9"/>
            <color rgb="FF000000"/>
            <rFont val="ＭＳ Ｐゴシック"/>
            <family val="2"/>
            <charset val="128"/>
          </rPr>
          <t xml:space="preserve">
</t>
        </r>
      </text>
    </comment>
    <comment ref="H46" authorId="1" shapeId="0" xr:uid="{00000000-0006-0000-0C00-000024000000}">
      <text>
        <r>
          <rPr>
            <sz val="9"/>
            <color indexed="81"/>
            <rFont val="ＭＳ Ｐゴシック"/>
            <family val="3"/>
            <charset val="128"/>
          </rPr>
          <t xml:space="preserve">3/8～4/8
</t>
        </r>
      </text>
    </comment>
    <comment ref="J46" authorId="1" shapeId="0" xr:uid="{00000000-0006-0000-0C00-000025000000}">
      <text>
        <r>
          <rPr>
            <sz val="9"/>
            <color rgb="FF000000"/>
            <rFont val="ＭＳ Ｐゴシック"/>
            <family val="2"/>
            <charset val="128"/>
          </rPr>
          <t>4/6</t>
        </r>
        <r>
          <rPr>
            <sz val="9"/>
            <color rgb="FF000000"/>
            <rFont val="ＭＳ Ｐゴシック"/>
            <family val="2"/>
            <charset val="128"/>
          </rPr>
          <t>～</t>
        </r>
        <r>
          <rPr>
            <sz val="9"/>
            <color rgb="FF000000"/>
            <rFont val="ＭＳ Ｐゴシック"/>
            <family val="2"/>
            <charset val="128"/>
          </rPr>
          <t xml:space="preserve">5/9
</t>
        </r>
        <r>
          <rPr>
            <sz val="9"/>
            <color rgb="FF000000"/>
            <rFont val="ＭＳ Ｐゴシック"/>
            <family val="2"/>
            <charset val="128"/>
          </rPr>
          <t xml:space="preserve">
</t>
        </r>
      </text>
    </comment>
    <comment ref="L46" authorId="1" shapeId="0" xr:uid="{00000000-0006-0000-0C00-000026000000}">
      <text>
        <r>
          <rPr>
            <sz val="9"/>
            <color indexed="81"/>
            <rFont val="ＭＳ Ｐゴシック"/>
            <family val="3"/>
            <charset val="128"/>
          </rPr>
          <t xml:space="preserve">6/引落
5/10～6/6
</t>
        </r>
      </text>
    </comment>
    <comment ref="N46" authorId="1" shapeId="0" xr:uid="{00000000-0006-0000-0C00-000027000000}">
      <text>
        <r>
          <rPr>
            <sz val="9"/>
            <color indexed="81"/>
            <rFont val="ＭＳ Ｐゴシック"/>
            <family val="3"/>
            <charset val="128"/>
          </rPr>
          <t xml:space="preserve">6/7～7/7
</t>
        </r>
      </text>
    </comment>
    <comment ref="P46" authorId="1" shapeId="0" xr:uid="{00000000-0006-0000-0C00-000028000000}">
      <text>
        <r>
          <rPr>
            <sz val="9"/>
            <color indexed="81"/>
            <rFont val="ＭＳ Ｐゴシック"/>
            <family val="3"/>
            <charset val="128"/>
          </rPr>
          <t xml:space="preserve">7/9～8/7
</t>
        </r>
      </text>
    </comment>
    <comment ref="R46" authorId="1" shapeId="0" xr:uid="{00000000-0006-0000-0C00-000029000000}">
      <text>
        <r>
          <rPr>
            <sz val="9"/>
            <color indexed="81"/>
            <rFont val="ＭＳ Ｐゴシック"/>
            <family val="3"/>
            <charset val="128"/>
          </rPr>
          <t xml:space="preserve">8/8～9/8
</t>
        </r>
      </text>
    </comment>
    <comment ref="T46" authorId="1" shapeId="0" xr:uid="{00000000-0006-0000-0C00-00002A000000}">
      <text>
        <r>
          <rPr>
            <sz val="9"/>
            <color indexed="81"/>
            <rFont val="ＭＳ Ｐゴシック"/>
            <family val="3"/>
            <charset val="128"/>
          </rPr>
          <t xml:space="preserve">9/9～10/8
</t>
        </r>
      </text>
    </comment>
    <comment ref="V46" authorId="1" shapeId="0" xr:uid="{00000000-0006-0000-0C00-00002B000000}">
      <text>
        <r>
          <rPr>
            <sz val="9"/>
            <color indexed="81"/>
            <rFont val="ＭＳ Ｐゴシック"/>
            <family val="3"/>
            <charset val="128"/>
          </rPr>
          <t xml:space="preserve">10/9～11/10
</t>
        </r>
      </text>
    </comment>
    <comment ref="X46" authorId="1" shapeId="0" xr:uid="{00000000-0006-0000-0C00-00002C000000}">
      <text>
        <r>
          <rPr>
            <sz val="9"/>
            <color rgb="FF000000"/>
            <rFont val="ＭＳ Ｐゴシック"/>
            <family val="2"/>
            <charset val="128"/>
          </rPr>
          <t>11/11</t>
        </r>
        <r>
          <rPr>
            <sz val="9"/>
            <color rgb="FF000000"/>
            <rFont val="ＭＳ Ｐゴシック"/>
            <family val="2"/>
            <charset val="128"/>
          </rPr>
          <t>～</t>
        </r>
        <r>
          <rPr>
            <sz val="9"/>
            <color rgb="FF000000"/>
            <rFont val="ＭＳ Ｐゴシック"/>
            <family val="2"/>
            <charset val="128"/>
          </rPr>
          <t xml:space="preserve">12/9
</t>
        </r>
        <r>
          <rPr>
            <sz val="9"/>
            <color rgb="FF000000"/>
            <rFont val="ＭＳ Ｐゴシック"/>
            <family val="2"/>
            <charset val="128"/>
          </rPr>
          <t xml:space="preserve">
</t>
        </r>
      </text>
    </comment>
    <comment ref="Z46" authorId="1" shapeId="0" xr:uid="{00000000-0006-0000-0C00-00002D000000}">
      <text>
        <r>
          <rPr>
            <sz val="9"/>
            <color rgb="FF000000"/>
            <rFont val="ＭＳ Ｐゴシック"/>
            <family val="2"/>
            <charset val="128"/>
          </rPr>
          <t>12/10</t>
        </r>
        <r>
          <rPr>
            <sz val="9"/>
            <color rgb="FF000000"/>
            <rFont val="ＭＳ Ｐゴシック"/>
            <family val="2"/>
            <charset val="128"/>
          </rPr>
          <t>～</t>
        </r>
        <r>
          <rPr>
            <sz val="9"/>
            <color rgb="FF000000"/>
            <rFont val="ＭＳ Ｐゴシック"/>
            <family val="2"/>
            <charset val="128"/>
          </rPr>
          <t xml:space="preserve">1/8
</t>
        </r>
        <r>
          <rPr>
            <sz val="9"/>
            <color rgb="FF000000"/>
            <rFont val="ＭＳ Ｐゴシック"/>
            <family val="2"/>
            <charset val="128"/>
          </rPr>
          <t xml:space="preserve">
</t>
        </r>
      </text>
    </comment>
    <comment ref="D47" authorId="0" shapeId="0" xr:uid="{00000000-0006-0000-0C00-00002E000000}">
      <text>
        <r>
          <rPr>
            <sz val="9"/>
            <color rgb="FF000000"/>
            <rFont val="ＭＳ Ｐゴシック"/>
            <family val="2"/>
            <charset val="128"/>
          </rPr>
          <t>1/8</t>
        </r>
        <r>
          <rPr>
            <sz val="9"/>
            <color rgb="FF000000"/>
            <rFont val="ＭＳ Ｐゴシック"/>
            <family val="2"/>
            <charset val="128"/>
          </rPr>
          <t>～</t>
        </r>
        <r>
          <rPr>
            <sz val="9"/>
            <color rgb="FF000000"/>
            <rFont val="ＭＳ Ｐゴシック"/>
            <family val="2"/>
            <charset val="128"/>
          </rPr>
          <t xml:space="preserve">2/1
</t>
        </r>
      </text>
    </comment>
    <comment ref="F47" authorId="1" shapeId="0" xr:uid="{00000000-0006-0000-0C00-00002F000000}">
      <text>
        <r>
          <rPr>
            <sz val="9"/>
            <color rgb="FF000000"/>
            <rFont val="ＭＳ Ｐゴシック"/>
            <family val="2"/>
            <charset val="128"/>
          </rPr>
          <t>3/12</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2/2</t>
        </r>
        <r>
          <rPr>
            <sz val="9"/>
            <color rgb="FF000000"/>
            <rFont val="ＭＳ Ｐゴシック"/>
            <family val="2"/>
            <charset val="128"/>
          </rPr>
          <t>～</t>
        </r>
        <r>
          <rPr>
            <sz val="9"/>
            <color rgb="FF000000"/>
            <rFont val="ＭＳ Ｐゴシック"/>
            <family val="2"/>
            <charset val="128"/>
          </rPr>
          <t>3/1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H47" authorId="1" shapeId="0" xr:uid="{00000000-0006-0000-0C00-000030000000}">
      <text>
        <r>
          <rPr>
            <sz val="9"/>
            <color rgb="FF000000"/>
            <rFont val="ＭＳ Ｐゴシック"/>
            <family val="2"/>
            <charset val="128"/>
          </rPr>
          <t>4/10</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3/2</t>
        </r>
        <r>
          <rPr>
            <sz val="9"/>
            <color rgb="FF000000"/>
            <rFont val="ＭＳ Ｐゴシック"/>
            <family val="2"/>
            <charset val="128"/>
          </rPr>
          <t>～</t>
        </r>
        <r>
          <rPr>
            <sz val="9"/>
            <color rgb="FF000000"/>
            <rFont val="ＭＳ Ｐゴシック"/>
            <family val="2"/>
            <charset val="128"/>
          </rPr>
          <t>4/1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J47" authorId="1" shapeId="0" xr:uid="{00000000-0006-0000-0C00-000031000000}">
      <text>
        <r>
          <rPr>
            <sz val="9"/>
            <color rgb="FF000000"/>
            <rFont val="ＭＳ Ｐゴシック"/>
            <family val="2"/>
            <charset val="128"/>
          </rPr>
          <t>5/14</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4/2</t>
        </r>
        <r>
          <rPr>
            <sz val="9"/>
            <color rgb="FF000000"/>
            <rFont val="ＭＳ Ｐゴシック"/>
            <family val="2"/>
            <charset val="128"/>
          </rPr>
          <t>～</t>
        </r>
        <r>
          <rPr>
            <sz val="9"/>
            <color rgb="FF000000"/>
            <rFont val="ＭＳ Ｐゴシック"/>
            <family val="2"/>
            <charset val="128"/>
          </rPr>
          <t>5/1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L47" authorId="1" shapeId="0" xr:uid="{00000000-0006-0000-0C00-000032000000}">
      <text>
        <r>
          <rPr>
            <sz val="9"/>
            <color rgb="FF000000"/>
            <rFont val="ＭＳ Ｐゴシック"/>
            <family val="2"/>
            <charset val="128"/>
          </rPr>
          <t>6/12</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5/2</t>
        </r>
        <r>
          <rPr>
            <sz val="9"/>
            <color rgb="FF000000"/>
            <rFont val="ＭＳ Ｐゴシック"/>
            <family val="2"/>
            <charset val="128"/>
          </rPr>
          <t>～</t>
        </r>
        <r>
          <rPr>
            <sz val="9"/>
            <color rgb="FF000000"/>
            <rFont val="ＭＳ Ｐゴシック"/>
            <family val="2"/>
            <charset val="128"/>
          </rPr>
          <t>6/3</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N47" authorId="1" shapeId="0" xr:uid="{00000000-0006-0000-0C00-000033000000}">
      <text>
        <r>
          <rPr>
            <sz val="9"/>
            <color rgb="FF000000"/>
            <rFont val="ＭＳ Ｐゴシック"/>
            <family val="2"/>
            <charset val="128"/>
          </rPr>
          <t>7/10</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6/4</t>
        </r>
        <r>
          <rPr>
            <sz val="9"/>
            <color rgb="FF000000"/>
            <rFont val="ＭＳ Ｐゴシック"/>
            <family val="2"/>
            <charset val="128"/>
          </rPr>
          <t>～</t>
        </r>
        <r>
          <rPr>
            <sz val="9"/>
            <color rgb="FF000000"/>
            <rFont val="ＭＳ Ｐゴシック"/>
            <family val="2"/>
            <charset val="128"/>
          </rPr>
          <t>7/1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P47" authorId="1" shapeId="0" xr:uid="{00000000-0006-0000-0C00-000034000000}">
      <text>
        <r>
          <rPr>
            <sz val="9"/>
            <color indexed="81"/>
            <rFont val="ＭＳ Ｐゴシック"/>
            <family val="3"/>
            <charset val="128"/>
          </rPr>
          <t xml:space="preserve">8/12引落
7/2～8/1分
</t>
        </r>
      </text>
    </comment>
    <comment ref="R47" authorId="1" shapeId="0" xr:uid="{00000000-0006-0000-0C00-000035000000}">
      <text>
        <r>
          <rPr>
            <sz val="9"/>
            <color indexed="81"/>
            <rFont val="ＭＳ Ｐゴシック"/>
            <family val="3"/>
            <charset val="128"/>
          </rPr>
          <t xml:space="preserve">9/11引落
8/2～9/2分
</t>
        </r>
      </text>
    </comment>
    <comment ref="T47" authorId="1" shapeId="0" xr:uid="{00000000-0006-0000-0C00-000036000000}">
      <text>
        <r>
          <rPr>
            <sz val="9"/>
            <color indexed="81"/>
            <rFont val="ＭＳ Ｐゴシック"/>
            <family val="3"/>
            <charset val="128"/>
          </rPr>
          <t xml:space="preserve">10/10引落
9/3～10/1分
</t>
        </r>
      </text>
    </comment>
    <comment ref="V47" authorId="1" shapeId="0" xr:uid="{00000000-0006-0000-0C00-000037000000}">
      <text>
        <r>
          <rPr>
            <sz val="9"/>
            <color rgb="FF000000"/>
            <rFont val="ＭＳ Ｐゴシック"/>
            <family val="2"/>
            <charset val="128"/>
          </rPr>
          <t>11/13</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10/2</t>
        </r>
        <r>
          <rPr>
            <sz val="9"/>
            <color rgb="FF000000"/>
            <rFont val="ＭＳ Ｐゴシック"/>
            <family val="2"/>
            <charset val="128"/>
          </rPr>
          <t>～</t>
        </r>
        <r>
          <rPr>
            <sz val="9"/>
            <color rgb="FF000000"/>
            <rFont val="ＭＳ Ｐゴシック"/>
            <family val="2"/>
            <charset val="128"/>
          </rPr>
          <t>11/1</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X47" authorId="1" shapeId="0" xr:uid="{00000000-0006-0000-0C00-000038000000}">
      <text>
        <r>
          <rPr>
            <sz val="9"/>
            <color indexed="81"/>
            <rFont val="ＭＳ Ｐゴシック"/>
            <family val="3"/>
            <charset val="128"/>
          </rPr>
          <t xml:space="preserve">12/11引落
11/2～12/2分
</t>
        </r>
      </text>
    </comment>
    <comment ref="Z47" authorId="1" shapeId="0" xr:uid="{00000000-0006-0000-0C00-000039000000}">
      <text>
        <r>
          <rPr>
            <sz val="9"/>
            <color rgb="FF000000"/>
            <rFont val="ＭＳ Ｐゴシック"/>
            <family val="2"/>
            <charset val="128"/>
          </rPr>
          <t>/</t>
        </r>
        <r>
          <rPr>
            <sz val="9"/>
            <color rgb="FF000000"/>
            <rFont val="ＭＳ Ｐゴシック"/>
            <family val="2"/>
            <charset val="128"/>
          </rPr>
          <t>引落</t>
        </r>
        <r>
          <rPr>
            <sz val="9"/>
            <color rgb="FF000000"/>
            <rFont val="ＭＳ Ｐゴシック"/>
            <family val="2"/>
            <charset val="128"/>
          </rPr>
          <t xml:space="preserve">
</t>
        </r>
        <r>
          <rPr>
            <sz val="9"/>
            <color rgb="FF000000"/>
            <rFont val="ＭＳ Ｐゴシック"/>
            <family val="2"/>
            <charset val="128"/>
          </rPr>
          <t>12/4</t>
        </r>
        <r>
          <rPr>
            <sz val="9"/>
            <color rgb="FF000000"/>
            <rFont val="ＭＳ Ｐゴシック"/>
            <family val="2"/>
            <charset val="128"/>
          </rPr>
          <t>～</t>
        </r>
        <r>
          <rPr>
            <sz val="9"/>
            <color rgb="FF000000"/>
            <rFont val="ＭＳ Ｐゴシック"/>
            <family val="2"/>
            <charset val="128"/>
          </rPr>
          <t>1/7</t>
        </r>
        <r>
          <rPr>
            <sz val="9"/>
            <color rgb="FF000000"/>
            <rFont val="ＭＳ Ｐゴシック"/>
            <family val="2"/>
            <charset val="128"/>
          </rPr>
          <t>分</t>
        </r>
        <r>
          <rPr>
            <sz val="9"/>
            <color rgb="FF000000"/>
            <rFont val="ＭＳ Ｐゴシック"/>
            <family val="2"/>
            <charset val="128"/>
          </rPr>
          <t xml:space="preserve">
</t>
        </r>
        <r>
          <rPr>
            <sz val="9"/>
            <color rgb="FF000000"/>
            <rFont val="ＭＳ Ｐゴシック"/>
            <family val="2"/>
            <charset val="128"/>
          </rPr>
          <t xml:space="preserve">
</t>
        </r>
      </text>
    </comment>
    <comment ref="C55" authorId="1" shapeId="0" xr:uid="{00000000-0006-0000-0C00-00003A000000}">
      <text>
        <r>
          <rPr>
            <sz val="9"/>
            <color rgb="FF000000"/>
            <rFont val="ＭＳ Ｐゴシック"/>
            <family val="2"/>
            <charset val="128"/>
          </rPr>
          <t>売上比率で案分</t>
        </r>
        <r>
          <rPr>
            <sz val="9"/>
            <color rgb="FF000000"/>
            <rFont val="ＭＳ Ｐゴシック"/>
            <family val="2"/>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<sst xmlns="http://schemas.openxmlformats.org/spreadsheetml/2006/main" count="1493" uniqueCount="435">
  <si>
    <r>
      <rPr>
        <b/>
        <sz val="13"/>
        <color rgb="FF0000FF"/>
        <rFont val="メイリオ"/>
        <family val="2"/>
        <charset val="128"/>
      </rPr>
      <t>①</t>
    </r>
    <r>
      <rPr>
        <b/>
        <sz val="13"/>
        <color rgb="FF000000"/>
        <rFont val="メイリオ"/>
        <family val="2"/>
        <charset val="128"/>
      </rPr>
      <t>年間営業日</t>
    </r>
    <phoneticPr fontId="12"/>
  </si>
  <si>
    <r>
      <rPr>
        <b/>
        <sz val="13"/>
        <color rgb="FF0000FF"/>
        <rFont val="メイリオ"/>
        <family val="2"/>
        <charset val="128"/>
      </rPr>
      <t>②</t>
    </r>
    <r>
      <rPr>
        <b/>
        <sz val="13"/>
        <color rgb="FF000000"/>
        <rFont val="メイリオ"/>
        <family val="2"/>
        <charset val="128"/>
      </rPr>
      <t>年間目標売上</t>
    </r>
    <phoneticPr fontId="12"/>
  </si>
  <si>
    <t>年間総売上％</t>
    <phoneticPr fontId="12"/>
  </si>
  <si>
    <t>年間売上合計</t>
  </si>
  <si>
    <t>実質売上</t>
  </si>
  <si>
    <t>1月</t>
    <rPh sb="1" eb="2">
      <t xml:space="preserve">ガツ </t>
    </rPh>
    <phoneticPr fontId="16"/>
  </si>
  <si>
    <t>2月</t>
    <rPh sb="1" eb="2">
      <t xml:space="preserve">ガツ </t>
    </rPh>
    <phoneticPr fontId="16"/>
  </si>
  <si>
    <t>3月</t>
    <rPh sb="1" eb="2">
      <t xml:space="preserve">ガツ </t>
    </rPh>
    <phoneticPr fontId="16"/>
  </si>
  <si>
    <t>4月</t>
    <rPh sb="1" eb="2">
      <t xml:space="preserve">ガツ </t>
    </rPh>
    <phoneticPr fontId="16"/>
  </si>
  <si>
    <t>←目標の月へジャンプ</t>
    <rPh sb="1" eb="3">
      <t xml:space="preserve">モクヒョウ </t>
    </rPh>
    <rPh sb="4" eb="5">
      <t xml:space="preserve">ツキ </t>
    </rPh>
    <phoneticPr fontId="16"/>
  </si>
  <si>
    <t>5月</t>
    <rPh sb="1" eb="2">
      <t xml:space="preserve">ガツ </t>
    </rPh>
    <phoneticPr fontId="16"/>
  </si>
  <si>
    <t>6月</t>
    <phoneticPr fontId="16"/>
  </si>
  <si>
    <t>7月</t>
    <rPh sb="1" eb="2">
      <t xml:space="preserve">ガツ </t>
    </rPh>
    <phoneticPr fontId="16"/>
  </si>
  <si>
    <t>8月</t>
    <rPh sb="1" eb="2">
      <t xml:space="preserve">ガツ </t>
    </rPh>
    <phoneticPr fontId="16"/>
  </si>
  <si>
    <t>9月</t>
    <rPh sb="1" eb="2">
      <t xml:space="preserve">ガツ </t>
    </rPh>
    <phoneticPr fontId="16"/>
  </si>
  <si>
    <t>10月</t>
    <rPh sb="2" eb="3">
      <t xml:space="preserve">ガツ </t>
    </rPh>
    <phoneticPr fontId="16"/>
  </si>
  <si>
    <t>11月</t>
    <rPh sb="2" eb="3">
      <t xml:space="preserve">ガツ </t>
    </rPh>
    <phoneticPr fontId="16"/>
  </si>
  <si>
    <t>12月</t>
    <rPh sb="2" eb="3">
      <t xml:space="preserve">ガツ </t>
    </rPh>
    <phoneticPr fontId="16"/>
  </si>
  <si>
    <t>平均日次売上目標額</t>
  </si>
  <si>
    <t>月</t>
  </si>
  <si>
    <t>月次営業日数</t>
  </si>
  <si>
    <t>平均月間売上目標額</t>
  </si>
  <si>
    <t>月次繁閑期%設定</t>
  </si>
  <si>
    <t>月次目標売上</t>
    <rPh sb="2" eb="4">
      <t xml:space="preserve">モクヒョウ </t>
    </rPh>
    <rPh sb="4" eb="5">
      <t xml:space="preserve">ウリアゲ </t>
    </rPh>
    <rPh sb="5" eb="6">
      <t xml:space="preserve">アゲ </t>
    </rPh>
    <phoneticPr fontId="12"/>
  </si>
  <si>
    <t>日次目標売上</t>
    <rPh sb="2" eb="4">
      <t xml:space="preserve">モクヒョウ </t>
    </rPh>
    <rPh sb="4" eb="6">
      <t xml:space="preserve">ウリアゲ </t>
    </rPh>
    <phoneticPr fontId="12"/>
  </si>
  <si>
    <t>月次売上実績</t>
    <rPh sb="4" eb="6">
      <t xml:space="preserve">ジッセキ </t>
    </rPh>
    <phoneticPr fontId="12"/>
  </si>
  <si>
    <t>月間KGI</t>
  </si>
  <si>
    <t>月次実質%</t>
  </si>
  <si>
    <t>② ÷ ①</t>
  </si>
  <si>
    <t>1月</t>
  </si>
  <si>
    <t>2月</t>
    <phoneticPr fontId="12"/>
  </si>
  <si>
    <t>3月</t>
  </si>
  <si>
    <t>4月</t>
  </si>
  <si>
    <t>5月</t>
  </si>
  <si>
    <t>6月</t>
  </si>
  <si>
    <t>7月</t>
  </si>
  <si>
    <t>8月</t>
  </si>
  <si>
    <t>9 月</t>
  </si>
  <si>
    <t>10月</t>
  </si>
  <si>
    <t>11月</t>
  </si>
  <si>
    <t>12月</t>
  </si>
  <si>
    <t>日程</t>
  </si>
  <si>
    <t>曜日</t>
  </si>
  <si>
    <t>日祝日</t>
  </si>
  <si>
    <t>Daily売上入力</t>
  </si>
  <si>
    <t>目標売上</t>
  </si>
  <si>
    <t>実質%</t>
  </si>
  <si>
    <t>月次目標売上</t>
  </si>
  <si>
    <t>月次実質売上</t>
  </si>
  <si>
    <t>月次差額</t>
  </si>
  <si>
    <t>月次達成率</t>
    <rPh sb="0" eb="2">
      <t xml:space="preserve">ゲツジ </t>
    </rPh>
    <rPh sb="2" eb="5">
      <t xml:space="preserve">タッセイリツ </t>
    </rPh>
    <phoneticPr fontId="16"/>
  </si>
  <si>
    <t>年次目標売上</t>
  </si>
  <si>
    <t>年次実質売上</t>
  </si>
  <si>
    <t>年次差額</t>
  </si>
  <si>
    <t>年次達成率</t>
    <rPh sb="0" eb="2">
      <t xml:space="preserve">ネンジ </t>
    </rPh>
    <rPh sb="2" eb="5">
      <t xml:space="preserve">タッセイリツ </t>
    </rPh>
    <phoneticPr fontId="16"/>
  </si>
  <si>
    <t>元旦</t>
  </si>
  <si>
    <t>休み</t>
  </si>
  <si>
    <t>休み</t>
    <rPh sb="0" eb="1">
      <t xml:space="preserve">ヤスミ </t>
    </rPh>
    <phoneticPr fontId="12"/>
  </si>
  <si>
    <t>日曜日</t>
  </si>
  <si>
    <t>成人の日</t>
  </si>
  <si>
    <t>大晦日</t>
  </si>
  <si>
    <t>日程</t>
    <rPh sb="0" eb="2">
      <t xml:space="preserve">ニッテイ </t>
    </rPh>
    <phoneticPr fontId="2"/>
  </si>
  <si>
    <t>①日次目標売上</t>
    <rPh sb="1" eb="3">
      <t xml:space="preserve">ニチジ </t>
    </rPh>
    <rPh sb="3" eb="5">
      <t xml:space="preserve">モクヒョウ </t>
    </rPh>
    <rPh sb="5" eb="7">
      <t xml:space="preserve">ウリアゲ </t>
    </rPh>
    <phoneticPr fontId="2"/>
  </si>
  <si>
    <t>月次目標売上</t>
    <rPh sb="0" eb="2">
      <t xml:space="preserve">ゲツジ </t>
    </rPh>
    <rPh sb="2" eb="4">
      <t xml:space="preserve">モクヒョウ </t>
    </rPh>
    <rPh sb="4" eb="6">
      <t xml:space="preserve">ウリアゲ </t>
    </rPh>
    <phoneticPr fontId="2"/>
  </si>
  <si>
    <t>同月営業残日数</t>
    <rPh sb="0" eb="2">
      <t xml:space="preserve">ドウゲツ </t>
    </rPh>
    <rPh sb="2" eb="4">
      <t xml:space="preserve">エイギョウ </t>
    </rPh>
    <rPh sb="4" eb="5">
      <t xml:space="preserve">ザン </t>
    </rPh>
    <rPh sb="5" eb="7">
      <t xml:space="preserve">ニッスウ </t>
    </rPh>
    <phoneticPr fontId="16"/>
  </si>
  <si>
    <t>ランチ平均客単価</t>
    <rPh sb="3" eb="5">
      <t xml:space="preserve">ヘイキン </t>
    </rPh>
    <rPh sb="5" eb="8">
      <t xml:space="preserve">キャクタンカ </t>
    </rPh>
    <phoneticPr fontId="16"/>
  </si>
  <si>
    <t>ディナー平均客単価</t>
    <rPh sb="4" eb="6">
      <t xml:space="preserve">ヘイキン </t>
    </rPh>
    <rPh sb="6" eb="9">
      <t xml:space="preserve">キャクタンカ </t>
    </rPh>
    <phoneticPr fontId="16"/>
  </si>
  <si>
    <t>②前年同曜日実質売上額</t>
    <rPh sb="1" eb="3">
      <t xml:space="preserve">ゼンネン </t>
    </rPh>
    <rPh sb="3" eb="6">
      <t xml:space="preserve">ドウヨウビ </t>
    </rPh>
    <rPh sb="6" eb="8">
      <t xml:space="preserve">ジッシツ </t>
    </rPh>
    <rPh sb="8" eb="10">
      <t xml:space="preserve">ウリアゲ </t>
    </rPh>
    <rPh sb="10" eb="11">
      <t xml:space="preserve">ガク </t>
    </rPh>
    <phoneticPr fontId="2"/>
  </si>
  <si>
    <t>前年同曜日の実績売上</t>
    <rPh sb="0" eb="2">
      <t xml:space="preserve">ゼンネン </t>
    </rPh>
    <rPh sb="2" eb="5">
      <t xml:space="preserve">ドウヨウビ </t>
    </rPh>
    <rPh sb="6" eb="8">
      <t xml:space="preserve">ジッセキ </t>
    </rPh>
    <rPh sb="8" eb="10">
      <t xml:space="preserve">ウリアゲ </t>
    </rPh>
    <phoneticPr fontId="16"/>
  </si>
  <si>
    <t>②ー①差額</t>
    <rPh sb="3" eb="5">
      <t xml:space="preserve">サガク </t>
    </rPh>
    <phoneticPr fontId="2"/>
  </si>
  <si>
    <t>達成率</t>
    <rPh sb="0" eb="3">
      <t xml:space="preserve">タッセイリツ </t>
    </rPh>
    <phoneticPr fontId="2"/>
  </si>
  <si>
    <t>月次売上額</t>
    <rPh sb="0" eb="2">
      <t xml:space="preserve">ゲツジ </t>
    </rPh>
    <rPh sb="2" eb="5">
      <t xml:space="preserve">ウリアゲガク </t>
    </rPh>
    <phoneticPr fontId="2"/>
  </si>
  <si>
    <t>月次目標売上額</t>
    <rPh sb="0" eb="2">
      <t xml:space="preserve">ゲツジ </t>
    </rPh>
    <rPh sb="2" eb="4">
      <t xml:space="preserve">モクヒョウ </t>
    </rPh>
    <rPh sb="4" eb="6">
      <t xml:space="preserve">ウリアゲ </t>
    </rPh>
    <rPh sb="6" eb="7">
      <t xml:space="preserve">ガク </t>
    </rPh>
    <phoneticPr fontId="2"/>
  </si>
  <si>
    <t>③月次差額</t>
    <rPh sb="1" eb="2">
      <t xml:space="preserve">ゲツジ </t>
    </rPh>
    <rPh sb="3" eb="5">
      <t xml:space="preserve">サガク </t>
    </rPh>
    <phoneticPr fontId="2"/>
  </si>
  <si>
    <t>月次達成率</t>
    <rPh sb="0" eb="2">
      <t xml:space="preserve">ゲツジ </t>
    </rPh>
    <rPh sb="2" eb="5">
      <t xml:space="preserve">タッセイリツ </t>
    </rPh>
    <phoneticPr fontId="2"/>
  </si>
  <si>
    <t>1日辺りに取返す額</t>
    <rPh sb="1" eb="2">
      <t xml:space="preserve">ヒ </t>
    </rPh>
    <rPh sb="2" eb="3">
      <t>🎯</t>
    </rPh>
    <rPh sb="5" eb="6">
      <t>トリカエス</t>
    </rPh>
    <rPh sb="8" eb="9">
      <t xml:space="preserve">ガク </t>
    </rPh>
    <phoneticPr fontId="16"/>
  </si>
  <si>
    <t>＊営業残日数で③を割った値</t>
    <rPh sb="1" eb="3">
      <t xml:space="preserve">エイギョウ </t>
    </rPh>
    <rPh sb="3" eb="6">
      <t xml:space="preserve">ザンニチスウ </t>
    </rPh>
    <rPh sb="12" eb="13">
      <t xml:space="preserve">アタイ </t>
    </rPh>
    <phoneticPr fontId="16"/>
  </si>
  <si>
    <t>年次売上額</t>
    <rPh sb="0" eb="2">
      <t xml:space="preserve">ネンジ </t>
    </rPh>
    <rPh sb="2" eb="5">
      <t xml:space="preserve">ウリアゲガク </t>
    </rPh>
    <phoneticPr fontId="2"/>
  </si>
  <si>
    <t>年次目標売上額</t>
    <rPh sb="0" eb="1">
      <t xml:space="preserve">ネンジ </t>
    </rPh>
    <rPh sb="2" eb="4">
      <t xml:space="preserve">モクヒョウ </t>
    </rPh>
    <rPh sb="4" eb="6">
      <t xml:space="preserve">ウリアゲ </t>
    </rPh>
    <rPh sb="6" eb="7">
      <t xml:space="preserve">ガク </t>
    </rPh>
    <phoneticPr fontId="2"/>
  </si>
  <si>
    <t>年次差額</t>
    <rPh sb="0" eb="2">
      <t xml:space="preserve">ネンジ </t>
    </rPh>
    <rPh sb="2" eb="4">
      <t xml:space="preserve">サガク </t>
    </rPh>
    <phoneticPr fontId="2"/>
  </si>
  <si>
    <t>年次達成率</t>
    <rPh sb="0" eb="2">
      <t xml:space="preserve">ネンジ </t>
    </rPh>
    <rPh sb="2" eb="5">
      <t xml:space="preserve">タッセイリツ </t>
    </rPh>
    <phoneticPr fontId="2"/>
  </si>
  <si>
    <t>1日の売上目標値
 参考例</t>
    <phoneticPr fontId="12"/>
  </si>
  <si>
    <t>目標売上</t>
    <phoneticPr fontId="12"/>
  </si>
  <si>
    <t>実質予想売上額</t>
    <rPh sb="0" eb="2">
      <t xml:space="preserve">ジッシツ </t>
    </rPh>
    <rPh sb="2" eb="4">
      <t xml:space="preserve">ヨソウ </t>
    </rPh>
    <rPh sb="4" eb="6">
      <t xml:space="preserve">ウリアゲ </t>
    </rPh>
    <rPh sb="6" eb="7">
      <t xml:space="preserve">ガク </t>
    </rPh>
    <phoneticPr fontId="16"/>
  </si>
  <si>
    <t>差額</t>
    <rPh sb="0" eb="2">
      <t xml:space="preserve">サガク </t>
    </rPh>
    <phoneticPr fontId="12"/>
  </si>
  <si>
    <t>仮1日売上総合計</t>
  </si>
  <si>
    <t>シュミレーター</t>
    <phoneticPr fontId="16"/>
  </si>
  <si>
    <t>項目</t>
  </si>
  <si>
    <t>仮客単価</t>
  </si>
  <si>
    <t>集客数</t>
  </si>
  <si>
    <t>仮1日の売上小計</t>
  </si>
  <si>
    <t>ランチ</t>
  </si>
  <si>
    <t>ディナー</t>
  </si>
  <si>
    <t>Party 5500</t>
  </si>
  <si>
    <t>Party 6800</t>
    <phoneticPr fontId="16"/>
  </si>
  <si>
    <t>Party 8000</t>
    <phoneticPr fontId="16"/>
  </si>
  <si>
    <r>
      <rPr>
        <b/>
        <sz val="13"/>
        <color rgb="FF0000FF"/>
        <rFont val="メイリオ"/>
        <family val="2"/>
        <charset val="128"/>
      </rPr>
      <t>①</t>
    </r>
    <r>
      <rPr>
        <b/>
        <sz val="13"/>
        <color rgb="FF000000"/>
        <rFont val="メイリオ"/>
        <family val="2"/>
        <charset val="128"/>
      </rPr>
      <t>年間営業日</t>
    </r>
  </si>
  <si>
    <r>
      <rPr>
        <b/>
        <sz val="13"/>
        <color rgb="FF0000FF"/>
        <rFont val="メイリオ"/>
        <family val="2"/>
        <charset val="128"/>
      </rPr>
      <t>②</t>
    </r>
    <r>
      <rPr>
        <b/>
        <sz val="13"/>
        <color rgb="FF000000"/>
        <rFont val="メイリオ"/>
        <family val="2"/>
        <charset val="128"/>
      </rPr>
      <t>年間目標売上</t>
    </r>
  </si>
  <si>
    <t>年間売上％設定</t>
  </si>
  <si>
    <t>年間実質売上</t>
  </si>
  <si>
    <t>年間利益率</t>
    <rPh sb="0" eb="2">
      <t xml:space="preserve">ネンカン </t>
    </rPh>
    <phoneticPr fontId="12"/>
  </si>
  <si>
    <t>年間予想利益額</t>
    <rPh sb="0" eb="2">
      <t xml:space="preserve">ネンカン </t>
    </rPh>
    <phoneticPr fontId="12"/>
  </si>
  <si>
    <t>月次目標売上</t>
    <rPh sb="2" eb="4">
      <t xml:space="preserve">モクヒョウ </t>
    </rPh>
    <rPh sb="4" eb="6">
      <t xml:space="preserve">ウリアゲ </t>
    </rPh>
    <phoneticPr fontId="12"/>
  </si>
  <si>
    <t>月次売上</t>
  </si>
  <si>
    <t>月間差額</t>
  </si>
  <si>
    <t>1日の売上目標値
 参考例</t>
  </si>
  <si>
    <t>¥233564</t>
  </si>
  <si>
    <t>2月</t>
  </si>
  <si>
    <t>Party 5500</t>
    <phoneticPr fontId="12"/>
  </si>
  <si>
    <t>休店日理由</t>
  </si>
  <si>
    <t>目標売上 KPI</t>
  </si>
  <si>
    <t>日次実質売上</t>
  </si>
  <si>
    <t>月次差額(勝率)</t>
  </si>
  <si>
    <t>年次差額(勝率)</t>
  </si>
  <si>
    <t>年次実質%</t>
  </si>
  <si>
    <t>祝日</t>
  </si>
  <si>
    <t>月</t>
    <rPh sb="0" eb="1">
      <t xml:space="preserve">ガツ </t>
    </rPh>
    <phoneticPr fontId="16"/>
  </si>
  <si>
    <t>営業日数</t>
    <rPh sb="0" eb="4">
      <t xml:space="preserve">エイギョウニッスウ </t>
    </rPh>
    <phoneticPr fontId="16"/>
  </si>
  <si>
    <t>月次適正原価率表</t>
    <rPh sb="0" eb="2">
      <t xml:space="preserve">ゲツジ </t>
    </rPh>
    <rPh sb="2" eb="4">
      <t xml:space="preserve">テキセイ </t>
    </rPh>
    <rPh sb="4" eb="7">
      <t xml:space="preserve">ゲンカリツ </t>
    </rPh>
    <rPh sb="7" eb="8">
      <t xml:space="preserve">ヒョウ </t>
    </rPh>
    <phoneticPr fontId="16"/>
  </si>
  <si>
    <t>月次</t>
    <rPh sb="0" eb="2">
      <t xml:space="preserve">ゲツジ </t>
    </rPh>
    <phoneticPr fontId="16"/>
  </si>
  <si>
    <t>日次</t>
    <rPh sb="0" eb="2">
      <t xml:space="preserve">ニチジ </t>
    </rPh>
    <phoneticPr fontId="16"/>
  </si>
  <si>
    <t>フード</t>
    <phoneticPr fontId="16"/>
  </si>
  <si>
    <t>ドリンク</t>
    <phoneticPr fontId="16"/>
  </si>
  <si>
    <t>月次適正人件費表</t>
    <rPh sb="0" eb="2">
      <t xml:space="preserve">ゲツジ </t>
    </rPh>
    <rPh sb="2" eb="4">
      <t xml:space="preserve">テキセイ </t>
    </rPh>
    <rPh sb="4" eb="7">
      <t xml:space="preserve">ジンケンヒ </t>
    </rPh>
    <rPh sb="7" eb="8">
      <t xml:space="preserve">ヒョウ </t>
    </rPh>
    <phoneticPr fontId="16"/>
  </si>
  <si>
    <t>1日</t>
    <rPh sb="1" eb="2">
      <t xml:space="preserve">ヒ </t>
    </rPh>
    <phoneticPr fontId="16"/>
  </si>
  <si>
    <t>ランチ</t>
    <phoneticPr fontId="16"/>
  </si>
  <si>
    <t>ディナー</t>
    <phoneticPr fontId="16"/>
  </si>
  <si>
    <t>【食材費】フード適正早見表</t>
    <rPh sb="1" eb="4">
      <t xml:space="preserve">ショクザイヒ </t>
    </rPh>
    <rPh sb="8" eb="10">
      <t xml:space="preserve">テキセイ </t>
    </rPh>
    <rPh sb="10" eb="12">
      <t>ハヤミ</t>
    </rPh>
    <rPh sb="12" eb="13">
      <t xml:space="preserve">ヒョウ </t>
    </rPh>
    <phoneticPr fontId="16"/>
  </si>
  <si>
    <t>【食材費】ドリンク適正早見表</t>
    <rPh sb="1" eb="4">
      <t xml:space="preserve">ショクザイヒ </t>
    </rPh>
    <rPh sb="9" eb="11">
      <t xml:space="preserve">テキセイ </t>
    </rPh>
    <rPh sb="11" eb="13">
      <t>ハヤミ</t>
    </rPh>
    <rPh sb="13" eb="14">
      <t xml:space="preserve">ヒョウ </t>
    </rPh>
    <phoneticPr fontId="16"/>
  </si>
  <si>
    <t>フード目標日次</t>
    <rPh sb="3" eb="5">
      <t xml:space="preserve">モクヒョウ </t>
    </rPh>
    <rPh sb="5" eb="7">
      <t xml:space="preserve">ニチジ </t>
    </rPh>
    <phoneticPr fontId="16"/>
  </si>
  <si>
    <t>フード目標累計</t>
    <rPh sb="3" eb="5">
      <t xml:space="preserve">モクヒョウ </t>
    </rPh>
    <rPh sb="5" eb="7">
      <t xml:space="preserve">ルイケイ </t>
    </rPh>
    <phoneticPr fontId="16"/>
  </si>
  <si>
    <t>フード実績</t>
    <rPh sb="3" eb="5">
      <t xml:space="preserve">ジッセキ </t>
    </rPh>
    <phoneticPr fontId="16"/>
  </si>
  <si>
    <t>フード累積</t>
    <rPh sb="3" eb="5">
      <t xml:space="preserve">ルイセキ </t>
    </rPh>
    <phoneticPr fontId="16"/>
  </si>
  <si>
    <t>差額</t>
    <rPh sb="0" eb="2">
      <t xml:space="preserve">サガク </t>
    </rPh>
    <phoneticPr fontId="16"/>
  </si>
  <si>
    <t>ドリンク目標日次</t>
    <rPh sb="4" eb="6">
      <t xml:space="preserve">モクヒョウ </t>
    </rPh>
    <rPh sb="6" eb="8">
      <t xml:space="preserve">ニチジ </t>
    </rPh>
    <phoneticPr fontId="16"/>
  </si>
  <si>
    <t>ドリンク目標累計</t>
    <rPh sb="4" eb="6">
      <t xml:space="preserve">モクヒョウ </t>
    </rPh>
    <rPh sb="6" eb="8">
      <t xml:space="preserve">ルイケイ </t>
    </rPh>
    <phoneticPr fontId="16"/>
  </si>
  <si>
    <t>ドリンク実績</t>
    <rPh sb="4" eb="6">
      <t xml:space="preserve">ジッセキ </t>
    </rPh>
    <phoneticPr fontId="16"/>
  </si>
  <si>
    <t>ドリンク累積</t>
    <rPh sb="4" eb="6">
      <t xml:space="preserve">ルイセキ </t>
    </rPh>
    <phoneticPr fontId="16"/>
  </si>
  <si>
    <t>合計</t>
    <rPh sb="0" eb="2">
      <t xml:space="preserve">ゴウケイ </t>
    </rPh>
    <phoneticPr fontId="16"/>
  </si>
  <si>
    <t>年間の平均曜日毎売上</t>
  </si>
  <si>
    <t>日次目標額</t>
  </si>
  <si>
    <t>月曜日</t>
  </si>
  <si>
    <t>火曜日</t>
  </si>
  <si>
    <t>水曜日</t>
  </si>
  <si>
    <t>木曜日</t>
  </si>
  <si>
    <t>金曜日</t>
  </si>
  <si>
    <t>土曜日</t>
  </si>
  <si>
    <t>9月</t>
  </si>
  <si>
    <t>平均</t>
  </si>
  <si>
    <t>平均売上</t>
  </si>
  <si>
    <t>平均パーセンテージ</t>
  </si>
  <si>
    <t>ランチ平均売上</t>
  </si>
  <si>
    <t>ディナー平均売上</t>
  </si>
  <si>
    <t>ランチ平均客単価</t>
  </si>
  <si>
    <t>ディナー平均客単価</t>
  </si>
  <si>
    <t>ランチ平均客数</t>
  </si>
  <si>
    <t>ディナー平均客数</t>
  </si>
  <si>
    <t>年間平均</t>
    <rPh sb="0" eb="4">
      <t xml:space="preserve">ネンカンヘイキン </t>
    </rPh>
    <phoneticPr fontId="16"/>
  </si>
  <si>
    <r>
      <t>1</t>
    </r>
    <r>
      <rPr>
        <sz val="14"/>
        <color rgb="FF000000"/>
        <rFont val="メイリオ"/>
        <family val="2"/>
        <charset val="128"/>
      </rPr>
      <t>月</t>
    </r>
    <phoneticPr fontId="16"/>
  </si>
  <si>
    <t>1月平均</t>
  </si>
  <si>
    <t>2月</t>
    <phoneticPr fontId="16"/>
  </si>
  <si>
    <t>2月平均</t>
  </si>
  <si>
    <t>3月</t>
    <phoneticPr fontId="16"/>
  </si>
  <si>
    <t>3月平均</t>
  </si>
  <si>
    <t>4月</t>
    <phoneticPr fontId="16"/>
  </si>
  <si>
    <t>4月平均</t>
  </si>
  <si>
    <t>5月</t>
    <phoneticPr fontId="16"/>
  </si>
  <si>
    <t>5月平均</t>
  </si>
  <si>
    <t>6月平均</t>
  </si>
  <si>
    <t>7月</t>
    <phoneticPr fontId="16"/>
  </si>
  <si>
    <t>7月平均</t>
  </si>
  <si>
    <t>8月</t>
    <phoneticPr fontId="16"/>
  </si>
  <si>
    <t>8月平均</t>
  </si>
  <si>
    <t>9月</t>
    <phoneticPr fontId="16"/>
  </si>
  <si>
    <t>9月平均</t>
  </si>
  <si>
    <t>10月</t>
    <phoneticPr fontId="16"/>
  </si>
  <si>
    <t>10月平均</t>
  </si>
  <si>
    <t>11月</t>
    <phoneticPr fontId="16"/>
  </si>
  <si>
    <t>11月平均</t>
  </si>
  <si>
    <t>12月</t>
    <phoneticPr fontId="16"/>
  </si>
  <si>
    <t>12月平均</t>
  </si>
  <si>
    <t>2025年次売上目標額</t>
    <rPh sb="4" eb="6">
      <t xml:space="preserve">ネンジ </t>
    </rPh>
    <rPh sb="6" eb="11">
      <t xml:space="preserve">ウリアゲモクヒョウガク </t>
    </rPh>
    <phoneticPr fontId="2"/>
  </si>
  <si>
    <t>2024年売上実績</t>
    <rPh sb="4" eb="5">
      <t xml:space="preserve">ネン </t>
    </rPh>
    <rPh sb="5" eb="9">
      <t xml:space="preserve">ウリアゲジッセキ </t>
    </rPh>
    <phoneticPr fontId="2"/>
  </si>
  <si>
    <t>目標売上額</t>
    <rPh sb="0" eb="2">
      <t xml:space="preserve">モクヒョウ </t>
    </rPh>
    <rPh sb="2" eb="5">
      <t xml:space="preserve">ウリアゲガク </t>
    </rPh>
    <phoneticPr fontId="2"/>
  </si>
  <si>
    <t>営業日数</t>
    <rPh sb="0" eb="4">
      <t xml:space="preserve">エイギョウニッスウ </t>
    </rPh>
    <phoneticPr fontId="2"/>
  </si>
  <si>
    <t>カテゴリ</t>
    <phoneticPr fontId="2"/>
  </si>
  <si>
    <t>売上率(2024年)</t>
    <rPh sb="0" eb="3">
      <t xml:space="preserve">ウリアゲリツ </t>
    </rPh>
    <rPh sb="8" eb="9">
      <t xml:space="preserve">ネン </t>
    </rPh>
    <phoneticPr fontId="2"/>
  </si>
  <si>
    <t>想定売上額</t>
    <rPh sb="0" eb="2">
      <t xml:space="preserve">ソウテイ </t>
    </rPh>
    <rPh sb="2" eb="5">
      <t xml:space="preserve">ウリアゲガク </t>
    </rPh>
    <phoneticPr fontId="2"/>
  </si>
  <si>
    <t>目標原価率</t>
    <rPh sb="0" eb="2">
      <t xml:space="preserve">モクヒョウ </t>
    </rPh>
    <rPh sb="2" eb="5">
      <t xml:space="preserve">ゲンカリツ </t>
    </rPh>
    <phoneticPr fontId="2"/>
  </si>
  <si>
    <t>月次目標原価額</t>
    <rPh sb="0" eb="2">
      <t xml:space="preserve">ゲツジ </t>
    </rPh>
    <rPh sb="2" eb="4">
      <t xml:space="preserve">モクヒョウ </t>
    </rPh>
    <rPh sb="4" eb="6">
      <t xml:space="preserve">ゲンカ </t>
    </rPh>
    <rPh sb="6" eb="7">
      <t xml:space="preserve">ガク </t>
    </rPh>
    <phoneticPr fontId="2"/>
  </si>
  <si>
    <t>1日あたりの仕入額</t>
    <rPh sb="1" eb="2">
      <t xml:space="preserve">ヒ </t>
    </rPh>
    <rPh sb="6" eb="8">
      <t xml:space="preserve">シイレ </t>
    </rPh>
    <rPh sb="8" eb="9">
      <t xml:space="preserve">シシュツガク </t>
    </rPh>
    <phoneticPr fontId="2"/>
  </si>
  <si>
    <t>2024年仕入れ額</t>
    <rPh sb="4" eb="5">
      <t xml:space="preserve">ネン </t>
    </rPh>
    <rPh sb="5" eb="7">
      <t xml:space="preserve">シイレガク </t>
    </rPh>
    <phoneticPr fontId="2"/>
  </si>
  <si>
    <t>差額=削減目標額</t>
    <rPh sb="0" eb="2">
      <t xml:space="preserve">サガク </t>
    </rPh>
    <rPh sb="3" eb="8">
      <t xml:space="preserve">サクゲンモクヒョウガク </t>
    </rPh>
    <phoneticPr fontId="2"/>
  </si>
  <si>
    <t>食材原価率</t>
    <rPh sb="0" eb="2">
      <t xml:space="preserve">ショクザイ </t>
    </rPh>
    <rPh sb="2" eb="5">
      <t xml:space="preserve">ゲンカリツ </t>
    </rPh>
    <phoneticPr fontId="2"/>
  </si>
  <si>
    <t>フード</t>
    <phoneticPr fontId="2"/>
  </si>
  <si>
    <t>ドリンク</t>
    <phoneticPr fontId="2"/>
  </si>
  <si>
    <t>適正人件費率</t>
    <rPh sb="0" eb="2">
      <t xml:space="preserve">テキセイ </t>
    </rPh>
    <rPh sb="2" eb="5">
      <t xml:space="preserve">ジンケンヒ </t>
    </rPh>
    <rPh sb="5" eb="6">
      <t xml:space="preserve">リツ </t>
    </rPh>
    <phoneticPr fontId="2"/>
  </si>
  <si>
    <t>人件費上限額</t>
    <rPh sb="0" eb="5">
      <t xml:space="preserve">ジンケンヒジョウゲンガク </t>
    </rPh>
    <rPh sb="5" eb="6">
      <t xml:space="preserve">ガク </t>
    </rPh>
    <phoneticPr fontId="2"/>
  </si>
  <si>
    <t>適正人件費</t>
    <rPh sb="0" eb="2">
      <t xml:space="preserve">テキセイ </t>
    </rPh>
    <rPh sb="2" eb="5">
      <t xml:space="preserve">ジンケンヒ </t>
    </rPh>
    <phoneticPr fontId="2"/>
  </si>
  <si>
    <t>月次アルバイト人数</t>
    <rPh sb="0" eb="2">
      <t xml:space="preserve">ゲツジ </t>
    </rPh>
    <rPh sb="7" eb="9">
      <t xml:space="preserve">ニンズウ </t>
    </rPh>
    <phoneticPr fontId="2"/>
  </si>
  <si>
    <t>日次アルバイト人数(ホール&amp;キッチン)</t>
    <rPh sb="0" eb="2">
      <t xml:space="preserve">ニチジ </t>
    </rPh>
    <rPh sb="7" eb="9">
      <t xml:space="preserve">ニンズウ </t>
    </rPh>
    <phoneticPr fontId="2"/>
  </si>
  <si>
    <t>1月</t>
    <rPh sb="1" eb="2">
      <t xml:space="preserve">ガツ </t>
    </rPh>
    <phoneticPr fontId="2"/>
  </si>
  <si>
    <t>社員</t>
    <rPh sb="0" eb="2">
      <t xml:space="preserve">シャイン </t>
    </rPh>
    <phoneticPr fontId="2"/>
  </si>
  <si>
    <t>ランチ</t>
    <phoneticPr fontId="2"/>
  </si>
  <si>
    <t>アルバイト</t>
    <phoneticPr fontId="2"/>
  </si>
  <si>
    <t>ディナー</t>
    <phoneticPr fontId="2"/>
  </si>
  <si>
    <t>2月</t>
    <rPh sb="1" eb="2">
      <t xml:space="preserve">ガツ </t>
    </rPh>
    <phoneticPr fontId="2"/>
  </si>
  <si>
    <t>アルバイト人件費計算表</t>
    <rPh sb="5" eb="8">
      <t xml:space="preserve">ジンケンヒ </t>
    </rPh>
    <rPh sb="8" eb="11">
      <t xml:space="preserve">ケイサンヒョウ </t>
    </rPh>
    <phoneticPr fontId="2"/>
  </si>
  <si>
    <t>時給</t>
    <rPh sb="0" eb="2">
      <t xml:space="preserve">ジキュウ </t>
    </rPh>
    <phoneticPr fontId="2"/>
  </si>
  <si>
    <t>時間</t>
    <rPh sb="0" eb="2">
      <t xml:space="preserve">ジカン </t>
    </rPh>
    <phoneticPr fontId="2"/>
  </si>
  <si>
    <t>交通費</t>
    <rPh sb="0" eb="3">
      <t xml:space="preserve">コウツウヒ </t>
    </rPh>
    <phoneticPr fontId="2"/>
  </si>
  <si>
    <t>合計</t>
    <rPh sb="0" eb="2">
      <t xml:space="preserve">ゴウケイ </t>
    </rPh>
    <phoneticPr fontId="2"/>
  </si>
  <si>
    <t>月次総売上</t>
    <rPh sb="0" eb="2">
      <t xml:space="preserve">ゲツジ </t>
    </rPh>
    <rPh sb="2" eb="5">
      <t xml:space="preserve">ソウウリアゲ </t>
    </rPh>
    <phoneticPr fontId="2"/>
  </si>
  <si>
    <t>月次食材費</t>
    <rPh sb="0" eb="2">
      <t xml:space="preserve">ゲツジ </t>
    </rPh>
    <rPh sb="2" eb="4">
      <t xml:space="preserve">ショクザイ </t>
    </rPh>
    <rPh sb="4" eb="5">
      <t xml:space="preserve">ヒ </t>
    </rPh>
    <phoneticPr fontId="2"/>
  </si>
  <si>
    <t>PURANA BARCA  R6年（2024）損益表</t>
    <rPh sb="16" eb="17">
      <t>ネン</t>
    </rPh>
    <rPh sb="23" eb="25">
      <t>ソンエキ</t>
    </rPh>
    <rPh sb="25" eb="26">
      <t>ヒョウ</t>
    </rPh>
    <phoneticPr fontId="16"/>
  </si>
  <si>
    <t>2月</t>
    <phoneticPr fontId="2"/>
  </si>
  <si>
    <t>3月</t>
    <phoneticPr fontId="2"/>
  </si>
  <si>
    <t>4月</t>
    <phoneticPr fontId="2"/>
  </si>
  <si>
    <t>5月</t>
    <phoneticPr fontId="2"/>
  </si>
  <si>
    <t>6月</t>
    <phoneticPr fontId="2"/>
  </si>
  <si>
    <t>7月</t>
    <phoneticPr fontId="2"/>
  </si>
  <si>
    <t>8月</t>
    <phoneticPr fontId="2"/>
  </si>
  <si>
    <t>9月</t>
    <phoneticPr fontId="2"/>
  </si>
  <si>
    <t>10月</t>
    <phoneticPr fontId="2"/>
  </si>
  <si>
    <t>11月</t>
    <phoneticPr fontId="2"/>
  </si>
  <si>
    <t>12月</t>
    <phoneticPr fontId="2"/>
  </si>
  <si>
    <t>総収入</t>
    <rPh sb="0" eb="1">
      <t xml:space="preserve">ソウ </t>
    </rPh>
    <phoneticPr fontId="2"/>
  </si>
  <si>
    <t>店舗売上</t>
    <rPh sb="0" eb="2">
      <t xml:space="preserve">テンポ </t>
    </rPh>
    <rPh sb="2" eb="4">
      <t>ウリアゲ</t>
    </rPh>
    <phoneticPr fontId="16"/>
  </si>
  <si>
    <t>売上A</t>
    <rPh sb="0" eb="2">
      <t xml:space="preserve">ウリアゲ </t>
    </rPh>
    <phoneticPr fontId="2"/>
  </si>
  <si>
    <t>売上B</t>
    <rPh sb="0" eb="1">
      <t xml:space="preserve">ウリアゲ </t>
    </rPh>
    <phoneticPr fontId="2"/>
  </si>
  <si>
    <t>売上合計</t>
    <rPh sb="0" eb="2">
      <t xml:space="preserve">ウリアゲ </t>
    </rPh>
    <rPh sb="2" eb="4">
      <t xml:space="preserve">ゴウケイ </t>
    </rPh>
    <phoneticPr fontId="16"/>
  </si>
  <si>
    <t>総支出</t>
    <rPh sb="0" eb="1">
      <t xml:space="preserve">ソウ </t>
    </rPh>
    <rPh sb="1" eb="3">
      <t xml:space="preserve">シシュツ </t>
    </rPh>
    <phoneticPr fontId="2"/>
  </si>
  <si>
    <t>固定費</t>
    <rPh sb="0" eb="3">
      <t xml:space="preserve">コテイヒ </t>
    </rPh>
    <phoneticPr fontId="2"/>
  </si>
  <si>
    <t>変動費</t>
    <rPh sb="0" eb="3">
      <t xml:space="preserve">ヘンドウヒ </t>
    </rPh>
    <phoneticPr fontId="2"/>
  </si>
  <si>
    <t>売上/仕入額</t>
    <rPh sb="0" eb="2">
      <t xml:space="preserve">ウリアゲ </t>
    </rPh>
    <rPh sb="5" eb="6">
      <t xml:space="preserve">ガク </t>
    </rPh>
    <phoneticPr fontId="2"/>
  </si>
  <si>
    <t>売上比率/原価率</t>
    <rPh sb="0" eb="4">
      <t xml:space="preserve">ウリアゲヒリツ </t>
    </rPh>
    <rPh sb="5" eb="6">
      <t xml:space="preserve">ゲンカリツ </t>
    </rPh>
    <phoneticPr fontId="2"/>
  </si>
  <si>
    <t>フード売上</t>
    <rPh sb="3" eb="5">
      <t xml:space="preserve">ウリアゲ </t>
    </rPh>
    <phoneticPr fontId="2"/>
  </si>
  <si>
    <t>フード仕入れ額</t>
    <rPh sb="3" eb="5">
      <t xml:space="preserve">シイレガク </t>
    </rPh>
    <phoneticPr fontId="2"/>
  </si>
  <si>
    <t>ドリンク売上</t>
    <rPh sb="4" eb="6">
      <t xml:space="preserve">ウリアゲ </t>
    </rPh>
    <phoneticPr fontId="2"/>
  </si>
  <si>
    <t>ドリンク仕入れ額</t>
    <rPh sb="4" eb="6">
      <t xml:space="preserve">シイレガク </t>
    </rPh>
    <phoneticPr fontId="2"/>
  </si>
  <si>
    <t>労働分配率
(人件費)</t>
    <rPh sb="0" eb="2">
      <t xml:space="preserve">ロウドウ </t>
    </rPh>
    <rPh sb="2" eb="5">
      <t xml:space="preserve">ブンパイリツ </t>
    </rPh>
    <rPh sb="6" eb="9">
      <t xml:space="preserve">ジンケンヒ </t>
    </rPh>
    <phoneticPr fontId="2"/>
  </si>
  <si>
    <t>社員人件費(固定費)</t>
    <rPh sb="0" eb="2">
      <t xml:space="preserve">シャイン </t>
    </rPh>
    <rPh sb="2" eb="5">
      <t xml:space="preserve">ジンケンヒ </t>
    </rPh>
    <rPh sb="6" eb="9">
      <t xml:space="preserve">コテイヒ </t>
    </rPh>
    <phoneticPr fontId="2"/>
  </si>
  <si>
    <t>アルバイト人件費(変動費)</t>
    <rPh sb="5" eb="8">
      <t xml:space="preserve">ジンケンヒ </t>
    </rPh>
    <rPh sb="9" eb="12">
      <t xml:space="preserve">ヘンドウヒ </t>
    </rPh>
    <phoneticPr fontId="2"/>
  </si>
  <si>
    <t>FL率</t>
    <rPh sb="2" eb="3">
      <t xml:space="preserve">リツ </t>
    </rPh>
    <phoneticPr fontId="2"/>
  </si>
  <si>
    <t>月次食材費</t>
    <rPh sb="0" eb="2">
      <t xml:space="preserve">ゲツジ </t>
    </rPh>
    <rPh sb="2" eb="5">
      <t xml:space="preserve">ショクザイヒ </t>
    </rPh>
    <phoneticPr fontId="2"/>
  </si>
  <si>
    <t>月次人件費(アルバイト)</t>
    <rPh sb="0" eb="1">
      <t xml:space="preserve">ゲツジ </t>
    </rPh>
    <rPh sb="2" eb="5">
      <t xml:space="preserve">ジンケンヒ </t>
    </rPh>
    <phoneticPr fontId="2"/>
  </si>
  <si>
    <t>合計</t>
    <rPh sb="0" eb="1">
      <t xml:space="preserve">ゴウケイ </t>
    </rPh>
    <phoneticPr fontId="2"/>
  </si>
  <si>
    <t>　粗利益率(総売上 - FLコスト) ÷ 総売上</t>
    <rPh sb="1" eb="5">
      <t xml:space="preserve">アラリエキリツ </t>
    </rPh>
    <phoneticPr fontId="2"/>
  </si>
  <si>
    <t>利益</t>
    <rPh sb="0" eb="2">
      <t xml:space="preserve">リエキ </t>
    </rPh>
    <phoneticPr fontId="2"/>
  </si>
  <si>
    <t>4月</t>
    <rPh sb="1" eb="2">
      <t xml:space="preserve">ガツ </t>
    </rPh>
    <phoneticPr fontId="2"/>
  </si>
  <si>
    <t>5月</t>
    <rPh sb="1" eb="2">
      <t xml:space="preserve">ガツ </t>
    </rPh>
    <phoneticPr fontId="2"/>
  </si>
  <si>
    <t>6月</t>
    <rPh sb="1" eb="2">
      <t xml:space="preserve">ガツ </t>
    </rPh>
    <phoneticPr fontId="2"/>
  </si>
  <si>
    <t>7月</t>
    <rPh sb="1" eb="2">
      <t xml:space="preserve">ガツ </t>
    </rPh>
    <phoneticPr fontId="2"/>
  </si>
  <si>
    <t>8月</t>
    <rPh sb="1" eb="2">
      <t xml:space="preserve">ガツ </t>
    </rPh>
    <phoneticPr fontId="2"/>
  </si>
  <si>
    <t>9月</t>
    <rPh sb="1" eb="2">
      <t xml:space="preserve">ガツ </t>
    </rPh>
    <phoneticPr fontId="2"/>
  </si>
  <si>
    <t>10月</t>
    <rPh sb="2" eb="3">
      <t xml:space="preserve">ガツ </t>
    </rPh>
    <phoneticPr fontId="2"/>
  </si>
  <si>
    <t>11月</t>
    <rPh sb="2" eb="3">
      <t xml:space="preserve">ガツ </t>
    </rPh>
    <phoneticPr fontId="2"/>
  </si>
  <si>
    <t>12月</t>
    <rPh sb="2" eb="3">
      <t xml:space="preserve">ガツ </t>
    </rPh>
    <phoneticPr fontId="2"/>
  </si>
  <si>
    <t>支出額</t>
    <rPh sb="0" eb="3">
      <t xml:space="preserve">シシュツガク </t>
    </rPh>
    <phoneticPr fontId="2"/>
  </si>
  <si>
    <t>原価率</t>
    <rPh sb="0" eb="1">
      <t xml:space="preserve">ゲンカリツ </t>
    </rPh>
    <phoneticPr fontId="2"/>
  </si>
  <si>
    <t>支出</t>
    <rPh sb="0" eb="2">
      <t xml:space="preserve">シシュツ </t>
    </rPh>
    <phoneticPr fontId="2"/>
  </si>
  <si>
    <t>家賃◉</t>
    <rPh sb="0" eb="2">
      <t>ヤチン</t>
    </rPh>
    <phoneticPr fontId="16"/>
  </si>
  <si>
    <t>人件費(社員)</t>
    <rPh sb="0" eb="3">
      <t xml:space="preserve">ジンケンヒ </t>
    </rPh>
    <rPh sb="4" eb="6">
      <t xml:space="preserve">シャイン </t>
    </rPh>
    <phoneticPr fontId="2"/>
  </si>
  <si>
    <t>音楽費（バンド）◉</t>
    <rPh sb="0" eb="2">
      <t>オンガク</t>
    </rPh>
    <rPh sb="2" eb="3">
      <t>ヒ</t>
    </rPh>
    <phoneticPr fontId="16"/>
  </si>
  <si>
    <t>植木◉</t>
    <rPh sb="0" eb="2">
      <t>ウエキ</t>
    </rPh>
    <phoneticPr fontId="16"/>
  </si>
  <si>
    <t>町会費◉</t>
    <rPh sb="0" eb="1">
      <t>チョウ</t>
    </rPh>
    <rPh sb="1" eb="3">
      <t>カイヒ</t>
    </rPh>
    <phoneticPr fontId="16"/>
  </si>
  <si>
    <t>害虫駆除費用◉</t>
    <rPh sb="0" eb="2">
      <t>ガイチュウ</t>
    </rPh>
    <rPh sb="2" eb="4">
      <t>クジョ</t>
    </rPh>
    <rPh sb="4" eb="6">
      <t>ヒヨウ</t>
    </rPh>
    <phoneticPr fontId="16"/>
  </si>
  <si>
    <t>修繕費◉</t>
    <rPh sb="0" eb="3">
      <t>シュウゼンヒ</t>
    </rPh>
    <phoneticPr fontId="16"/>
  </si>
  <si>
    <t>リース料（厨房・レジ）◉</t>
    <rPh sb="3" eb="4">
      <t>リョウ</t>
    </rPh>
    <rPh sb="5" eb="7">
      <t>チュウボウ</t>
    </rPh>
    <phoneticPr fontId="16"/>
  </si>
  <si>
    <t>有線放送（ＢＧＭ）◉</t>
    <rPh sb="0" eb="2">
      <t>ユウセン</t>
    </rPh>
    <rPh sb="2" eb="4">
      <t>ホウソウ</t>
    </rPh>
    <phoneticPr fontId="16"/>
  </si>
  <si>
    <t>Table Check◉</t>
    <phoneticPr fontId="2"/>
  </si>
  <si>
    <t>アルソック◉</t>
    <phoneticPr fontId="16"/>
  </si>
  <si>
    <t>償却資産税</t>
    <rPh sb="0" eb="2">
      <t>ショウキャク</t>
    </rPh>
    <rPh sb="2" eb="5">
      <t>シサンゼイ</t>
    </rPh>
    <phoneticPr fontId="16"/>
  </si>
  <si>
    <t>減価償却費（想定）</t>
    <rPh sb="0" eb="2">
      <t>ゲンカ</t>
    </rPh>
    <rPh sb="2" eb="4">
      <t>ショウキャク</t>
    </rPh>
    <rPh sb="4" eb="5">
      <t>ヒ</t>
    </rPh>
    <rPh sb="6" eb="8">
      <t>ソウテイ</t>
    </rPh>
    <phoneticPr fontId="16"/>
  </si>
  <si>
    <t>店舗用損害賠償保険</t>
    <rPh sb="0" eb="2">
      <t>テンポ</t>
    </rPh>
    <rPh sb="2" eb="3">
      <t>ヨウ</t>
    </rPh>
    <rPh sb="3" eb="5">
      <t>ソンガイ</t>
    </rPh>
    <rPh sb="5" eb="7">
      <t>バイショウ</t>
    </rPh>
    <rPh sb="7" eb="9">
      <t>ホケン</t>
    </rPh>
    <phoneticPr fontId="16"/>
  </si>
  <si>
    <t>社会保険料</t>
    <rPh sb="0" eb="2">
      <t>シャカイ</t>
    </rPh>
    <rPh sb="2" eb="5">
      <t>ホケンリョウ</t>
    </rPh>
    <phoneticPr fontId="16"/>
  </si>
  <si>
    <t>変動費</t>
    <rPh sb="0" eb="1">
      <t xml:space="preserve">ヘンドウヒ </t>
    </rPh>
    <phoneticPr fontId="2"/>
  </si>
  <si>
    <t>★仕入（食材）◉</t>
    <rPh sb="1" eb="3">
      <t>シイレ</t>
    </rPh>
    <rPh sb="4" eb="5">
      <t>ショクザイ</t>
    </rPh>
    <phoneticPr fontId="16"/>
  </si>
  <si>
    <t>★仕入（備品・消耗品）◉</t>
    <rPh sb="1" eb="3">
      <t>シイレ</t>
    </rPh>
    <rPh sb="4" eb="6">
      <t>ビヒン</t>
    </rPh>
    <rPh sb="7" eb="9">
      <t>ショウモウ</t>
    </rPh>
    <rPh sb="9" eb="10">
      <t>ヒン</t>
    </rPh>
    <phoneticPr fontId="16"/>
  </si>
  <si>
    <t>★雑費（小口精算等）◉</t>
    <rPh sb="1" eb="3">
      <t>ザッピ</t>
    </rPh>
    <rPh sb="4" eb="6">
      <t>コグチ</t>
    </rPh>
    <rPh sb="6" eb="8">
      <t>セイサン</t>
    </rPh>
    <rPh sb="8" eb="9">
      <t>トウ</t>
    </rPh>
    <phoneticPr fontId="16"/>
  </si>
  <si>
    <t>★メンテナンス料（ﾊﾝﾃﾞｨ・ｺｰﾋｰﾒｰｶｰ）◉</t>
    <rPh sb="7" eb="8">
      <t>リョウ</t>
    </rPh>
    <phoneticPr fontId="16"/>
  </si>
  <si>
    <t>★電気◉</t>
    <rPh sb="1" eb="3">
      <t>デンキ</t>
    </rPh>
    <phoneticPr fontId="16"/>
  </si>
  <si>
    <t>★ガス◉</t>
    <phoneticPr fontId="16"/>
  </si>
  <si>
    <t>★水道◉</t>
    <rPh sb="1" eb="3">
      <t>スイドウ</t>
    </rPh>
    <phoneticPr fontId="16"/>
  </si>
  <si>
    <t>★産廃処理費◉</t>
    <rPh sb="1" eb="3">
      <t>サンパイ</t>
    </rPh>
    <rPh sb="3" eb="5">
      <t>ショリ</t>
    </rPh>
    <rPh sb="5" eb="6">
      <t>ヒ</t>
    </rPh>
    <phoneticPr fontId="16"/>
  </si>
  <si>
    <t>★クレジットカード手数料◉</t>
    <rPh sb="9" eb="12">
      <t>テスウリョウ</t>
    </rPh>
    <phoneticPr fontId="16"/>
  </si>
  <si>
    <t>★人件費(アルバイト)</t>
    <rPh sb="1" eb="4">
      <t xml:space="preserve">ジンケンヒ </t>
    </rPh>
    <phoneticPr fontId="16"/>
  </si>
  <si>
    <t>広告宣伝費◉</t>
    <rPh sb="0" eb="2">
      <t>コウコク</t>
    </rPh>
    <rPh sb="2" eb="5">
      <t>センデンヒ</t>
    </rPh>
    <phoneticPr fontId="16"/>
  </si>
  <si>
    <t>通信費（電話・振込手数料）◉</t>
    <rPh sb="0" eb="3">
      <t>ツウシンヒ</t>
    </rPh>
    <rPh sb="4" eb="6">
      <t>デンワ</t>
    </rPh>
    <rPh sb="7" eb="9">
      <t>フリコミ</t>
    </rPh>
    <rPh sb="9" eb="12">
      <t>テスウリョウ</t>
    </rPh>
    <phoneticPr fontId="16"/>
  </si>
  <si>
    <t>被服費◉</t>
    <rPh sb="0" eb="3">
      <t>ヒフクヒ</t>
    </rPh>
    <phoneticPr fontId="16"/>
  </si>
  <si>
    <t>本部費用</t>
    <rPh sb="0" eb="2">
      <t>ホンブ</t>
    </rPh>
    <rPh sb="2" eb="4">
      <t>ヒヨウ</t>
    </rPh>
    <phoneticPr fontId="16"/>
  </si>
  <si>
    <t>雇用保険料</t>
    <rPh sb="0" eb="2">
      <t>コヨウ</t>
    </rPh>
    <rPh sb="2" eb="4">
      <t>ホケン</t>
    </rPh>
    <rPh sb="4" eb="5">
      <t>リョウ</t>
    </rPh>
    <phoneticPr fontId="16"/>
  </si>
  <si>
    <t>労災保険料</t>
    <rPh sb="0" eb="2">
      <t>ロウサイ</t>
    </rPh>
    <rPh sb="2" eb="5">
      <t>ホケンリョウ</t>
    </rPh>
    <phoneticPr fontId="16"/>
  </si>
  <si>
    <t>消費税（想定）</t>
    <rPh sb="0" eb="3">
      <t>ショウヒゼイ</t>
    </rPh>
    <rPh sb="4" eb="6">
      <t>ソウテイ</t>
    </rPh>
    <phoneticPr fontId="16"/>
  </si>
  <si>
    <t>小計</t>
    <rPh sb="0" eb="2">
      <t>ショウケイ</t>
    </rPh>
    <phoneticPr fontId="16"/>
  </si>
  <si>
    <t>利益①</t>
    <rPh sb="0" eb="2">
      <t>リエキ</t>
    </rPh>
    <phoneticPr fontId="16"/>
  </si>
  <si>
    <t>累計利益</t>
    <rPh sb="0" eb="2">
      <t xml:space="preserve">ルイケイ </t>
    </rPh>
    <rPh sb="2" eb="4">
      <t>リエキ</t>
    </rPh>
    <phoneticPr fontId="16"/>
  </si>
  <si>
    <t>固定資産計上費用</t>
    <rPh sb="0" eb="2">
      <t>コテイ</t>
    </rPh>
    <rPh sb="2" eb="4">
      <t>シサン</t>
    </rPh>
    <rPh sb="4" eb="6">
      <t>ケイジョウ</t>
    </rPh>
    <rPh sb="6" eb="8">
      <t>ヒヨウ</t>
    </rPh>
    <phoneticPr fontId="16"/>
  </si>
  <si>
    <t>適正原価率＆人件費シュミレーション</t>
    <rPh sb="0" eb="2">
      <t xml:space="preserve">テキセイ </t>
    </rPh>
    <rPh sb="2" eb="5">
      <t xml:space="preserve">ゲンカリツ </t>
    </rPh>
    <phoneticPr fontId="2"/>
  </si>
  <si>
    <t>利益率</t>
    <rPh sb="0" eb="3">
      <t xml:space="preserve">リエキリツ </t>
    </rPh>
    <phoneticPr fontId="2"/>
  </si>
  <si>
    <t>社員人件費</t>
    <rPh sb="0" eb="5">
      <t xml:space="preserve">シャインジンケンヒ </t>
    </rPh>
    <phoneticPr fontId="2"/>
  </si>
  <si>
    <t>アルバイト人件費</t>
    <rPh sb="5" eb="8">
      <t xml:space="preserve">ジンケンヒ </t>
    </rPh>
    <phoneticPr fontId="2"/>
  </si>
  <si>
    <t>労働分配率</t>
    <rPh sb="0" eb="5">
      <t>ロウドウブ</t>
    </rPh>
    <phoneticPr fontId="2"/>
  </si>
  <si>
    <t>食材仕入費</t>
    <rPh sb="4" eb="5">
      <t xml:space="preserve">ヒ </t>
    </rPh>
    <phoneticPr fontId="2"/>
  </si>
  <si>
    <t>社員人件費計算表</t>
    <rPh sb="0" eb="5">
      <t xml:space="preserve">シャインジンケンヒ </t>
    </rPh>
    <rPh sb="5" eb="8">
      <t xml:space="preserve">ケイサンヒョウ </t>
    </rPh>
    <phoneticPr fontId="16"/>
  </si>
  <si>
    <t>額面として</t>
    <rPh sb="0" eb="2">
      <t xml:space="preserve">ガクメン </t>
    </rPh>
    <phoneticPr fontId="16"/>
  </si>
  <si>
    <t>3月</t>
    <rPh sb="1" eb="2">
      <t xml:space="preserve">ガツ </t>
    </rPh>
    <phoneticPr fontId="2"/>
  </si>
  <si>
    <t>月次平均%(繁閑期)</t>
    <rPh sb="2" eb="4">
      <t xml:space="preserve">ヘイキン </t>
    </rPh>
    <rPh sb="6" eb="9">
      <t xml:space="preserve">ハンカンキ </t>
    </rPh>
    <phoneticPr fontId="2"/>
  </si>
  <si>
    <t>月</t>
    <rPh sb="0" eb="1">
      <t xml:space="preserve">ツキ </t>
    </rPh>
    <phoneticPr fontId="2"/>
  </si>
  <si>
    <t>曜日</t>
    <rPh sb="0" eb="2">
      <t xml:space="preserve">ヨウビ </t>
    </rPh>
    <phoneticPr fontId="2"/>
  </si>
  <si>
    <t>実質曜日平均売上</t>
    <rPh sb="0" eb="2">
      <t xml:space="preserve">ジッシツ </t>
    </rPh>
    <rPh sb="2" eb="4">
      <t xml:space="preserve">ヨウビ </t>
    </rPh>
    <rPh sb="4" eb="6">
      <t xml:space="preserve">ヘイキン </t>
    </rPh>
    <rPh sb="6" eb="8">
      <t xml:space="preserve">ウリアゲ </t>
    </rPh>
    <phoneticPr fontId="2"/>
  </si>
  <si>
    <t>曜日回数</t>
    <rPh sb="0" eb="2">
      <t xml:space="preserve">ヨウビ </t>
    </rPh>
    <rPh sb="2" eb="4">
      <t xml:space="preserve">カイスウ </t>
    </rPh>
    <phoneticPr fontId="2"/>
  </si>
  <si>
    <t>曜日毎目標売上額</t>
    <rPh sb="0" eb="2">
      <t xml:space="preserve">ヨウビ </t>
    </rPh>
    <rPh sb="2" eb="3">
      <t xml:space="preserve">ゴト </t>
    </rPh>
    <rPh sb="3" eb="5">
      <t xml:space="preserve">モクヒョウ </t>
    </rPh>
    <rPh sb="5" eb="8">
      <t xml:space="preserve">ウリアゲガク </t>
    </rPh>
    <phoneticPr fontId="2"/>
  </si>
  <si>
    <t>曜日毎トータル額</t>
    <rPh sb="0" eb="3">
      <t xml:space="preserve">ヨウビゴト </t>
    </rPh>
    <rPh sb="7" eb="8">
      <t xml:space="preserve">ガク </t>
    </rPh>
    <phoneticPr fontId="2"/>
  </si>
  <si>
    <t>mon</t>
    <phoneticPr fontId="2"/>
  </si>
  <si>
    <t>21〜51</t>
    <phoneticPr fontId="2"/>
  </si>
  <si>
    <t>tue</t>
    <phoneticPr fontId="2"/>
  </si>
  <si>
    <t>wed</t>
    <phoneticPr fontId="2"/>
  </si>
  <si>
    <t>thu</t>
    <phoneticPr fontId="2"/>
  </si>
  <si>
    <t>fri</t>
    <phoneticPr fontId="2"/>
  </si>
  <si>
    <t>sat</t>
    <phoneticPr fontId="2"/>
  </si>
  <si>
    <t>1月目標売り上げ</t>
    <rPh sb="1" eb="2">
      <t xml:space="preserve">ガツ </t>
    </rPh>
    <rPh sb="2" eb="4">
      <t xml:space="preserve">モクヒョウ </t>
    </rPh>
    <rPh sb="4" eb="5">
      <t xml:space="preserve">ウリアゲ </t>
    </rPh>
    <phoneticPr fontId="2"/>
  </si>
  <si>
    <t>sun</t>
    <phoneticPr fontId="2"/>
  </si>
  <si>
    <t>Mon</t>
  </si>
  <si>
    <t>52〜79</t>
    <phoneticPr fontId="2"/>
  </si>
  <si>
    <t>Tue</t>
  </si>
  <si>
    <t>Wed</t>
  </si>
  <si>
    <t>Thu</t>
  </si>
  <si>
    <t>Fri</t>
  </si>
  <si>
    <t>Sat</t>
  </si>
  <si>
    <t>2月目標売り上げ</t>
    <rPh sb="1" eb="2">
      <t xml:space="preserve">ガツ </t>
    </rPh>
    <rPh sb="2" eb="4">
      <t xml:space="preserve">モクヒョウ </t>
    </rPh>
    <rPh sb="4" eb="5">
      <t xml:space="preserve">ウリアゲ </t>
    </rPh>
    <phoneticPr fontId="2"/>
  </si>
  <si>
    <t>Sun</t>
  </si>
  <si>
    <t>80〜110</t>
    <phoneticPr fontId="2"/>
  </si>
  <si>
    <t>3月目標売り上げ</t>
    <rPh sb="1" eb="2">
      <t xml:space="preserve">ガツ </t>
    </rPh>
    <rPh sb="2" eb="4">
      <t xml:space="preserve">モクヒョウ </t>
    </rPh>
    <rPh sb="4" eb="5">
      <t xml:space="preserve">ウリアゲ </t>
    </rPh>
    <phoneticPr fontId="2"/>
  </si>
  <si>
    <t>111〜140</t>
    <phoneticPr fontId="2"/>
  </si>
  <si>
    <t>4月目標売り上げ</t>
    <rPh sb="1" eb="2">
      <t xml:space="preserve">ガツ </t>
    </rPh>
    <rPh sb="2" eb="4">
      <t xml:space="preserve">モクヒョウ </t>
    </rPh>
    <rPh sb="4" eb="5">
      <t xml:space="preserve">ウリアゲ </t>
    </rPh>
    <phoneticPr fontId="2"/>
  </si>
  <si>
    <t>141〜171</t>
    <phoneticPr fontId="2"/>
  </si>
  <si>
    <t>5月目標売り上げ</t>
    <rPh sb="1" eb="2">
      <t xml:space="preserve">ガツ </t>
    </rPh>
    <rPh sb="2" eb="4">
      <t xml:space="preserve">モクヒョウ </t>
    </rPh>
    <rPh sb="4" eb="5">
      <t xml:space="preserve">ウリアゲ </t>
    </rPh>
    <phoneticPr fontId="2"/>
  </si>
  <si>
    <t>172〜201</t>
    <phoneticPr fontId="2"/>
  </si>
  <si>
    <t>6月目標売り上げ</t>
    <rPh sb="1" eb="2">
      <t xml:space="preserve">ガツ </t>
    </rPh>
    <rPh sb="2" eb="4">
      <t xml:space="preserve">モクヒョウ </t>
    </rPh>
    <rPh sb="4" eb="5">
      <t xml:space="preserve">ウリアゲ </t>
    </rPh>
    <phoneticPr fontId="2"/>
  </si>
  <si>
    <t>202〜232</t>
    <phoneticPr fontId="2"/>
  </si>
  <si>
    <t>7月目標売り上げ</t>
    <rPh sb="1" eb="2">
      <t xml:space="preserve">ガツ </t>
    </rPh>
    <rPh sb="2" eb="4">
      <t xml:space="preserve">モクヒョウ </t>
    </rPh>
    <rPh sb="4" eb="5">
      <t xml:space="preserve">ウリアゲ </t>
    </rPh>
    <phoneticPr fontId="2"/>
  </si>
  <si>
    <t>233〜263</t>
    <phoneticPr fontId="2"/>
  </si>
  <si>
    <t>8月目標売り上げ</t>
    <rPh sb="1" eb="2">
      <t xml:space="preserve">ガツ </t>
    </rPh>
    <rPh sb="2" eb="4">
      <t xml:space="preserve">モクヒョウ </t>
    </rPh>
    <rPh sb="4" eb="5">
      <t xml:space="preserve">ウリアゲ </t>
    </rPh>
    <phoneticPr fontId="2"/>
  </si>
  <si>
    <t>264〜293</t>
    <phoneticPr fontId="2"/>
  </si>
  <si>
    <t>9月目標売り上げ</t>
    <rPh sb="1" eb="2">
      <t xml:space="preserve">ガツ </t>
    </rPh>
    <rPh sb="2" eb="4">
      <t xml:space="preserve">モクヒョウ </t>
    </rPh>
    <rPh sb="4" eb="5">
      <t xml:space="preserve">ウリアゲ </t>
    </rPh>
    <phoneticPr fontId="2"/>
  </si>
  <si>
    <t>294〜324</t>
    <phoneticPr fontId="2"/>
  </si>
  <si>
    <t>10月目標売り上げ</t>
    <rPh sb="2" eb="3">
      <t xml:space="preserve">ガツ </t>
    </rPh>
    <rPh sb="3" eb="5">
      <t xml:space="preserve">モクヒョウ </t>
    </rPh>
    <rPh sb="5" eb="6">
      <t xml:space="preserve">ウリアゲ </t>
    </rPh>
    <phoneticPr fontId="2"/>
  </si>
  <si>
    <t>325〜354</t>
    <phoneticPr fontId="2"/>
  </si>
  <si>
    <t>11月目標売り上げ</t>
    <rPh sb="2" eb="3">
      <t xml:space="preserve">ガツ </t>
    </rPh>
    <rPh sb="3" eb="5">
      <t xml:space="preserve">モクヒョウ </t>
    </rPh>
    <rPh sb="5" eb="6">
      <t xml:space="preserve">ウリアゲ </t>
    </rPh>
    <phoneticPr fontId="2"/>
  </si>
  <si>
    <t>355〜385</t>
    <phoneticPr fontId="2"/>
  </si>
  <si>
    <t>12月目標売り上げ</t>
    <rPh sb="2" eb="3">
      <t xml:space="preserve">ガツ </t>
    </rPh>
    <rPh sb="3" eb="5">
      <t xml:space="preserve">モクヒョウ </t>
    </rPh>
    <rPh sb="5" eb="6">
      <t xml:space="preserve">ウリアゲ </t>
    </rPh>
    <phoneticPr fontId="2"/>
  </si>
  <si>
    <t>平均売上</t>
    <rPh sb="0" eb="2">
      <t xml:space="preserve">ヘイキン </t>
    </rPh>
    <rPh sb="2" eb="4">
      <t xml:space="preserve">ウリアゲ </t>
    </rPh>
    <phoneticPr fontId="2"/>
  </si>
  <si>
    <t>曜日合計額</t>
    <rPh sb="0" eb="2">
      <t xml:space="preserve">ヨウビ </t>
    </rPh>
    <rPh sb="2" eb="4">
      <t xml:space="preserve">ゴウケイ </t>
    </rPh>
    <rPh sb="4" eb="5">
      <t xml:space="preserve">ガク </t>
    </rPh>
    <phoneticPr fontId="2"/>
  </si>
  <si>
    <t>加重比率</t>
    <rPh sb="0" eb="2">
      <t xml:space="preserve">カジュウ </t>
    </rPh>
    <rPh sb="2" eb="4">
      <t xml:space="preserve">ヒリツ </t>
    </rPh>
    <phoneticPr fontId="2"/>
  </si>
  <si>
    <t>月</t>
    <rPh sb="0" eb="1">
      <t xml:space="preserve">ゲツ </t>
    </rPh>
    <phoneticPr fontId="2"/>
  </si>
  <si>
    <t>火</t>
    <rPh sb="0" eb="1">
      <t xml:space="preserve">カ </t>
    </rPh>
    <phoneticPr fontId="2"/>
  </si>
  <si>
    <t>水</t>
    <rPh sb="0" eb="1">
      <t xml:space="preserve">スイ </t>
    </rPh>
    <phoneticPr fontId="2"/>
  </si>
  <si>
    <t>木</t>
    <rPh sb="0" eb="1">
      <t xml:space="preserve">モク </t>
    </rPh>
    <phoneticPr fontId="2"/>
  </si>
  <si>
    <t>金</t>
    <rPh sb="0" eb="1">
      <t xml:space="preserve">キン </t>
    </rPh>
    <phoneticPr fontId="2"/>
  </si>
  <si>
    <t>土</t>
    <rPh sb="0" eb="1">
      <t xml:space="preserve">ド </t>
    </rPh>
    <phoneticPr fontId="2"/>
  </si>
  <si>
    <t>日</t>
    <rPh sb="0" eb="1">
      <t xml:space="preserve">ニチ </t>
    </rPh>
    <phoneticPr fontId="2"/>
  </si>
  <si>
    <t>51〜79</t>
    <phoneticPr fontId="2"/>
  </si>
  <si>
    <t>プラナバルカ</t>
    <phoneticPr fontId="2"/>
  </si>
  <si>
    <t>目標売上</t>
    <rPh sb="0" eb="2">
      <t xml:space="preserve">モクヒョウ </t>
    </rPh>
    <rPh sb="2" eb="4">
      <t xml:space="preserve">ウリアゲ </t>
    </rPh>
    <phoneticPr fontId="2"/>
  </si>
  <si>
    <t>傾向</t>
    <rPh sb="0" eb="2">
      <t xml:space="preserve">ケイコウ </t>
    </rPh>
    <phoneticPr fontId="2"/>
  </si>
  <si>
    <t>対策考察</t>
    <rPh sb="0" eb="2">
      <t xml:space="preserve">タイサク </t>
    </rPh>
    <rPh sb="2" eb="4">
      <t xml:space="preserve">コウサツ </t>
    </rPh>
    <phoneticPr fontId="2"/>
  </si>
  <si>
    <t>ランチ・ディナーともに客数は安定傾向。売上は全体平均よりやや下回るが、曜日内ではバランスの取れた動きが見られる。ランチ構成比が高め。</t>
    <phoneticPr fontId="2"/>
  </si>
  <si>
    <t>週のスタートとして安心感を訴求する投稿が有効。ディナーの客単価は高めな一方、客数は少ないため、リピート促進や「月曜限定メニュー」などで来店動機づけを強化。</t>
    <phoneticPr fontId="2"/>
  </si>
  <si>
    <t>全体平均を下回る売上水準。ディナーの客単価・客数が共に控えめで、回転率の低さが目立つ。</t>
    <phoneticPr fontId="2"/>
  </si>
  <si>
    <t>来店促進のため、SNSでのクーポンやペア割の訴求が効果的。ランチの来客数は一定のため、固定ファン向けの新メニューや限定セットで強化を図る。</t>
    <phoneticPr fontId="2"/>
  </si>
  <si>
    <t>全曜日中、最も売上が高く、ランチ・ディナー共に客単価・客数ともに好調。特にディナーの売上が突出。</t>
    <phoneticPr fontId="2"/>
  </si>
  <si>
    <t>定着需要があると推測されるため、人気メニューの再告知や満席対策が重要。週前半のピークに備えてスタッフ体制を厚めに配置。</t>
    <phoneticPr fontId="2"/>
  </si>
  <si>
    <t>平均をやや上回る水準で安定。ランチ・ディナーともに偏りなく客数が確保されている。</t>
    <phoneticPr fontId="2"/>
  </si>
  <si>
    <t>中間日としての安定運用が可能。レビュー促進やLINE登録キャンペーンなど、継続来店につながる施策を試みたい。</t>
    <phoneticPr fontId="2"/>
  </si>
  <si>
    <t>水曜に次ぐ高売上曜日。特にディナーの客数が最多であり、終末への流れによる需要の高まりが顕著。</t>
    <phoneticPr fontId="2"/>
  </si>
  <si>
    <t xml:space="preserve">ピーク帯の事前予約推奨、オペレーション効率化が必須。混雑時の待ち時間緩和策（簡易ドリンク提供等）も検討価値あり。
</t>
    <phoneticPr fontId="2"/>
  </si>
  <si>
    <t>売上は全体平均を下回るが、ランチ客単価は最も高い。客数が少ないため、単価依存の構成となっている。</t>
    <phoneticPr fontId="2"/>
  </si>
  <si>
    <t>昼飲みや記念日需要への訴求を強化。Instagramなどビジュアル訴求による週末の集客導線設計がカギ。予約なし来店の傾向も加味しつつ対応を。</t>
    <phoneticPr fontId="2"/>
  </si>
  <si>
    <t>下方修正案</t>
    <rPh sb="0" eb="4">
      <t xml:space="preserve">カホウシュウセイ </t>
    </rPh>
    <rPh sb="4" eb="5">
      <t xml:space="preserve">アン </t>
    </rPh>
    <phoneticPr fontId="2"/>
  </si>
  <si>
    <t>現状案</t>
    <rPh sb="0" eb="3">
      <t xml:space="preserve">ゲンジョウアン </t>
    </rPh>
    <phoneticPr fontId="2"/>
  </si>
  <si>
    <t>年間目標金額</t>
    <rPh sb="0" eb="6">
      <t xml:space="preserve">ネンカンモクヒョウキンガク </t>
    </rPh>
    <phoneticPr fontId="2"/>
  </si>
  <si>
    <t>日次</t>
    <rPh sb="0" eb="2">
      <t xml:space="preserve">ニチジ </t>
    </rPh>
    <phoneticPr fontId="2"/>
  </si>
  <si>
    <t>売上</t>
    <rPh sb="0" eb="2">
      <t xml:space="preserve">ウリアゲ </t>
    </rPh>
    <phoneticPr fontId="2"/>
  </si>
  <si>
    <t>月次目標売上</t>
    <rPh sb="0" eb="1">
      <t xml:space="preserve">ゲツ </t>
    </rPh>
    <rPh sb="1" eb="2">
      <t xml:space="preserve">ゲツジ </t>
    </rPh>
    <rPh sb="2" eb="4">
      <t xml:space="preserve">モクヒョウ </t>
    </rPh>
    <rPh sb="4" eb="6">
      <t xml:space="preserve">ウリアゲ </t>
    </rPh>
    <phoneticPr fontId="2"/>
  </si>
  <si>
    <t>傾向分析</t>
  </si>
  <si>
    <t>平均目標売上</t>
    <rPh sb="0" eb="2">
      <t xml:space="preserve">ヘイキン </t>
    </rPh>
    <rPh sb="2" eb="4">
      <t xml:space="preserve">モクヒョウ </t>
    </rPh>
    <rPh sb="4" eb="6">
      <t xml:space="preserve">ウリアゲ </t>
    </rPh>
    <phoneticPr fontId="2"/>
  </si>
  <si>
    <t>月次累計実績売上</t>
    <rPh sb="0" eb="1">
      <t xml:space="preserve">ゲツ </t>
    </rPh>
    <rPh sb="1" eb="2">
      <t xml:space="preserve">ネンジ </t>
    </rPh>
    <rPh sb="2" eb="4">
      <t xml:space="preserve">ルイケイ </t>
    </rPh>
    <rPh sb="4" eb="6">
      <t xml:space="preserve">ジッセキ </t>
    </rPh>
    <rPh sb="6" eb="8">
      <t xml:space="preserve">ウリアゲ </t>
    </rPh>
    <phoneticPr fontId="2"/>
  </si>
  <si>
    <t>差額</t>
    <rPh sb="0" eb="2">
      <t xml:space="preserve">サガク </t>
    </rPh>
    <phoneticPr fontId="2"/>
  </si>
  <si>
    <t>A: 月初・末が強い（中旬落ち）</t>
  </si>
  <si>
    <t>当月残営業日</t>
    <rPh sb="0" eb="2">
      <t xml:space="preserve">トウゲツ </t>
    </rPh>
    <rPh sb="3" eb="6">
      <t xml:space="preserve">エイギョウビ </t>
    </rPh>
    <phoneticPr fontId="2"/>
  </si>
  <si>
    <t>B: 月末にかけて上がる</t>
  </si>
  <si>
    <t>今月1日あたりの目標売上</t>
    <rPh sb="0" eb="2">
      <t xml:space="preserve">コンゲツ </t>
    </rPh>
    <rPh sb="3" eb="4">
      <t xml:space="preserve">ヒ </t>
    </rPh>
    <rPh sb="8" eb="10">
      <t xml:space="preserve">モクヒョウ </t>
    </rPh>
    <rPh sb="10" eb="12">
      <t xml:space="preserve">ウリアゲ </t>
    </rPh>
    <phoneticPr fontId="2"/>
  </si>
  <si>
    <t>B: 同様に右肩上がり傾向</t>
  </si>
  <si>
    <t>A: 月初も末も強く安定感あり</t>
  </si>
  <si>
    <t>月次</t>
    <rPh sb="0" eb="2">
      <t xml:space="preserve">ゲツジ </t>
    </rPh>
    <phoneticPr fontId="2"/>
  </si>
  <si>
    <t>累積売上</t>
    <rPh sb="0" eb="4">
      <t xml:space="preserve">ルイセキウリアゲ </t>
    </rPh>
    <phoneticPr fontId="2"/>
  </si>
  <si>
    <t>B: 徐々に上がる</t>
  </si>
  <si>
    <t>累積目標売上</t>
    <rPh sb="0" eb="1">
      <t xml:space="preserve">ルイセキ </t>
    </rPh>
    <rPh sb="2" eb="4">
      <t xml:space="preserve">モクヒョウ </t>
    </rPh>
    <rPh sb="4" eb="6">
      <t xml:space="preserve">ウリアゲ </t>
    </rPh>
    <phoneticPr fontId="2"/>
  </si>
  <si>
    <t>年間営業日数</t>
    <rPh sb="0" eb="2">
      <t xml:space="preserve">ネンカン </t>
    </rPh>
    <rPh sb="2" eb="6">
      <t xml:space="preserve">エイギョウニッスウ </t>
    </rPh>
    <phoneticPr fontId="2"/>
  </si>
  <si>
    <t>分類</t>
  </si>
  <si>
    <t>説明</t>
  </si>
  <si>
    <t>A: 初・末が強い</t>
  </si>
  <si>
    <t>月初・月末の売上が高く、中旬が落ちるパターン</t>
  </si>
  <si>
    <t>直近までの営業日数</t>
    <rPh sb="0" eb="2">
      <t xml:space="preserve">チョッキン </t>
    </rPh>
    <rPh sb="4" eb="5">
      <t>ノ</t>
    </rPh>
    <rPh sb="5" eb="9">
      <t xml:space="preserve">エイギョウニッスウ </t>
    </rPh>
    <phoneticPr fontId="2"/>
  </si>
  <si>
    <t>月初が弱く、末に向かって売上が上がる</t>
  </si>
  <si>
    <t>C: 平均的 or 中旬強い</t>
  </si>
  <si>
    <t>大きな偏りがない or 中旬が強いパターン</t>
  </si>
  <si>
    <t>年次</t>
    <rPh sb="0" eb="2">
      <t xml:space="preserve">ネンジ </t>
    </rPh>
    <phoneticPr fontId="2"/>
  </si>
  <si>
    <t>今年の今までの営業日平均売上</t>
    <rPh sb="0" eb="2">
      <t xml:space="preserve">コトシ </t>
    </rPh>
    <rPh sb="3" eb="4">
      <t xml:space="preserve">イママデノ </t>
    </rPh>
    <rPh sb="7" eb="9">
      <t xml:space="preserve">エイギョウ </t>
    </rPh>
    <rPh sb="9" eb="10">
      <t xml:space="preserve">ヒ </t>
    </rPh>
    <rPh sb="10" eb="12">
      <t xml:space="preserve">ヘイキン </t>
    </rPh>
    <rPh sb="12" eb="14">
      <t xml:space="preserve">ウリアゲ </t>
    </rPh>
    <phoneticPr fontId="2"/>
  </si>
  <si>
    <t>今年の残営業日数での売上</t>
    <rPh sb="0" eb="1">
      <t xml:space="preserve">コトシノ </t>
    </rPh>
    <rPh sb="3" eb="8">
      <t xml:space="preserve">ザンエイギョウニッスウ </t>
    </rPh>
    <rPh sb="10" eb="12">
      <t xml:space="preserve">ウリアゲ </t>
    </rPh>
    <phoneticPr fontId="2"/>
  </si>
  <si>
    <t>年次目標売上</t>
    <rPh sb="0" eb="2">
      <t xml:space="preserve">ネンジ </t>
    </rPh>
    <rPh sb="2" eb="4">
      <t xml:space="preserve">モクヒョウ </t>
    </rPh>
    <rPh sb="4" eb="6">
      <t xml:space="preserve">ウリアゲ </t>
    </rPh>
    <phoneticPr fontId="2"/>
  </si>
  <si>
    <t>目標達成までの残額</t>
    <rPh sb="0" eb="2">
      <t xml:space="preserve">モクヒョウ </t>
    </rPh>
    <rPh sb="2" eb="4">
      <t xml:space="preserve">タッセイ </t>
    </rPh>
    <rPh sb="7" eb="9">
      <t xml:space="preserve">ザンガク </t>
    </rPh>
    <phoneticPr fontId="2"/>
  </si>
  <si>
    <t>今年の残営業日数</t>
    <rPh sb="0" eb="2">
      <t xml:space="preserve">コトシ </t>
    </rPh>
    <rPh sb="3" eb="4">
      <t xml:space="preserve">ザン </t>
    </rPh>
    <rPh sb="4" eb="8">
      <t xml:space="preserve">エイギョウニッスウ </t>
    </rPh>
    <phoneticPr fontId="2"/>
  </si>
  <si>
    <t>1日あたりの売上額</t>
    <rPh sb="1" eb="2">
      <t xml:space="preserve">ヒ </t>
    </rPh>
    <rPh sb="6" eb="8">
      <t xml:space="preserve">ウリアゲ </t>
    </rPh>
    <rPh sb="8" eb="9">
      <t xml:space="preserve">ガク </t>
    </rPh>
    <phoneticPr fontId="2"/>
  </si>
  <si>
    <t>年間達成率</t>
    <rPh sb="0" eb="2">
      <t xml:space="preserve">ネンカン </t>
    </rPh>
    <rPh sb="2" eb="5">
      <t xml:space="preserve">タッセイリツ </t>
    </rPh>
    <phoneticPr fontId="2"/>
  </si>
  <si>
    <t>2025年7月の情報</t>
    <rPh sb="4" eb="5">
      <t xml:space="preserve">ネン </t>
    </rPh>
    <rPh sb="6" eb="7">
      <t xml:space="preserve">ガツ </t>
    </rPh>
    <rPh sb="8" eb="10">
      <t xml:space="preserve">ジョウホウ </t>
    </rPh>
    <phoneticPr fontId="2"/>
  </si>
  <si>
    <t>出現回数</t>
  </si>
  <si>
    <t>加重比率</t>
  </si>
  <si>
    <t>曜日別割当額</t>
  </si>
  <si>
    <t>1日あたり目標</t>
  </si>
  <si>
    <t>合計</t>
  </si>
  <si>
    <r>
      <t>¥7,500,000</t>
    </r>
    <r>
      <rPr>
        <sz val="12"/>
        <color theme="1"/>
        <rFont val="メイリオ"/>
        <family val="2"/>
        <charset val="128"/>
      </rPr>
      <t xml:space="preserve"> ✔</t>
    </r>
  </si>
  <si>
    <t>—</t>
  </si>
  <si>
    <t>曜日繁閑期目標売上</t>
    <rPh sb="0" eb="2">
      <t xml:space="preserve">ヨウビ </t>
    </rPh>
    <rPh sb="2" eb="5">
      <t xml:space="preserve">ハンカンキ </t>
    </rPh>
    <rPh sb="5" eb="7">
      <t xml:space="preserve">モクヒョウ </t>
    </rPh>
    <rPh sb="7" eb="9">
      <t xml:space="preserve">ウリアゲ </t>
    </rPh>
    <phoneticPr fontId="2"/>
  </si>
  <si>
    <t>累積売上</t>
    <rPh sb="0" eb="2">
      <t xml:space="preserve">ルイセキ </t>
    </rPh>
    <rPh sb="2" eb="4">
      <t xml:space="preserve">ウリアゲ </t>
    </rPh>
    <phoneticPr fontId="2"/>
  </si>
  <si>
    <t>累積目標売上</t>
    <rPh sb="0" eb="2">
      <t xml:space="preserve">ルイセキ </t>
    </rPh>
    <rPh sb="2" eb="4">
      <t xml:space="preserve">モクヒョウ </t>
    </rPh>
    <rPh sb="4" eb="6">
      <t xml:space="preserve">ウリアゲ </t>
    </rPh>
    <phoneticPr fontId="2"/>
  </si>
  <si>
    <t>9月 曜日毎の目標売上</t>
    <rPh sb="1" eb="2">
      <t xml:space="preserve">ガツ </t>
    </rPh>
    <rPh sb="3" eb="5">
      <t xml:space="preserve">ヨウビ </t>
    </rPh>
    <rPh sb="5" eb="6">
      <t xml:space="preserve">ゴト </t>
    </rPh>
    <phoneticPr fontId="2"/>
  </si>
  <si>
    <t>実績売上額</t>
    <rPh sb="0" eb="2">
      <t xml:space="preserve">ジッセキ </t>
    </rPh>
    <rPh sb="2" eb="4">
      <t xml:space="preserve">ウリアゲ </t>
    </rPh>
    <rPh sb="4" eb="5">
      <t xml:space="preserve">ガク </t>
    </rPh>
    <phoneticPr fontId="2"/>
  </si>
  <si>
    <t>目標売上額</t>
    <rPh sb="0" eb="5">
      <t xml:space="preserve">モクヒョウガク </t>
    </rPh>
    <phoneticPr fontId="2"/>
  </si>
  <si>
    <t>平均売上額</t>
    <rPh sb="0" eb="2">
      <t xml:space="preserve">ヘイキン </t>
    </rPh>
    <rPh sb="2" eb="5">
      <t xml:space="preserve">ウリアゲガク </t>
    </rPh>
    <phoneticPr fontId="2"/>
  </si>
  <si>
    <t>平均</t>
    <rPh sb="0" eb="2">
      <t xml:space="preserve">ヘイキン </t>
    </rPh>
    <phoneticPr fontId="2"/>
  </si>
  <si>
    <t>年間合計</t>
    <rPh sb="0" eb="4">
      <t xml:space="preserve">ネンカンゴウケイ </t>
    </rPh>
    <phoneticPr fontId="2"/>
  </si>
  <si>
    <t>月次総売上</t>
    <phoneticPr fontId="2"/>
  </si>
  <si>
    <t>2024年 損益表</t>
    <rPh sb="4" eb="5">
      <t xml:space="preserve">ネン </t>
    </rPh>
    <rPh sb="6" eb="8">
      <t>ソンエキ</t>
    </rPh>
    <rPh sb="8" eb="9">
      <t>ヒョウ</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</si>
</sst>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76" formatCode="&quot;¥&quot;#,##0_);\(&quot;¥&quot;#,##0\)"/>
    <numFmt numFmtId="177" formatCode="&quot;¥&quot;#,##0_);[Red]\(&quot;¥&quot;#,##0\)"/>
    <numFmt numFmtId="178" formatCode="&quot;¥&quot;#,##0.00_);[Red]\(&quot;¥&quot;#,##0.00\)"/>
    <numFmt numFmtId="179" formatCode="yyyy&quot;年&quot;"/>
    <numFmt numFmtId="180" formatCode="&quot;¥&quot;#,##0"/>
    <numFmt numFmtId="181" formatCode="[$¥-411]#,##0"/>
    <numFmt numFmtId="182" formatCode="[$¥-411]#,##0.00;[$¥-411]#,##0.00"/>
    <numFmt numFmtId="183" formatCode="0_);[Red]\(0\)"/>
    <numFmt numFmtId="184" formatCode="m/d"/>
    <numFmt numFmtId="185" formatCode="\(ddd\)"/>
    <numFmt numFmtId="186" formatCode="[$¥-411]#,##0.00"/>
    <numFmt numFmtId="187" formatCode="m"/>
    <numFmt numFmtId="188" formatCode="ddd"/>
    <numFmt numFmtId="189" formatCode="m/d\(aaa\)"/>
    <numFmt numFmtId="190" formatCode="[$¥-411]#,##0;\-[$¥-411]#,##0"/>
    <numFmt numFmtId="191" formatCode="yyyy/m"/>
    <numFmt numFmtId="192" formatCode="#,##0_ ;[Red]\-#,##0\ "/>
    <numFmt numFmtId="193" formatCode="General&quot;月&quot;"/>
    <numFmt numFmtId="194" formatCode="\(aaa\)"/>
    <numFmt numFmtId="195" formatCode="#,##0.00_ ;[Red]\-#,##0.00\ "/>
    <numFmt numFmtId="196" formatCode="0.00_);[Red]\(0.00\)"/>
    <numFmt numFmtId="197" formatCode="[$¥-411]#,##0;[$¥-411]#,##0"/>
    <numFmt numFmtId="198" formatCode="[$¥-411]#,##0;[Red]\-[$¥-411]#,##0"/>
    <numFmt numFmtId="199" formatCode="yyyy"/>
    <numFmt numFmtId="200" formatCode="m/d;@"/>
    <numFmt numFmtId="201" formatCode="yyyy/m/d\(aaa\)"/>
    <numFmt numFmtId="202" formatCode="m&quot;月&quot;d&quot;日&quot;\(ddd\)"/>
    <numFmt numFmtId="203" formatCode="0_ "/>
  </numFmts>
  <fonts count="113">
    <font>
      <sz val="12"/>
      <color theme="1"/>
      <name val="游ゴシック"/>
      <family val="2"/>
      <charset val="128"/>
      <scheme val="minor"/>
    </font>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1"/>
      <color indexed="8"/>
      <name val="ＭＳ Ｐゴシック"/>
      <family val="3"/>
      <charset val="128"/>
    </font>
    <font>
      <sz val="10"/>
      <color theme="1"/>
      <name val="メイリオ"/>
      <family val="2"/>
      <charset val="128"/>
    </font>
    <font>
      <sz val="10"/>
      <color rgb="FF000000"/>
      <name val="メイリオ"/>
      <family val="2"/>
      <charset val="128"/>
    </font>
    <font>
      <b/>
      <sz val="26"/>
      <color rgb="FF000000"/>
      <name val="メイリオ"/>
      <family val="2"/>
      <charset val="128"/>
    </font>
    <font>
      <sz val="26"/>
      <color rgb="FF000000"/>
      <name val="メイリオ"/>
      <family val="2"/>
      <charset val="128"/>
    </font>
    <font>
      <sz val="26"/>
      <name val="メイリオ"/>
      <family val="2"/>
      <charset val="128"/>
    </font>
    <font>
      <b/>
      <sz val="13"/>
      <color rgb="FF000000"/>
      <name val="メイリオ"/>
      <family val="2"/>
      <charset val="128"/>
    </font>
    <font>
      <b/>
      <sz val="13"/>
      <color rgb="FF0000FF"/>
      <name val="メイリオ"/>
      <family val="2"/>
      <charset val="128"/>
    </font>
    <font>
      <sz val="6"/>
      <name val="游ゴシック"/>
      <family val="3"/>
      <charset val="128"/>
      <scheme val="minor"/>
    </font>
    <font>
      <sz val="10"/>
      <name val="メイリオ"/>
      <family val="2"/>
      <charset val="128"/>
    </font>
    <font>
      <b/>
      <sz val="13"/>
      <color theme="1"/>
      <name val="メイリオ"/>
      <family val="2"/>
      <charset val="128"/>
    </font>
    <font>
      <u/>
      <sz val="11"/>
      <color theme="10"/>
      <name val="ＭＳ Ｐゴシック"/>
      <family val="3"/>
      <charset val="128"/>
    </font>
    <font>
      <sz val="6"/>
      <name val="ＭＳ Ｐゴシック"/>
      <family val="3"/>
      <charset val="128"/>
    </font>
    <font>
      <b/>
      <sz val="12"/>
      <color theme="1"/>
      <name val="メイリオ"/>
      <family val="2"/>
      <charset val="128"/>
    </font>
    <font>
      <b/>
      <sz val="12"/>
      <color rgb="FF000000"/>
      <name val="メイリオ"/>
      <family val="2"/>
      <charset val="128"/>
    </font>
    <font>
      <b/>
      <sz val="14"/>
      <color rgb="FF000000"/>
      <name val="メイリオ"/>
      <family val="2"/>
      <charset val="128"/>
    </font>
    <font>
      <sz val="13"/>
      <color rgb="FFFF0000"/>
      <name val="メイリオ"/>
      <family val="2"/>
      <charset val="128"/>
    </font>
    <font>
      <sz val="12"/>
      <color rgb="FF000000"/>
      <name val="メイリオ"/>
      <family val="2"/>
      <charset val="128"/>
    </font>
    <font>
      <b/>
      <sz val="10"/>
      <color rgb="FF0000FF"/>
      <name val="メイリオ"/>
      <family val="2"/>
      <charset val="128"/>
    </font>
    <font>
      <b/>
      <sz val="11"/>
      <color theme="1"/>
      <name val="メイリオ"/>
      <family val="2"/>
      <charset val="128"/>
    </font>
    <font>
      <b/>
      <i/>
      <sz val="11"/>
      <color rgb="FF0000FF"/>
      <name val="メイリオ"/>
      <family val="2"/>
      <charset val="128"/>
    </font>
    <font>
      <b/>
      <sz val="11"/>
      <color rgb="FF000000"/>
      <name val="メイリオ"/>
      <family val="2"/>
      <charset val="128"/>
    </font>
    <font>
      <sz val="12"/>
      <color rgb="FF0000FF"/>
      <name val="メイリオ"/>
      <family val="2"/>
      <charset val="128"/>
    </font>
    <font>
      <b/>
      <i/>
      <sz val="12"/>
      <color theme="1"/>
      <name val="メイリオ"/>
      <family val="2"/>
      <charset val="128"/>
    </font>
    <font>
      <sz val="12"/>
      <color theme="1"/>
      <name val="メイリオ"/>
      <family val="2"/>
      <charset val="128"/>
    </font>
    <font>
      <b/>
      <sz val="14"/>
      <color rgb="FF0000FF"/>
      <name val="メイリオ"/>
      <family val="2"/>
      <charset val="128"/>
    </font>
    <font>
      <b/>
      <sz val="10"/>
      <color theme="1"/>
      <name val="メイリオ"/>
      <family val="2"/>
      <charset val="128"/>
    </font>
    <font>
      <sz val="12"/>
      <color indexed="8"/>
      <name val="メイリオ"/>
      <family val="2"/>
      <charset val="128"/>
    </font>
    <font>
      <sz val="11"/>
      <color indexed="8"/>
      <name val="メイリオ"/>
      <family val="2"/>
      <charset val="128"/>
    </font>
    <font>
      <b/>
      <sz val="12"/>
      <color theme="1"/>
      <name val="メイリオ"/>
      <family val="3"/>
      <charset val="128"/>
    </font>
    <font>
      <sz val="10"/>
      <color rgb="FF000000"/>
      <name val="Arial"/>
      <family val="2"/>
    </font>
    <font>
      <b/>
      <i/>
      <sz val="16"/>
      <color theme="1"/>
      <name val="メイリオ"/>
      <family val="2"/>
      <charset val="128"/>
    </font>
    <font>
      <b/>
      <i/>
      <u/>
      <sz val="16"/>
      <color theme="1"/>
      <name val="メイリオ"/>
      <family val="2"/>
      <charset val="128"/>
    </font>
    <font>
      <b/>
      <sz val="16"/>
      <color indexed="8"/>
      <name val="メイリオ"/>
      <family val="2"/>
      <charset val="128"/>
    </font>
    <font>
      <b/>
      <i/>
      <sz val="14"/>
      <color theme="1"/>
      <name val="メイリオ"/>
      <family val="2"/>
      <charset val="128"/>
    </font>
    <font>
      <b/>
      <sz val="14"/>
      <color theme="1"/>
      <name val="メイリオ"/>
      <family val="2"/>
      <charset val="128"/>
    </font>
    <font>
      <sz val="11"/>
      <name val="メイリオ"/>
      <family val="2"/>
      <charset val="128"/>
    </font>
    <font>
      <sz val="13"/>
      <color rgb="FF000000"/>
      <name val="メイリオ"/>
      <family val="2"/>
      <charset val="128"/>
    </font>
    <font>
      <sz val="13"/>
      <color theme="1"/>
      <name val="メイリオ"/>
      <family val="2"/>
      <charset val="128"/>
    </font>
    <font>
      <b/>
      <sz val="11"/>
      <color rgb="FF0000FF"/>
      <name val="メイリオ"/>
      <family val="2"/>
      <charset val="128"/>
    </font>
    <font>
      <b/>
      <i/>
      <sz val="10"/>
      <color rgb="FF0000FF"/>
      <name val="メイリオ"/>
      <family val="2"/>
      <charset val="128"/>
    </font>
    <font>
      <b/>
      <sz val="10"/>
      <color rgb="FF000000"/>
      <name val="メイリオ"/>
      <family val="2"/>
      <charset val="128"/>
    </font>
    <font>
      <b/>
      <i/>
      <u/>
      <sz val="12"/>
      <color theme="1"/>
      <name val="メイリオ"/>
      <family val="2"/>
      <charset val="128"/>
    </font>
    <font>
      <b/>
      <sz val="26"/>
      <color indexed="8"/>
      <name val="メイリオ"/>
      <family val="2"/>
      <charset val="128"/>
    </font>
    <font>
      <b/>
      <sz val="28"/>
      <color indexed="8"/>
      <name val="メイリオ"/>
      <family val="2"/>
      <charset val="128"/>
    </font>
    <font>
      <b/>
      <sz val="20"/>
      <color indexed="8"/>
      <name val="メイリオ"/>
      <family val="2"/>
      <charset val="128"/>
    </font>
    <font>
      <b/>
      <sz val="36"/>
      <color indexed="8"/>
      <name val="メイリオ"/>
      <family val="2"/>
      <charset val="128"/>
    </font>
    <font>
      <b/>
      <sz val="20"/>
      <color theme="0"/>
      <name val="メイリオ"/>
      <family val="2"/>
      <charset val="128"/>
    </font>
    <font>
      <b/>
      <sz val="28"/>
      <color theme="0"/>
      <name val="メイリオ"/>
      <family val="2"/>
      <charset val="128"/>
    </font>
    <font>
      <b/>
      <sz val="18"/>
      <color indexed="8"/>
      <name val="メイリオ"/>
      <family val="2"/>
      <charset val="128"/>
    </font>
    <font>
      <b/>
      <sz val="11"/>
      <color indexed="8"/>
      <name val="メイリオ"/>
      <family val="2"/>
      <charset val="128"/>
    </font>
    <font>
      <sz val="10"/>
      <color indexed="8"/>
      <name val="メイリオ"/>
      <family val="2"/>
      <charset val="128"/>
    </font>
    <font>
      <sz val="13"/>
      <color indexed="8"/>
      <name val="メイリオ"/>
      <family val="2"/>
      <charset val="128"/>
    </font>
    <font>
      <b/>
      <i/>
      <sz val="16"/>
      <color indexed="8"/>
      <name val="メイリオ"/>
      <family val="2"/>
      <charset val="128"/>
    </font>
    <font>
      <b/>
      <sz val="10"/>
      <color indexed="8"/>
      <name val="メイリオ"/>
      <family val="2"/>
      <charset val="128"/>
    </font>
    <font>
      <b/>
      <sz val="14"/>
      <color indexed="8"/>
      <name val="メイリオ"/>
      <family val="2"/>
      <charset val="128"/>
    </font>
    <font>
      <sz val="14"/>
      <color indexed="8"/>
      <name val="メイリオ"/>
      <family val="2"/>
      <charset val="128"/>
    </font>
    <font>
      <sz val="14"/>
      <color rgb="FF000000"/>
      <name val="メイリオ"/>
      <family val="2"/>
      <charset val="128"/>
    </font>
    <font>
      <sz val="11"/>
      <color theme="1"/>
      <name val="游ゴシック"/>
      <family val="2"/>
      <charset val="128"/>
      <scheme val="minor"/>
    </font>
    <font>
      <sz val="11"/>
      <color theme="1"/>
      <name val="メイリオ"/>
      <family val="2"/>
      <charset val="128"/>
    </font>
    <font>
      <sz val="12"/>
      <color theme="1"/>
      <name val="Arial"/>
      <family val="2"/>
    </font>
    <font>
      <sz val="14"/>
      <color theme="1"/>
      <name val="メイリオ"/>
      <family val="2"/>
      <charset val="128"/>
    </font>
    <font>
      <sz val="16"/>
      <color theme="1"/>
      <name val="メイリオ"/>
      <family val="2"/>
      <charset val="128"/>
    </font>
    <font>
      <b/>
      <sz val="10"/>
      <name val="ＭＳ Ｐゴシック"/>
      <family val="3"/>
      <charset val="128"/>
    </font>
    <font>
      <sz val="16"/>
      <color theme="1"/>
      <name val="ＭＳ Ｐゴシック (本文)"/>
      <family val="3"/>
      <charset val="128"/>
    </font>
    <font>
      <sz val="20"/>
      <name val="游ゴシック"/>
      <family val="2"/>
      <charset val="128"/>
      <scheme val="minor"/>
    </font>
    <font>
      <sz val="16"/>
      <name val="ＭＳ Ｐゴシック (本文)"/>
      <family val="3"/>
      <charset val="128"/>
    </font>
    <font>
      <b/>
      <sz val="16"/>
      <color theme="1"/>
      <name val="游ゴシック"/>
      <family val="2"/>
      <charset val="128"/>
      <scheme val="minor"/>
    </font>
    <font>
      <b/>
      <sz val="11"/>
      <name val="ＭＳ Ｐゴシック"/>
      <family val="3"/>
      <charset val="128"/>
    </font>
    <font>
      <b/>
      <sz val="12"/>
      <color indexed="12"/>
      <name val="ＭＳ Ｐゴシック"/>
      <family val="3"/>
      <charset val="128"/>
    </font>
    <font>
      <b/>
      <sz val="11"/>
      <color indexed="12"/>
      <name val="ＭＳ Ｐゴシック"/>
      <family val="3"/>
      <charset val="128"/>
    </font>
    <font>
      <b/>
      <sz val="11"/>
      <name val="ＭＳ Ｐゴシック"/>
      <family val="2"/>
      <charset val="128"/>
    </font>
    <font>
      <b/>
      <sz val="14"/>
      <color rgb="FF002ADA"/>
      <name val="游ゴシック"/>
      <family val="2"/>
      <charset val="128"/>
      <scheme val="minor"/>
    </font>
    <font>
      <b/>
      <sz val="16"/>
      <color rgb="FF002ADA"/>
      <name val="游ゴシック"/>
      <family val="2"/>
      <charset val="128"/>
      <scheme val="minor"/>
    </font>
    <font>
      <b/>
      <sz val="11"/>
      <color rgb="FF002ADA"/>
      <name val="游ゴシック"/>
      <family val="2"/>
      <charset val="128"/>
      <scheme val="minor"/>
    </font>
    <font>
      <b/>
      <sz val="14"/>
      <name val="ＭＳ Ｐゴシック (本文)"/>
      <family val="3"/>
      <charset val="128"/>
    </font>
    <font>
      <b/>
      <sz val="14"/>
      <color rgb="FF002ADA"/>
      <name val="ＭＳ Ｐゴシック (本文)"/>
      <family val="3"/>
      <charset val="128"/>
    </font>
    <font>
      <sz val="14"/>
      <color theme="1"/>
      <name val="ＭＳ Ｐゴシック (本文)"/>
      <family val="3"/>
      <charset val="128"/>
    </font>
    <font>
      <sz val="14"/>
      <name val="游ゴシック"/>
      <family val="2"/>
      <charset val="128"/>
      <scheme val="minor"/>
    </font>
    <font>
      <sz val="14"/>
      <color theme="1"/>
      <name val="游ゴシック"/>
      <family val="2"/>
      <charset val="128"/>
      <scheme val="minor"/>
    </font>
    <font>
      <sz val="11"/>
      <name val="ＭＳ Ｐゴシック"/>
      <family val="2"/>
      <charset val="128"/>
    </font>
    <font>
      <b/>
      <sz val="14"/>
      <color theme="1"/>
      <name val="游ゴシック"/>
      <family val="2"/>
      <charset val="128"/>
      <scheme val="minor"/>
    </font>
    <font>
      <sz val="11"/>
      <name val="ＭＳ Ｐゴシック"/>
      <family val="3"/>
      <charset val="128"/>
    </font>
    <font>
      <sz val="11"/>
      <name val="游ゴシック"/>
      <family val="2"/>
      <charset val="128"/>
      <scheme val="minor"/>
    </font>
    <font>
      <b/>
      <sz val="11"/>
      <color indexed="17"/>
      <name val="ＭＳ Ｐゴシック"/>
      <family val="3"/>
      <charset val="128"/>
    </font>
    <font>
      <b/>
      <sz val="11"/>
      <color indexed="8"/>
      <name val="ＭＳ Ｐゴシック"/>
      <family val="3"/>
      <charset val="128"/>
    </font>
    <font>
      <b/>
      <sz val="11"/>
      <color theme="1"/>
      <name val="游ゴシック"/>
      <family val="2"/>
      <charset val="128"/>
      <scheme val="minor"/>
    </font>
    <font>
      <b/>
      <i/>
      <sz val="11"/>
      <color theme="1"/>
      <name val="游ゴシック"/>
      <family val="2"/>
      <charset val="128"/>
      <scheme val="minor"/>
    </font>
    <font>
      <sz val="11"/>
      <color theme="1"/>
      <name val="ＭＳ Ｐゴシック"/>
      <family val="2"/>
      <charset val="128"/>
    </font>
    <font>
      <sz val="9"/>
      <color rgb="FF000000"/>
      <name val="ＭＳ Ｐゴシック"/>
      <family val="2"/>
      <charset val="128"/>
    </font>
    <font>
      <sz val="9"/>
      <color indexed="81"/>
      <name val="ＭＳ Ｐゴシック"/>
      <family val="3"/>
      <charset val="128"/>
    </font>
    <font>
      <sz val="11"/>
      <color rgb="FF000000"/>
      <name val="ＭＳ Ｐゴシック"/>
      <family val="2"/>
      <charset val="128"/>
    </font>
    <font>
      <b/>
      <sz val="9"/>
      <color indexed="81"/>
      <name val="ＭＳ Ｐゴシック"/>
      <family val="3"/>
      <charset val="128"/>
    </font>
    <font>
      <b/>
      <sz val="9"/>
      <color rgb="FF000000"/>
      <name val="ＭＳ Ｐゴシック"/>
      <family val="2"/>
      <charset val="128"/>
    </font>
    <font>
      <sz val="9"/>
      <color rgb="FF000000"/>
      <name val="游ゴシック"/>
      <family val="2"/>
      <charset val="128"/>
      <scheme val="minor"/>
    </font>
    <font>
      <sz val="9"/>
      <color rgb="FF000000"/>
      <name val="MS P ゴシック"/>
      <family val="3"/>
      <charset val="128"/>
    </font>
    <font>
      <b/>
      <i/>
      <u/>
      <sz val="14"/>
      <color theme="1"/>
      <name val="メイリオ"/>
      <family val="2"/>
      <charset val="128"/>
    </font>
    <font>
      <sz val="18"/>
      <color theme="0"/>
      <name val="メイリオ"/>
      <family val="2"/>
      <charset val="128"/>
    </font>
    <font>
      <b/>
      <sz val="18"/>
      <color theme="0"/>
      <name val="メイリオ"/>
      <family val="2"/>
      <charset val="128"/>
    </font>
    <font>
      <sz val="11"/>
      <color theme="0"/>
      <name val="メイリオ"/>
      <family val="2"/>
      <charset val="128"/>
    </font>
    <font>
      <b/>
      <sz val="10"/>
      <color rgb="FFFF0000"/>
      <name val="メイリオ"/>
      <family val="2"/>
      <charset val="128"/>
    </font>
    <font>
      <sz val="12"/>
      <color theme="0" tint="-4.9989318521683403E-2"/>
      <name val="メイリオ"/>
      <family val="2"/>
      <charset val="128"/>
    </font>
    <font>
      <b/>
      <sz val="12"/>
      <color theme="0" tint="-4.9989318521683403E-2"/>
      <name val="メイリオ"/>
      <family val="2"/>
      <charset val="128"/>
    </font>
    <font>
      <b/>
      <sz val="16"/>
      <color theme="1"/>
      <name val="メイリオ"/>
      <family val="2"/>
      <charset val="128"/>
    </font>
    <font>
      <sz val="12"/>
      <color theme="0" tint="-0.249977111117893"/>
      <name val="メイリオ"/>
      <family val="2"/>
      <charset val="128"/>
    </font>
    <font>
      <b/>
      <sz val="12"/>
      <color theme="1"/>
      <name val="游ゴシック"/>
      <family val="3"/>
      <charset val="128"/>
      <scheme val="minor"/>
    </font>
    <font>
      <sz val="10"/>
      <color theme="0"/>
      <name val="メイリオ"/>
      <family val="2"/>
      <charset val="128"/>
    </font>
    <font>
      <sz val="9"/>
      <color rgb="FF000000"/>
      <name val="游ゴシック"/>
      <family val="3"/>
      <charset val="128"/>
    </font>
    <font>
      <sz val="9"/>
      <color rgb="FF000000"/>
      <name val="MS P ゴシック"/>
      <charset val="128"/>
    </font>
  </fonts>
  <fills count="50">
    <fill>
      <patternFill patternType="none"/>
    </fill>
    <fill>
      <patternFill patternType="gray125"/>
    </fill>
    <fill>
      <patternFill patternType="solid">
        <fgColor rgb="FFFFFFFF"/>
        <bgColor rgb="FFFFFFFF"/>
      </patternFill>
    </fill>
    <fill>
      <patternFill patternType="solid">
        <fgColor theme="0"/>
        <bgColor rgb="FFFFFFFF"/>
      </patternFill>
    </fill>
    <fill>
      <patternFill patternType="solid">
        <fgColor theme="7" tint="0.59999389629810485"/>
        <bgColor rgb="FFFFFFFF"/>
      </patternFill>
    </fill>
    <fill>
      <patternFill patternType="solid">
        <fgColor theme="7" tint="0.59999389629810485"/>
        <bgColor indexed="64"/>
      </patternFill>
    </fill>
    <fill>
      <patternFill patternType="solid">
        <fgColor rgb="FFD9D9D9"/>
        <bgColor rgb="FFD9D9D9"/>
      </patternFill>
    </fill>
    <fill>
      <patternFill patternType="solid">
        <fgColor rgb="FFEFEFEF"/>
        <bgColor rgb="FFEFEFEF"/>
      </patternFill>
    </fill>
    <fill>
      <patternFill patternType="solid">
        <fgColor rgb="FFB6D7A8"/>
        <bgColor rgb="FFB6D7A8"/>
      </patternFill>
    </fill>
    <fill>
      <patternFill patternType="solid">
        <fgColor theme="0" tint="-0.14999847407452621"/>
        <bgColor rgb="FFEFEFEF"/>
      </patternFill>
    </fill>
    <fill>
      <patternFill patternType="solid">
        <fgColor theme="0" tint="-0.14999847407452621"/>
        <bgColor indexed="64"/>
      </patternFill>
    </fill>
    <fill>
      <patternFill patternType="solid">
        <fgColor rgb="FFFFC000"/>
        <bgColor rgb="FFEFEFEF"/>
      </patternFill>
    </fill>
    <fill>
      <patternFill patternType="solid">
        <fgColor theme="0"/>
        <bgColor indexed="64"/>
      </patternFill>
    </fill>
    <fill>
      <patternFill patternType="solid">
        <fgColor rgb="FFF3F3F3"/>
        <bgColor rgb="FFF3F3F3"/>
      </patternFill>
    </fill>
    <fill>
      <patternFill patternType="solid">
        <fgColor rgb="FFFFFF00"/>
        <bgColor rgb="FFEFEFEF"/>
      </patternFill>
    </fill>
    <fill>
      <patternFill patternType="solid">
        <fgColor rgb="FFFF9900"/>
        <bgColor rgb="FFFF9900"/>
      </patternFill>
    </fill>
    <fill>
      <patternFill patternType="solid">
        <fgColor rgb="FFCCCCCC"/>
        <bgColor rgb="FFCCCCCC"/>
      </patternFill>
    </fill>
    <fill>
      <patternFill patternType="solid">
        <fgColor theme="0"/>
        <bgColor rgb="FFCCCCCC"/>
      </patternFill>
    </fill>
    <fill>
      <patternFill patternType="solid">
        <fgColor rgb="FFFFFF00"/>
        <bgColor rgb="FFFFFF00"/>
      </patternFill>
    </fill>
    <fill>
      <patternFill patternType="solid">
        <fgColor theme="4" tint="0.39997558519241921"/>
        <bgColor rgb="FFFF9900"/>
      </patternFill>
    </fill>
    <fill>
      <patternFill patternType="solid">
        <fgColor theme="0" tint="-0.249977111117893"/>
        <bgColor rgb="FFCCCCCC"/>
      </patternFill>
    </fill>
    <fill>
      <patternFill patternType="solid">
        <fgColor theme="0" tint="-0.249977111117893"/>
        <bgColor rgb="FFFFFFFF"/>
      </patternFill>
    </fill>
    <fill>
      <patternFill patternType="solid">
        <fgColor theme="7" tint="0.59999389629810485"/>
        <bgColor rgb="FFB6D7A8"/>
      </patternFill>
    </fill>
    <fill>
      <patternFill patternType="solid">
        <fgColor theme="0"/>
        <bgColor rgb="FFB6D7A8"/>
      </patternFill>
    </fill>
    <fill>
      <patternFill patternType="solid">
        <fgColor theme="0" tint="-4.9989318521683403E-2"/>
        <bgColor rgb="FFFFFFFF"/>
      </patternFill>
    </fill>
    <fill>
      <patternFill patternType="solid">
        <fgColor theme="7" tint="0.59999389629810485"/>
        <bgColor rgb="FFCFE2F3"/>
      </patternFill>
    </fill>
    <fill>
      <patternFill patternType="solid">
        <fgColor theme="0"/>
        <bgColor rgb="FFCFE2F3"/>
      </patternFill>
    </fill>
    <fill>
      <patternFill patternType="solid">
        <fgColor theme="7" tint="0.59999389629810485"/>
        <bgColor rgb="FF999999"/>
      </patternFill>
    </fill>
    <fill>
      <patternFill patternType="solid">
        <fgColor theme="0"/>
        <bgColor rgb="FF999999"/>
      </patternFill>
    </fill>
    <fill>
      <patternFill patternType="solid">
        <fgColor theme="7"/>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tint="-4.9989318521683403E-2"/>
        <bgColor rgb="FFEFEFEF"/>
      </patternFill>
    </fill>
    <fill>
      <patternFill patternType="solid">
        <fgColor theme="0" tint="-4.9989318521683403E-2"/>
        <bgColor indexed="64"/>
      </patternFill>
    </fill>
    <fill>
      <patternFill patternType="solid">
        <fgColor theme="0" tint="-0.249977111117893"/>
        <bgColor rgb="FFFF9900"/>
      </patternFill>
    </fill>
    <fill>
      <patternFill patternType="solid">
        <fgColor theme="0" tint="-0.249977111117893"/>
        <bgColor rgb="FFEFEFEF"/>
      </patternFill>
    </fill>
    <fill>
      <patternFill patternType="solid">
        <fgColor theme="0" tint="-4.9989318521683403E-2"/>
        <bgColor rgb="FFFFFF00"/>
      </patternFill>
    </fill>
    <fill>
      <patternFill patternType="solid">
        <fgColor rgb="FFFFF2CC"/>
        <bgColor rgb="FFFFF2CC"/>
      </patternFill>
    </fill>
    <fill>
      <patternFill patternType="solid">
        <fgColor theme="6"/>
        <bgColor rgb="FFFF9900"/>
      </patternFill>
    </fill>
    <fill>
      <patternFill patternType="solid">
        <fgColor theme="0" tint="-0.49998474074526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indexed="41"/>
        <bgColor indexed="64"/>
      </patternFill>
    </fill>
    <fill>
      <patternFill patternType="solid">
        <fgColor rgb="FFFFFF00"/>
        <bgColor rgb="FFFFFFFF"/>
      </patternFill>
    </fill>
    <fill>
      <patternFill patternType="solid">
        <fgColor theme="7" tint="0.79998168889431442"/>
        <bgColor indexed="64"/>
      </patternFill>
    </fill>
    <fill>
      <patternFill patternType="solid">
        <fgColor theme="5" tint="0.79998168889431442"/>
        <bgColor indexed="64"/>
      </patternFill>
    </fill>
  </fills>
  <borders count="120">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indexed="64"/>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indexed="64"/>
      </right>
      <top style="thin">
        <color rgb="FF000000"/>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rgb="FF000000"/>
      </left>
      <right style="thin">
        <color indexed="64"/>
      </right>
      <top/>
      <bottom style="thin">
        <color rgb="FF000000"/>
      </bottom>
      <diagonal/>
    </border>
    <border>
      <left style="thin">
        <color rgb="FF000000"/>
      </left>
      <right style="thin">
        <color rgb="FF000000"/>
      </right>
      <top style="thin">
        <color rgb="FF000000"/>
      </top>
      <bottom style="double">
        <color indexed="64"/>
      </bottom>
      <diagonal/>
    </border>
    <border>
      <left/>
      <right style="thin">
        <color rgb="FF000000"/>
      </right>
      <top style="thin">
        <color rgb="FF000000"/>
      </top>
      <bottom style="double">
        <color indexed="64"/>
      </bottom>
      <diagonal/>
    </border>
    <border>
      <left/>
      <right/>
      <top style="thin">
        <color rgb="FF000000"/>
      </top>
      <bottom style="double">
        <color indexed="64"/>
      </bottom>
      <diagonal/>
    </border>
    <border>
      <left/>
      <right style="thin">
        <color indexed="64"/>
      </right>
      <top style="thin">
        <color rgb="FF000000"/>
      </top>
      <bottom style="double">
        <color indexed="64"/>
      </bottom>
      <diagonal/>
    </border>
    <border>
      <left style="thin">
        <color rgb="FF000000"/>
      </left>
      <right/>
      <top style="thin">
        <color rgb="FF000000"/>
      </top>
      <bottom style="double">
        <color indexed="64"/>
      </bottom>
      <diagonal/>
    </border>
    <border>
      <left style="thin">
        <color indexed="64"/>
      </left>
      <right style="thin">
        <color rgb="FF000000"/>
      </right>
      <top style="thin">
        <color rgb="FF000000"/>
      </top>
      <bottom style="double">
        <color indexed="64"/>
      </bottom>
      <diagonal/>
    </border>
    <border>
      <left style="thin">
        <color rgb="FF000000"/>
      </left>
      <right style="thin">
        <color indexed="64"/>
      </right>
      <top style="thin">
        <color rgb="FF000000"/>
      </top>
      <bottom style="double">
        <color indexed="64"/>
      </bottom>
      <diagonal/>
    </border>
    <border>
      <left style="thin">
        <color rgb="FF000000"/>
      </left>
      <right style="thin">
        <color rgb="FF000000"/>
      </right>
      <top/>
      <bottom style="double">
        <color indexed="64"/>
      </bottom>
      <diagonal/>
    </border>
    <border>
      <left/>
      <right style="thin">
        <color rgb="FF000000"/>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style="double">
        <color indexed="64"/>
      </bottom>
      <diagonal/>
    </border>
    <border>
      <left/>
      <right/>
      <top style="double">
        <color indexed="64"/>
      </top>
      <bottom/>
      <diagonal/>
    </border>
    <border>
      <left/>
      <right/>
      <top style="double">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bottom style="double">
        <color indexed="64"/>
      </bottom>
      <diagonal/>
    </border>
    <border>
      <left style="medium">
        <color indexed="64"/>
      </left>
      <right style="medium">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double">
        <color indexed="64"/>
      </top>
      <bottom/>
      <diagonal/>
    </border>
    <border>
      <left style="medium">
        <color indexed="64"/>
      </left>
      <right style="thin">
        <color indexed="64"/>
      </right>
      <top/>
      <bottom style="double">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theme="1"/>
      </bottom>
      <diagonal/>
    </border>
    <border>
      <left style="thin">
        <color theme="1"/>
      </left>
      <right style="thin">
        <color theme="1"/>
      </right>
      <top style="thin">
        <color theme="1"/>
      </top>
      <bottom style="thin">
        <color theme="1"/>
      </bottom>
      <diagonal/>
    </border>
  </borders>
  <cellStyleXfs count="15">
    <xf numFmtId="0" fontId="0" fillId="0" borderId="0">
      <alignment vertical="center"/>
    </xf>
    <xf numFmtId="0" fontId="3" fillId="0" borderId="0" applyNumberFormat="0" applyFill="0" applyBorder="0" applyAlignment="0" applyProtection="0">
      <alignment vertical="center"/>
    </xf>
    <xf numFmtId="0" fontId="4" fillId="0" borderId="0">
      <alignment vertical="center"/>
    </xf>
    <xf numFmtId="0" fontId="15" fillId="0" borderId="0" applyNumberFormat="0" applyFill="0" applyBorder="0" applyAlignment="0" applyProtection="0">
      <alignment vertical="center"/>
    </xf>
    <xf numFmtId="177" fontId="4" fillId="0" borderId="0" applyFont="0" applyFill="0" applyBorder="0" applyAlignment="0" applyProtection="0">
      <alignment vertical="center"/>
    </xf>
    <xf numFmtId="9" fontId="4" fillId="0" borderId="0" applyFill="0" applyBorder="0" applyProtection="0">
      <alignment vertical="center"/>
    </xf>
    <xf numFmtId="0" fontId="1" fillId="0" borderId="0">
      <alignment vertical="center"/>
    </xf>
    <xf numFmtId="177" fontId="1" fillId="0" borderId="0" applyFont="0" applyFill="0" applyBorder="0" applyAlignment="0" applyProtection="0">
      <alignment vertical="center"/>
    </xf>
    <xf numFmtId="0" fontId="62" fillId="0" borderId="0">
      <alignment vertical="center"/>
    </xf>
    <xf numFmtId="177" fontId="62" fillId="0" borderId="0" applyFont="0" applyFill="0" applyBorder="0" applyAlignment="0" applyProtection="0">
      <alignment vertical="center"/>
    </xf>
    <xf numFmtId="9" fontId="62" fillId="0" borderId="0" applyFont="0" applyFill="0" applyBorder="0" applyAlignment="0" applyProtection="0">
      <alignment vertical="center"/>
    </xf>
    <xf numFmtId="38" fontId="62"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cellStyleXfs>
  <cellXfs count="878">
    <xf numFmtId="0" fontId="0" fillId="0" borderId="0" xfId="0">
      <alignment vertical="center"/>
    </xf>
    <xf numFmtId="0" fontId="5" fillId="2" borderId="0" xfId="2" applyFont="1" applyFill="1" applyAlignment="1"/>
    <xf numFmtId="0" fontId="5" fillId="2" borderId="0" xfId="2" applyFont="1" applyFill="1" applyAlignment="1">
      <alignment horizontal="center"/>
    </xf>
    <xf numFmtId="0" fontId="5" fillId="3" borderId="0" xfId="2" applyFont="1" applyFill="1" applyAlignment="1"/>
    <xf numFmtId="0" fontId="6" fillId="0" borderId="0" xfId="2" applyFont="1" applyAlignment="1"/>
    <xf numFmtId="0" fontId="10" fillId="6" borderId="4" xfId="2" applyFont="1" applyFill="1" applyBorder="1" applyAlignment="1">
      <alignment horizontal="center"/>
    </xf>
    <xf numFmtId="0" fontId="10" fillId="6" borderId="1" xfId="2" applyFont="1" applyFill="1" applyBorder="1" applyAlignment="1"/>
    <xf numFmtId="180" fontId="10" fillId="8" borderId="0" xfId="2" applyNumberFormat="1" applyFont="1" applyFill="1" applyAlignment="1" applyProtection="1">
      <alignment horizontal="right"/>
      <protection locked="0"/>
    </xf>
    <xf numFmtId="10" fontId="17" fillId="9" borderId="1" xfId="2" applyNumberFormat="1" applyFont="1" applyFill="1" applyBorder="1" applyAlignment="1"/>
    <xf numFmtId="180" fontId="20" fillId="7" borderId="1" xfId="2" applyNumberFormat="1" applyFont="1" applyFill="1" applyBorder="1" applyAlignment="1"/>
    <xf numFmtId="181" fontId="5" fillId="2" borderId="0" xfId="2" applyNumberFormat="1" applyFont="1" applyFill="1" applyAlignment="1"/>
    <xf numFmtId="0" fontId="21" fillId="2" borderId="0" xfId="2" applyFont="1" applyFill="1" applyAlignment="1"/>
    <xf numFmtId="0" fontId="21" fillId="2" borderId="0" xfId="2" applyFont="1" applyFill="1" applyAlignment="1">
      <alignment horizontal="center"/>
    </xf>
    <xf numFmtId="0" fontId="21" fillId="2" borderId="5" xfId="2" applyFont="1" applyFill="1" applyBorder="1" applyAlignment="1"/>
    <xf numFmtId="0" fontId="6" fillId="12" borderId="0" xfId="2" applyFont="1" applyFill="1" applyAlignment="1"/>
    <xf numFmtId="0" fontId="15" fillId="2" borderId="0" xfId="3" applyFill="1" applyAlignment="1" applyProtection="1"/>
    <xf numFmtId="0" fontId="15" fillId="0" borderId="0" xfId="3" applyAlignment="1" applyProtection="1"/>
    <xf numFmtId="0" fontId="23" fillId="6" borderId="8" xfId="2" applyFont="1" applyFill="1" applyBorder="1" applyAlignment="1">
      <alignment horizontal="center"/>
    </xf>
    <xf numFmtId="0" fontId="24" fillId="6" borderId="8" xfId="2" applyFont="1" applyFill="1" applyBorder="1" applyAlignment="1">
      <alignment horizontal="center"/>
    </xf>
    <xf numFmtId="0" fontId="25" fillId="6" borderId="4" xfId="2" applyFont="1" applyFill="1" applyBorder="1" applyAlignment="1">
      <alignment horizontal="center"/>
    </xf>
    <xf numFmtId="0" fontId="21" fillId="7" borderId="11" xfId="2" applyFont="1" applyFill="1" applyBorder="1" applyAlignment="1">
      <alignment horizontal="center"/>
    </xf>
    <xf numFmtId="0" fontId="21" fillId="7" borderId="10" xfId="2" applyFont="1" applyFill="1" applyBorder="1" applyAlignment="1">
      <alignment horizontal="center"/>
    </xf>
    <xf numFmtId="180" fontId="26" fillId="7" borderId="10" xfId="2" applyNumberFormat="1" applyFont="1" applyFill="1" applyBorder="1" applyAlignment="1">
      <alignment horizontal="right"/>
    </xf>
    <xf numFmtId="9" fontId="27" fillId="8" borderId="8" xfId="2" applyNumberFormat="1" applyFont="1" applyFill="1" applyBorder="1" applyAlignment="1" applyProtection="1">
      <alignment horizontal="center"/>
      <protection locked="0"/>
    </xf>
    <xf numFmtId="181" fontId="14" fillId="15" borderId="4" xfId="2" applyNumberFormat="1" applyFont="1" applyFill="1" applyBorder="1" applyAlignment="1"/>
    <xf numFmtId="10" fontId="28" fillId="7" borderId="8" xfId="2" applyNumberFormat="1" applyFont="1" applyFill="1" applyBorder="1" applyAlignment="1"/>
    <xf numFmtId="182" fontId="6" fillId="0" borderId="0" xfId="4" applyNumberFormat="1" applyFont="1" applyAlignment="1" applyProtection="1"/>
    <xf numFmtId="10" fontId="6" fillId="2" borderId="0" xfId="2" applyNumberFormat="1" applyFont="1" applyFill="1" applyAlignment="1"/>
    <xf numFmtId="10" fontId="6" fillId="0" borderId="0" xfId="2" applyNumberFormat="1" applyFont="1" applyAlignment="1"/>
    <xf numFmtId="0" fontId="5" fillId="0" borderId="0" xfId="2" applyFont="1" applyAlignment="1"/>
    <xf numFmtId="180" fontId="14" fillId="15" borderId="4" xfId="2" applyNumberFormat="1" applyFont="1" applyFill="1" applyBorder="1" applyAlignment="1"/>
    <xf numFmtId="10" fontId="5" fillId="0" borderId="0" xfId="2" applyNumberFormat="1" applyFont="1" applyAlignment="1"/>
    <xf numFmtId="14" fontId="21" fillId="2" borderId="0" xfId="2" applyNumberFormat="1" applyFont="1" applyFill="1" applyAlignment="1"/>
    <xf numFmtId="0" fontId="21" fillId="2" borderId="0" xfId="2" applyFont="1" applyFill="1" applyAlignment="1">
      <alignment horizontal="left"/>
    </xf>
    <xf numFmtId="0" fontId="21" fillId="3" borderId="0" xfId="2" applyFont="1" applyFill="1" applyAlignment="1"/>
    <xf numFmtId="0" fontId="18" fillId="16" borderId="8" xfId="2" applyFont="1" applyFill="1" applyBorder="1" applyAlignment="1"/>
    <xf numFmtId="0" fontId="5" fillId="16" borderId="8" xfId="2" applyFont="1" applyFill="1" applyBorder="1" applyAlignment="1">
      <alignment horizontal="center"/>
    </xf>
    <xf numFmtId="0" fontId="18" fillId="16" borderId="3" xfId="2" applyFont="1" applyFill="1" applyBorder="1" applyAlignment="1"/>
    <xf numFmtId="0" fontId="18" fillId="16" borderId="3" xfId="2" applyFont="1" applyFill="1" applyBorder="1" applyAlignment="1">
      <alignment horizontal="left"/>
    </xf>
    <xf numFmtId="0" fontId="18" fillId="16" borderId="2" xfId="2" applyFont="1" applyFill="1" applyBorder="1" applyAlignment="1"/>
    <xf numFmtId="0" fontId="18" fillId="17" borderId="12" xfId="2" applyFont="1" applyFill="1" applyBorder="1" applyAlignment="1"/>
    <xf numFmtId="0" fontId="18" fillId="16" borderId="13" xfId="2" applyFont="1" applyFill="1" applyBorder="1" applyAlignment="1"/>
    <xf numFmtId="0" fontId="18" fillId="18" borderId="3" xfId="2" applyFont="1" applyFill="1" applyBorder="1" applyAlignment="1"/>
    <xf numFmtId="0" fontId="18" fillId="16" borderId="5" xfId="2" applyFont="1" applyFill="1" applyBorder="1" applyAlignment="1"/>
    <xf numFmtId="0" fontId="18" fillId="2" borderId="14" xfId="2" applyFont="1" applyFill="1" applyBorder="1" applyAlignment="1"/>
    <xf numFmtId="0" fontId="18" fillId="19" borderId="3" xfId="2" applyFont="1" applyFill="1" applyBorder="1" applyAlignment="1"/>
    <xf numFmtId="0" fontId="18" fillId="16" borderId="1" xfId="2" applyFont="1" applyFill="1" applyBorder="1" applyAlignment="1"/>
    <xf numFmtId="0" fontId="18" fillId="2" borderId="15" xfId="2" applyFont="1" applyFill="1" applyBorder="1" applyAlignment="1"/>
    <xf numFmtId="0" fontId="18" fillId="20" borderId="16" xfId="2" applyFont="1" applyFill="1" applyBorder="1" applyAlignment="1"/>
    <xf numFmtId="0" fontId="30" fillId="21" borderId="1" xfId="2" applyFont="1" applyFill="1" applyBorder="1" applyAlignment="1"/>
    <xf numFmtId="0" fontId="21" fillId="13" borderId="11" xfId="2" applyFont="1" applyFill="1" applyBorder="1" applyAlignment="1">
      <alignment horizontal="right"/>
    </xf>
    <xf numFmtId="0" fontId="5" fillId="8" borderId="8" xfId="2" applyFont="1" applyFill="1" applyBorder="1" applyAlignment="1" applyProtection="1">
      <alignment horizontal="center"/>
      <protection locked="0"/>
    </xf>
    <xf numFmtId="183" fontId="21" fillId="7" borderId="10" xfId="2" applyNumberFormat="1" applyFont="1" applyFill="1" applyBorder="1" applyAlignment="1">
      <alignment horizontal="center"/>
    </xf>
    <xf numFmtId="184" fontId="21" fillId="7" borderId="10" xfId="2" applyNumberFormat="1" applyFont="1" applyFill="1" applyBorder="1" applyAlignment="1">
      <alignment horizontal="right"/>
    </xf>
    <xf numFmtId="185" fontId="21" fillId="7" borderId="10" xfId="2" applyNumberFormat="1" applyFont="1" applyFill="1" applyBorder="1" applyAlignment="1">
      <alignment horizontal="left"/>
    </xf>
    <xf numFmtId="0" fontId="21" fillId="22" borderId="17" xfId="2" applyFont="1" applyFill="1" applyBorder="1" applyAlignment="1" applyProtection="1">
      <protection locked="0"/>
    </xf>
    <xf numFmtId="0" fontId="21" fillId="23" borderId="12" xfId="2" applyFont="1" applyFill="1" applyBorder="1" applyAlignment="1"/>
    <xf numFmtId="181" fontId="18" fillId="22" borderId="18" xfId="2" applyNumberFormat="1" applyFont="1" applyFill="1" applyBorder="1" applyAlignment="1" applyProtection="1">
      <alignment horizontal="right"/>
      <protection locked="0"/>
    </xf>
    <xf numFmtId="181" fontId="18" fillId="23" borderId="12" xfId="2" applyNumberFormat="1" applyFont="1" applyFill="1" applyBorder="1" applyAlignment="1">
      <alignment horizontal="right"/>
    </xf>
    <xf numFmtId="181" fontId="21" fillId="7" borderId="10" xfId="2" applyNumberFormat="1" applyFont="1" applyFill="1" applyBorder="1" applyAlignment="1"/>
    <xf numFmtId="181" fontId="21" fillId="7" borderId="2" xfId="2" applyNumberFormat="1" applyFont="1" applyFill="1" applyBorder="1" applyAlignment="1"/>
    <xf numFmtId="10" fontId="21" fillId="7" borderId="8" xfId="2" applyNumberFormat="1" applyFont="1" applyFill="1" applyBorder="1" applyAlignment="1">
      <alignment horizontal="right"/>
    </xf>
    <xf numFmtId="181" fontId="21" fillId="7" borderId="14" xfId="2" applyNumberFormat="1" applyFont="1" applyFill="1" applyBorder="1" applyAlignment="1"/>
    <xf numFmtId="181" fontId="21" fillId="7" borderId="17" xfId="2" applyNumberFormat="1" applyFont="1" applyFill="1" applyBorder="1" applyAlignment="1"/>
    <xf numFmtId="10" fontId="31" fillId="7" borderId="1" xfId="5" applyNumberFormat="1" applyFont="1" applyFill="1" applyBorder="1" applyProtection="1">
      <alignment vertical="center"/>
    </xf>
    <xf numFmtId="186" fontId="21" fillId="7" borderId="15" xfId="2" applyNumberFormat="1" applyFont="1" applyFill="1" applyBorder="1" applyAlignment="1"/>
    <xf numFmtId="181" fontId="21" fillId="7" borderId="19" xfId="2" applyNumberFormat="1" applyFont="1" applyFill="1" applyBorder="1" applyAlignment="1"/>
    <xf numFmtId="10" fontId="32" fillId="24" borderId="1" xfId="5" applyNumberFormat="1" applyFont="1" applyFill="1" applyBorder="1" applyProtection="1">
      <alignment vertical="center"/>
    </xf>
    <xf numFmtId="187" fontId="5" fillId="2" borderId="0" xfId="2" applyNumberFormat="1" applyFont="1" applyFill="1" applyAlignment="1"/>
    <xf numFmtId="188" fontId="5" fillId="2" borderId="0" xfId="2" applyNumberFormat="1" applyFont="1" applyFill="1" applyAlignment="1"/>
    <xf numFmtId="186" fontId="21" fillId="7" borderId="15" xfId="2" applyNumberFormat="1" applyFont="1" applyFill="1" applyBorder="1" applyAlignment="1">
      <alignment horizontal="right"/>
    </xf>
    <xf numFmtId="180" fontId="17" fillId="22" borderId="18" xfId="2" applyNumberFormat="1" applyFont="1" applyFill="1" applyBorder="1" applyAlignment="1" applyProtection="1">
      <alignment horizontal="right"/>
      <protection locked="0"/>
    </xf>
    <xf numFmtId="180" fontId="17" fillId="23" borderId="12" xfId="2" applyNumberFormat="1" applyFont="1" applyFill="1" applyBorder="1" applyAlignment="1">
      <alignment horizontal="right"/>
    </xf>
    <xf numFmtId="180" fontId="21" fillId="7" borderId="15" xfId="2" applyNumberFormat="1" applyFont="1" applyFill="1" applyBorder="1" applyAlignment="1">
      <alignment horizontal="right"/>
    </xf>
    <xf numFmtId="180" fontId="17" fillId="25" borderId="18" xfId="2" applyNumberFormat="1" applyFont="1" applyFill="1" applyBorder="1" applyAlignment="1" applyProtection="1">
      <alignment horizontal="right"/>
      <protection locked="0"/>
    </xf>
    <xf numFmtId="180" fontId="17" fillId="26" borderId="12" xfId="2" applyNumberFormat="1" applyFont="1" applyFill="1" applyBorder="1" applyAlignment="1">
      <alignment horizontal="right"/>
    </xf>
    <xf numFmtId="180" fontId="5" fillId="27" borderId="18" xfId="2" applyNumberFormat="1" applyFont="1" applyFill="1" applyBorder="1" applyAlignment="1" applyProtection="1">
      <protection locked="0"/>
    </xf>
    <xf numFmtId="180" fontId="5" fillId="28" borderId="12" xfId="2" applyNumberFormat="1" applyFont="1" applyFill="1" applyBorder="1" applyAlignment="1"/>
    <xf numFmtId="0" fontId="21" fillId="7" borderId="15" xfId="2" applyFont="1" applyFill="1" applyBorder="1" applyAlignment="1"/>
    <xf numFmtId="180" fontId="33" fillId="27" borderId="18" xfId="2" applyNumberFormat="1" applyFont="1" applyFill="1" applyBorder="1" applyAlignment="1" applyProtection="1">
      <protection locked="0"/>
    </xf>
    <xf numFmtId="180" fontId="21" fillId="7" borderId="14" xfId="2" applyNumberFormat="1" applyFont="1" applyFill="1" applyBorder="1" applyAlignment="1">
      <alignment horizontal="right"/>
    </xf>
    <xf numFmtId="0" fontId="21" fillId="7" borderId="14" xfId="2" applyFont="1" applyFill="1" applyBorder="1" applyAlignment="1"/>
    <xf numFmtId="180" fontId="18" fillId="22" borderId="18" xfId="2" applyNumberFormat="1" applyFont="1" applyFill="1" applyBorder="1" applyAlignment="1" applyProtection="1">
      <alignment horizontal="right"/>
      <protection locked="0"/>
    </xf>
    <xf numFmtId="180" fontId="18" fillId="23" borderId="12" xfId="2" applyNumberFormat="1" applyFont="1" applyFill="1" applyBorder="1" applyAlignment="1">
      <alignment horizontal="right"/>
    </xf>
    <xf numFmtId="0" fontId="21" fillId="13" borderId="20" xfId="2" applyFont="1" applyFill="1" applyBorder="1" applyAlignment="1">
      <alignment horizontal="right"/>
    </xf>
    <xf numFmtId="0" fontId="5" fillId="8" borderId="20" xfId="2" applyFont="1" applyFill="1" applyBorder="1" applyAlignment="1" applyProtection="1">
      <alignment horizontal="center"/>
      <protection locked="0"/>
    </xf>
    <xf numFmtId="184" fontId="21" fillId="7" borderId="21" xfId="2" applyNumberFormat="1" applyFont="1" applyFill="1" applyBorder="1" applyAlignment="1">
      <alignment horizontal="right"/>
    </xf>
    <xf numFmtId="185" fontId="21" fillId="7" borderId="20" xfId="2" applyNumberFormat="1" applyFont="1" applyFill="1" applyBorder="1" applyAlignment="1">
      <alignment horizontal="left"/>
    </xf>
    <xf numFmtId="0" fontId="21" fillId="22" borderId="22" xfId="2" applyFont="1" applyFill="1" applyBorder="1" applyAlignment="1" applyProtection="1">
      <protection locked="0"/>
    </xf>
    <xf numFmtId="180" fontId="18" fillId="22" borderId="23" xfId="2" applyNumberFormat="1" applyFont="1" applyFill="1" applyBorder="1" applyAlignment="1" applyProtection="1">
      <alignment horizontal="right"/>
      <protection locked="0"/>
    </xf>
    <xf numFmtId="181" fontId="21" fillId="7" borderId="21" xfId="2" applyNumberFormat="1" applyFont="1" applyFill="1" applyBorder="1" applyAlignment="1"/>
    <xf numFmtId="181" fontId="21" fillId="7" borderId="22" xfId="2" applyNumberFormat="1" applyFont="1" applyFill="1" applyBorder="1" applyAlignment="1"/>
    <xf numFmtId="10" fontId="21" fillId="7" borderId="24" xfId="2" applyNumberFormat="1" applyFont="1" applyFill="1" applyBorder="1" applyAlignment="1">
      <alignment horizontal="right"/>
    </xf>
    <xf numFmtId="181" fontId="18" fillId="7" borderId="25" xfId="2" applyNumberFormat="1" applyFont="1" applyFill="1" applyBorder="1" applyAlignment="1"/>
    <xf numFmtId="181" fontId="21" fillId="7" borderId="20" xfId="2" applyNumberFormat="1" applyFont="1" applyFill="1" applyBorder="1" applyAlignment="1"/>
    <xf numFmtId="181" fontId="21" fillId="7" borderId="26" xfId="2" applyNumberFormat="1" applyFont="1" applyFill="1" applyBorder="1" applyAlignment="1"/>
    <xf numFmtId="0" fontId="5" fillId="8" borderId="11" xfId="2" applyFont="1" applyFill="1" applyBorder="1" applyAlignment="1" applyProtection="1">
      <alignment horizontal="center"/>
      <protection locked="0"/>
    </xf>
    <xf numFmtId="10" fontId="21" fillId="7" borderId="11" xfId="2" applyNumberFormat="1" applyFont="1" applyFill="1" applyBorder="1" applyAlignment="1">
      <alignment horizontal="right"/>
    </xf>
    <xf numFmtId="10" fontId="21" fillId="7" borderId="26" xfId="2" applyNumberFormat="1" applyFont="1" applyFill="1" applyBorder="1" applyAlignment="1">
      <alignment horizontal="right"/>
    </xf>
    <xf numFmtId="181" fontId="18" fillId="7" borderId="21" xfId="2" applyNumberFormat="1" applyFont="1" applyFill="1" applyBorder="1" applyAlignment="1"/>
    <xf numFmtId="0" fontId="21" fillId="13" borderId="27" xfId="2" applyFont="1" applyFill="1" applyBorder="1" applyAlignment="1">
      <alignment horizontal="right"/>
    </xf>
    <xf numFmtId="184" fontId="21" fillId="7" borderId="28" xfId="2" applyNumberFormat="1" applyFont="1" applyFill="1" applyBorder="1" applyAlignment="1">
      <alignment horizontal="right"/>
    </xf>
    <xf numFmtId="180" fontId="18" fillId="22" borderId="29" xfId="2" applyNumberFormat="1" applyFont="1" applyFill="1" applyBorder="1" applyAlignment="1" applyProtection="1">
      <alignment horizontal="right"/>
      <protection locked="0"/>
    </xf>
    <xf numFmtId="181" fontId="21" fillId="7" borderId="28" xfId="2" applyNumberFormat="1" applyFont="1" applyFill="1" applyBorder="1" applyAlignment="1"/>
    <xf numFmtId="181" fontId="18" fillId="7" borderId="28" xfId="2" applyNumberFormat="1" applyFont="1" applyFill="1" applyBorder="1" applyAlignment="1"/>
    <xf numFmtId="181" fontId="21" fillId="7" borderId="30" xfId="2" applyNumberFormat="1" applyFont="1" applyFill="1" applyBorder="1" applyAlignment="1"/>
    <xf numFmtId="181" fontId="21" fillId="7" borderId="8" xfId="2" applyNumberFormat="1" applyFont="1" applyFill="1" applyBorder="1" applyAlignment="1"/>
    <xf numFmtId="181" fontId="21" fillId="7" borderId="11" xfId="2" applyNumberFormat="1" applyFont="1" applyFill="1" applyBorder="1" applyAlignment="1"/>
    <xf numFmtId="10" fontId="21" fillId="7" borderId="20" xfId="2" applyNumberFormat="1" applyFont="1" applyFill="1" applyBorder="1" applyAlignment="1">
      <alignment horizontal="right"/>
    </xf>
    <xf numFmtId="181" fontId="18" fillId="7" borderId="27" xfId="2" applyNumberFormat="1" applyFont="1" applyFill="1" applyBorder="1" applyAlignment="1"/>
    <xf numFmtId="0" fontId="6" fillId="0" borderId="0" xfId="2" applyFont="1" applyAlignment="1">
      <alignment horizontal="center"/>
    </xf>
    <xf numFmtId="181" fontId="6" fillId="0" borderId="0" xfId="2" applyNumberFormat="1" applyFont="1" applyAlignment="1"/>
    <xf numFmtId="177" fontId="6" fillId="0" borderId="0" xfId="4" applyFont="1" applyAlignment="1"/>
    <xf numFmtId="0" fontId="17" fillId="10" borderId="1" xfId="6" applyFont="1" applyFill="1" applyBorder="1" applyAlignment="1">
      <alignment horizontal="center" vertical="center"/>
    </xf>
    <xf numFmtId="0" fontId="17" fillId="12" borderId="0" xfId="6" applyFont="1" applyFill="1" applyAlignment="1">
      <alignment horizontal="center" vertical="center"/>
    </xf>
    <xf numFmtId="0" fontId="28" fillId="12" borderId="0" xfId="6" applyFont="1" applyFill="1">
      <alignment vertical="center"/>
    </xf>
    <xf numFmtId="0" fontId="28" fillId="12" borderId="1" xfId="6" applyFont="1" applyFill="1" applyBorder="1" applyAlignment="1">
      <alignment horizontal="center" vertical="center"/>
    </xf>
    <xf numFmtId="189" fontId="35" fillId="30" borderId="1" xfId="6" applyNumberFormat="1" applyFont="1" applyFill="1" applyBorder="1" applyAlignment="1" applyProtection="1">
      <alignment horizontal="center" vertical="center"/>
      <protection locked="0"/>
    </xf>
    <xf numFmtId="189" fontId="28" fillId="12" borderId="0" xfId="6" applyNumberFormat="1" applyFont="1" applyFill="1" applyAlignment="1" applyProtection="1">
      <alignment horizontal="center" vertical="center"/>
      <protection locked="0"/>
    </xf>
    <xf numFmtId="177" fontId="17" fillId="12" borderId="1" xfId="7" applyFont="1" applyFill="1" applyBorder="1" applyAlignment="1">
      <alignment horizontal="center" vertical="center"/>
    </xf>
    <xf numFmtId="0" fontId="36" fillId="12" borderId="1" xfId="6" applyFont="1" applyFill="1" applyBorder="1" applyAlignment="1">
      <alignment horizontal="center" vertical="center"/>
    </xf>
    <xf numFmtId="177" fontId="37" fillId="12" borderId="1" xfId="4" applyFont="1" applyFill="1" applyBorder="1" applyAlignment="1">
      <alignment horizontal="center" vertical="center"/>
    </xf>
    <xf numFmtId="0" fontId="28" fillId="10" borderId="1" xfId="6" applyFont="1" applyFill="1" applyBorder="1" applyAlignment="1">
      <alignment horizontal="right" vertical="center"/>
    </xf>
    <xf numFmtId="177" fontId="35" fillId="31" borderId="31" xfId="7" applyFont="1" applyFill="1" applyBorder="1">
      <alignment vertical="center"/>
    </xf>
    <xf numFmtId="0" fontId="38" fillId="31" borderId="1" xfId="6" applyFont="1" applyFill="1" applyBorder="1" applyAlignment="1">
      <alignment horizontal="center" vertical="center"/>
    </xf>
    <xf numFmtId="177" fontId="28" fillId="12" borderId="1" xfId="6" applyNumberFormat="1" applyFont="1" applyFill="1" applyBorder="1">
      <alignment vertical="center"/>
    </xf>
    <xf numFmtId="10" fontId="27" fillId="32" borderId="1" xfId="6" applyNumberFormat="1" applyFont="1" applyFill="1" applyBorder="1">
      <alignment vertical="center"/>
    </xf>
    <xf numFmtId="0" fontId="28" fillId="12" borderId="0" xfId="6" applyFont="1" applyFill="1" applyAlignment="1">
      <alignment horizontal="right" vertical="center"/>
    </xf>
    <xf numFmtId="177" fontId="28" fillId="12" borderId="1" xfId="7" applyFont="1" applyFill="1" applyBorder="1">
      <alignment vertical="center"/>
    </xf>
    <xf numFmtId="178" fontId="28" fillId="12" borderId="0" xfId="6" applyNumberFormat="1" applyFont="1" applyFill="1">
      <alignment vertical="center"/>
    </xf>
    <xf numFmtId="10" fontId="4" fillId="12" borderId="0" xfId="5" applyNumberFormat="1" applyFill="1">
      <alignment vertical="center"/>
    </xf>
    <xf numFmtId="177" fontId="38" fillId="12" borderId="1" xfId="4" applyFont="1" applyFill="1" applyBorder="1">
      <alignment vertical="center"/>
    </xf>
    <xf numFmtId="10" fontId="32" fillId="12" borderId="0" xfId="5" applyNumberFormat="1" applyFont="1" applyFill="1">
      <alignment vertical="center"/>
    </xf>
    <xf numFmtId="0" fontId="25" fillId="16" borderId="49" xfId="2" applyFont="1" applyFill="1" applyBorder="1" applyAlignment="1"/>
    <xf numFmtId="0" fontId="25" fillId="16" borderId="50" xfId="2" applyFont="1" applyFill="1" applyBorder="1" applyAlignment="1"/>
    <xf numFmtId="0" fontId="25" fillId="16" borderId="50" xfId="2" applyFont="1" applyFill="1" applyBorder="1" applyAlignment="1">
      <alignment horizontal="center"/>
    </xf>
    <xf numFmtId="0" fontId="25" fillId="16" borderId="51" xfId="2" applyFont="1" applyFill="1" applyBorder="1" applyAlignment="1"/>
    <xf numFmtId="0" fontId="18" fillId="8" borderId="35" xfId="2" applyFont="1" applyFill="1" applyBorder="1" applyAlignment="1" applyProtection="1">
      <protection locked="0"/>
    </xf>
    <xf numFmtId="180" fontId="21" fillId="8" borderId="1" xfId="2" applyNumberFormat="1" applyFont="1" applyFill="1" applyBorder="1" applyAlignment="1" applyProtection="1">
      <protection locked="0"/>
    </xf>
    <xf numFmtId="0" fontId="21" fillId="8" borderId="1" xfId="2" applyFont="1" applyFill="1" applyBorder="1" applyAlignment="1" applyProtection="1">
      <alignment horizontal="right"/>
      <protection locked="0"/>
    </xf>
    <xf numFmtId="180" fontId="21" fillId="7" borderId="38" xfId="2" applyNumberFormat="1" applyFont="1" applyFill="1" applyBorder="1" applyAlignment="1">
      <alignment horizontal="right"/>
    </xf>
    <xf numFmtId="0" fontId="18" fillId="8" borderId="52" xfId="2" applyFont="1" applyFill="1" applyBorder="1" applyAlignment="1" applyProtection="1">
      <protection locked="0"/>
    </xf>
    <xf numFmtId="180" fontId="21" fillId="8" borderId="53" xfId="2" applyNumberFormat="1" applyFont="1" applyFill="1" applyBorder="1" applyAlignment="1" applyProtection="1">
      <protection locked="0"/>
    </xf>
    <xf numFmtId="0" fontId="21" fillId="8" borderId="53" xfId="2" applyFont="1" applyFill="1" applyBorder="1" applyAlignment="1" applyProtection="1">
      <alignment horizontal="right"/>
      <protection locked="0"/>
    </xf>
    <xf numFmtId="180" fontId="21" fillId="7" borderId="54" xfId="2" applyNumberFormat="1" applyFont="1" applyFill="1" applyBorder="1" applyAlignment="1">
      <alignment horizontal="right"/>
    </xf>
    <xf numFmtId="0" fontId="5" fillId="2" borderId="0" xfId="2" applyFont="1" applyFill="1" applyAlignment="1" applyProtection="1">
      <protection locked="0"/>
    </xf>
    <xf numFmtId="0" fontId="5" fillId="2" borderId="0" xfId="2" applyFont="1" applyFill="1" applyAlignment="1" applyProtection="1">
      <alignment horizontal="center"/>
      <protection locked="0"/>
    </xf>
    <xf numFmtId="0" fontId="5" fillId="3" borderId="0" xfId="2" applyFont="1" applyFill="1" applyAlignment="1" applyProtection="1">
      <protection locked="0"/>
    </xf>
    <xf numFmtId="0" fontId="6" fillId="0" borderId="0" xfId="2" applyFont="1" applyAlignment="1" applyProtection="1">
      <protection locked="0"/>
    </xf>
    <xf numFmtId="0" fontId="14" fillId="6" borderId="1" xfId="2" applyFont="1" applyFill="1" applyBorder="1" applyAlignment="1"/>
    <xf numFmtId="9" fontId="14" fillId="8" borderId="1" xfId="2" applyNumberFormat="1" applyFont="1" applyFill="1" applyBorder="1" applyAlignment="1" applyProtection="1">
      <protection locked="0"/>
    </xf>
    <xf numFmtId="180" fontId="42" fillId="13" borderId="1" xfId="2" applyNumberFormat="1" applyFont="1" applyFill="1" applyBorder="1" applyAlignment="1"/>
    <xf numFmtId="0" fontId="21" fillId="2" borderId="0" xfId="2" applyFont="1" applyFill="1" applyAlignment="1" applyProtection="1">
      <protection locked="0"/>
    </xf>
    <xf numFmtId="0" fontId="21" fillId="2" borderId="0" xfId="2" applyFont="1" applyFill="1" applyAlignment="1" applyProtection="1">
      <alignment horizontal="center"/>
      <protection locked="0"/>
    </xf>
    <xf numFmtId="0" fontId="21" fillId="2" borderId="5" xfId="2" applyFont="1" applyFill="1" applyBorder="1" applyAlignment="1" applyProtection="1">
      <protection locked="0"/>
    </xf>
    <xf numFmtId="0" fontId="6" fillId="12" borderId="0" xfId="2" applyFont="1" applyFill="1" applyAlignment="1" applyProtection="1">
      <protection locked="0"/>
    </xf>
    <xf numFmtId="0" fontId="30" fillId="6" borderId="8" xfId="2" applyFont="1" applyFill="1" applyBorder="1" applyAlignment="1">
      <alignment horizontal="center"/>
    </xf>
    <xf numFmtId="0" fontId="44" fillId="6" borderId="8" xfId="2" applyFont="1" applyFill="1" applyBorder="1" applyAlignment="1">
      <alignment horizontal="center"/>
    </xf>
    <xf numFmtId="0" fontId="45" fillId="6" borderId="4" xfId="2" applyFont="1" applyFill="1" applyBorder="1" applyAlignment="1">
      <alignment horizontal="center"/>
    </xf>
    <xf numFmtId="9" fontId="5" fillId="0" borderId="0" xfId="2" applyNumberFormat="1" applyFont="1" applyAlignment="1" applyProtection="1">
      <protection locked="0"/>
    </xf>
    <xf numFmtId="180" fontId="17" fillId="37" borderId="8" xfId="2" applyNumberFormat="1" applyFont="1" applyFill="1" applyBorder="1" applyAlignment="1"/>
    <xf numFmtId="181" fontId="46" fillId="15" borderId="4" xfId="2" applyNumberFormat="1" applyFont="1" applyFill="1" applyBorder="1" applyAlignment="1"/>
    <xf numFmtId="9" fontId="19" fillId="5" borderId="1" xfId="2" applyNumberFormat="1" applyFont="1" applyFill="1" applyBorder="1" applyAlignment="1" applyProtection="1">
      <protection locked="0"/>
    </xf>
    <xf numFmtId="182" fontId="19" fillId="38" borderId="1" xfId="2" applyNumberFormat="1" applyFont="1" applyFill="1" applyBorder="1" applyAlignment="1" applyProtection="1">
      <protection locked="0"/>
    </xf>
    <xf numFmtId="10" fontId="5" fillId="2" borderId="0" xfId="2" applyNumberFormat="1" applyFont="1" applyFill="1" applyAlignment="1"/>
    <xf numFmtId="180" fontId="46" fillId="15" borderId="4" xfId="2" applyNumberFormat="1" applyFont="1" applyFill="1" applyBorder="1" applyAlignment="1"/>
    <xf numFmtId="14" fontId="21" fillId="2" borderId="0" xfId="2" applyNumberFormat="1" applyFont="1" applyFill="1" applyAlignment="1" applyProtection="1">
      <protection locked="0"/>
    </xf>
    <xf numFmtId="0" fontId="25" fillId="16" borderId="1" xfId="2" applyFont="1" applyFill="1" applyBorder="1" applyAlignment="1"/>
    <xf numFmtId="0" fontId="18" fillId="8" borderId="1" xfId="2" applyFont="1" applyFill="1" applyBorder="1" applyAlignment="1" applyProtection="1">
      <protection locked="0"/>
    </xf>
    <xf numFmtId="180" fontId="21" fillId="8" borderId="1" xfId="2" applyNumberFormat="1" applyFont="1" applyFill="1" applyBorder="1" applyAlignment="1" applyProtection="1">
      <alignment horizontal="right"/>
      <protection locked="0"/>
    </xf>
    <xf numFmtId="180" fontId="21" fillId="7" borderId="1" xfId="2" applyNumberFormat="1" applyFont="1" applyFill="1" applyBorder="1" applyAlignment="1">
      <alignment horizontal="right"/>
    </xf>
    <xf numFmtId="10" fontId="5" fillId="0" borderId="0" xfId="2" applyNumberFormat="1" applyFont="1" applyAlignment="1" applyProtection="1">
      <protection locked="0"/>
    </xf>
    <xf numFmtId="0" fontId="21" fillId="2" borderId="0" xfId="2" applyFont="1" applyFill="1" applyAlignment="1" applyProtection="1">
      <alignment horizontal="left"/>
      <protection locked="0"/>
    </xf>
    <xf numFmtId="0" fontId="21" fillId="3" borderId="0" xfId="2" applyFont="1" applyFill="1" applyAlignment="1" applyProtection="1">
      <protection locked="0"/>
    </xf>
    <xf numFmtId="0" fontId="18" fillId="16" borderId="8" xfId="2" applyFont="1" applyFill="1" applyBorder="1" applyAlignment="1" applyProtection="1">
      <protection locked="0"/>
    </xf>
    <xf numFmtId="0" fontId="5" fillId="16" borderId="8" xfId="2" applyFont="1" applyFill="1" applyBorder="1" applyAlignment="1" applyProtection="1">
      <alignment horizontal="center"/>
      <protection locked="0"/>
    </xf>
    <xf numFmtId="0" fontId="18" fillId="16" borderId="3" xfId="2" applyFont="1" applyFill="1" applyBorder="1" applyAlignment="1" applyProtection="1">
      <protection locked="0"/>
    </xf>
    <xf numFmtId="0" fontId="18" fillId="16" borderId="3" xfId="2" applyFont="1" applyFill="1" applyBorder="1" applyAlignment="1" applyProtection="1">
      <alignment horizontal="left"/>
      <protection locked="0"/>
    </xf>
    <xf numFmtId="0" fontId="18" fillId="16" borderId="2" xfId="2" applyFont="1" applyFill="1" applyBorder="1" applyAlignment="1" applyProtection="1">
      <protection locked="0"/>
    </xf>
    <xf numFmtId="0" fontId="18" fillId="2" borderId="14" xfId="2" applyFont="1" applyFill="1" applyBorder="1" applyAlignment="1" applyProtection="1">
      <protection locked="0"/>
    </xf>
    <xf numFmtId="0" fontId="18" fillId="17" borderId="12" xfId="2" applyFont="1" applyFill="1" applyBorder="1" applyAlignment="1" applyProtection="1">
      <protection locked="0"/>
    </xf>
    <xf numFmtId="0" fontId="18" fillId="18" borderId="3" xfId="2" applyFont="1" applyFill="1" applyBorder="1" applyAlignment="1" applyProtection="1">
      <protection locked="0"/>
    </xf>
    <xf numFmtId="0" fontId="18" fillId="16" borderId="5" xfId="2" applyFont="1" applyFill="1" applyBorder="1" applyAlignment="1" applyProtection="1">
      <protection locked="0"/>
    </xf>
    <xf numFmtId="0" fontId="18" fillId="16" borderId="1" xfId="2" applyFont="1" applyFill="1" applyBorder="1" applyAlignment="1" applyProtection="1">
      <protection locked="0"/>
    </xf>
    <xf numFmtId="0" fontId="5" fillId="0" borderId="15" xfId="2" applyFont="1" applyBorder="1" applyAlignment="1" applyProtection="1">
      <protection locked="0"/>
    </xf>
    <xf numFmtId="0" fontId="18" fillId="19" borderId="3" xfId="2" applyFont="1" applyFill="1" applyBorder="1" applyAlignment="1" applyProtection="1">
      <protection locked="0"/>
    </xf>
    <xf numFmtId="0" fontId="18" fillId="16" borderId="4" xfId="2" applyFont="1" applyFill="1" applyBorder="1" applyAlignment="1" applyProtection="1">
      <protection locked="0"/>
    </xf>
    <xf numFmtId="187" fontId="21" fillId="13" borderId="10" xfId="2" applyNumberFormat="1" applyFont="1" applyFill="1" applyBorder="1" applyAlignment="1">
      <alignment horizontal="center"/>
    </xf>
    <xf numFmtId="184" fontId="21" fillId="13" borderId="10" xfId="2" applyNumberFormat="1" applyFont="1" applyFill="1" applyBorder="1" applyAlignment="1">
      <alignment horizontal="right"/>
    </xf>
    <xf numFmtId="188" fontId="21" fillId="13" borderId="10" xfId="2" applyNumberFormat="1" applyFont="1" applyFill="1" applyBorder="1" applyAlignment="1">
      <alignment horizontal="left"/>
    </xf>
    <xf numFmtId="0" fontId="21" fillId="8" borderId="17" xfId="2" applyFont="1" applyFill="1" applyBorder="1" applyAlignment="1" applyProtection="1">
      <protection locked="0"/>
    </xf>
    <xf numFmtId="181" fontId="18" fillId="2" borderId="14" xfId="2" applyNumberFormat="1" applyFont="1" applyFill="1" applyBorder="1" applyAlignment="1" applyProtection="1">
      <alignment horizontal="right"/>
      <protection locked="0"/>
    </xf>
    <xf numFmtId="181" fontId="18" fillId="8" borderId="17" xfId="2" applyNumberFormat="1" applyFont="1" applyFill="1" applyBorder="1" applyAlignment="1" applyProtection="1">
      <alignment horizontal="right"/>
      <protection locked="0"/>
    </xf>
    <xf numFmtId="181" fontId="18" fillId="23" borderId="12" xfId="2" applyNumberFormat="1" applyFont="1" applyFill="1" applyBorder="1" applyAlignment="1" applyProtection="1">
      <alignment horizontal="right"/>
      <protection locked="0"/>
    </xf>
    <xf numFmtId="0" fontId="5" fillId="7" borderId="0" xfId="2" applyFont="1" applyFill="1" applyAlignment="1"/>
    <xf numFmtId="186" fontId="21" fillId="7" borderId="14" xfId="2" applyNumberFormat="1" applyFont="1" applyFill="1" applyBorder="1" applyAlignment="1"/>
    <xf numFmtId="188" fontId="5" fillId="2" borderId="8" xfId="2" applyNumberFormat="1" applyFont="1" applyFill="1" applyBorder="1" applyAlignment="1" applyProtection="1">
      <protection locked="0"/>
    </xf>
    <xf numFmtId="187" fontId="5" fillId="2" borderId="8" xfId="2" applyNumberFormat="1" applyFont="1" applyFill="1" applyBorder="1" applyAlignment="1" applyProtection="1">
      <protection locked="0"/>
    </xf>
    <xf numFmtId="188" fontId="5" fillId="2" borderId="0" xfId="2" applyNumberFormat="1" applyFont="1" applyFill="1" applyAlignment="1" applyProtection="1">
      <protection locked="0"/>
    </xf>
    <xf numFmtId="186" fontId="21" fillId="7" borderId="14" xfId="2" applyNumberFormat="1" applyFont="1" applyFill="1" applyBorder="1" applyAlignment="1">
      <alignment horizontal="right"/>
    </xf>
    <xf numFmtId="180" fontId="18" fillId="2" borderId="14" xfId="2" applyNumberFormat="1" applyFont="1" applyFill="1" applyBorder="1" applyAlignment="1" applyProtection="1">
      <alignment horizontal="right"/>
      <protection locked="0"/>
    </xf>
    <xf numFmtId="180" fontId="18" fillId="8" borderId="17" xfId="2" applyNumberFormat="1" applyFont="1" applyFill="1" applyBorder="1" applyAlignment="1" applyProtection="1">
      <alignment horizontal="right"/>
      <protection locked="0"/>
    </xf>
    <xf numFmtId="180" fontId="18" fillId="23" borderId="12" xfId="2" applyNumberFormat="1" applyFont="1" applyFill="1" applyBorder="1" applyAlignment="1" applyProtection="1">
      <alignment horizontal="right"/>
      <protection locked="0"/>
    </xf>
    <xf numFmtId="187" fontId="21" fillId="13" borderId="28" xfId="2" applyNumberFormat="1" applyFont="1" applyFill="1" applyBorder="1" applyAlignment="1">
      <alignment horizontal="center"/>
    </xf>
    <xf numFmtId="184" fontId="21" fillId="13" borderId="28" xfId="2" applyNumberFormat="1" applyFont="1" applyFill="1" applyBorder="1" applyAlignment="1">
      <alignment horizontal="right"/>
    </xf>
    <xf numFmtId="188" fontId="21" fillId="13" borderId="20" xfId="2" applyNumberFormat="1" applyFont="1" applyFill="1" applyBorder="1" applyAlignment="1">
      <alignment horizontal="left"/>
    </xf>
    <xf numFmtId="0" fontId="21" fillId="8" borderId="30" xfId="2" applyFont="1" applyFill="1" applyBorder="1" applyAlignment="1" applyProtection="1">
      <protection locked="0"/>
    </xf>
    <xf numFmtId="180" fontId="18" fillId="2" borderId="27" xfId="2" applyNumberFormat="1" applyFont="1" applyFill="1" applyBorder="1" applyAlignment="1" applyProtection="1">
      <alignment horizontal="right"/>
      <protection locked="0"/>
    </xf>
    <xf numFmtId="180" fontId="18" fillId="8" borderId="30" xfId="2" applyNumberFormat="1" applyFont="1" applyFill="1" applyBorder="1" applyAlignment="1" applyProtection="1">
      <alignment horizontal="right"/>
      <protection locked="0"/>
    </xf>
    <xf numFmtId="0" fontId="5" fillId="7" borderId="30" xfId="2" applyFont="1" applyFill="1" applyBorder="1" applyAlignment="1"/>
    <xf numFmtId="181" fontId="18" fillId="7" borderId="20" xfId="2" applyNumberFormat="1" applyFont="1" applyFill="1" applyBorder="1" applyAlignment="1"/>
    <xf numFmtId="180" fontId="21" fillId="7" borderId="27" xfId="2" applyNumberFormat="1" applyFont="1" applyFill="1" applyBorder="1" applyAlignment="1">
      <alignment horizontal="right"/>
    </xf>
    <xf numFmtId="0" fontId="5" fillId="8" borderId="59" xfId="2" applyFont="1" applyFill="1" applyBorder="1" applyAlignment="1" applyProtection="1">
      <alignment horizontal="center"/>
      <protection locked="0"/>
    </xf>
    <xf numFmtId="0" fontId="21" fillId="7" borderId="27" xfId="2" applyFont="1" applyFill="1" applyBorder="1" applyAlignment="1"/>
    <xf numFmtId="180" fontId="17" fillId="2" borderId="14" xfId="2" applyNumberFormat="1" applyFont="1" applyFill="1" applyBorder="1" applyAlignment="1" applyProtection="1">
      <alignment horizontal="right"/>
      <protection locked="0"/>
    </xf>
    <xf numFmtId="180" fontId="17" fillId="8" borderId="17" xfId="2" applyNumberFormat="1" applyFont="1" applyFill="1" applyBorder="1" applyAlignment="1" applyProtection="1">
      <alignment horizontal="right"/>
      <protection locked="0"/>
    </xf>
    <xf numFmtId="180" fontId="17" fillId="23" borderId="12" xfId="2" applyNumberFormat="1" applyFont="1" applyFill="1" applyBorder="1" applyAlignment="1" applyProtection="1">
      <alignment horizontal="right"/>
      <protection locked="0"/>
    </xf>
    <xf numFmtId="0" fontId="6" fillId="0" borderId="0" xfId="2" applyFont="1" applyAlignment="1" applyProtection="1">
      <alignment horizontal="center"/>
      <protection locked="0"/>
    </xf>
    <xf numFmtId="0" fontId="47" fillId="12" borderId="0" xfId="2" applyFont="1" applyFill="1">
      <alignment vertical="center"/>
    </xf>
    <xf numFmtId="0" fontId="32" fillId="12" borderId="0" xfId="2" applyFont="1" applyFill="1">
      <alignment vertical="center"/>
    </xf>
    <xf numFmtId="0" fontId="47" fillId="12" borderId="0" xfId="2" applyFont="1" applyFill="1" applyAlignment="1">
      <alignment horizontal="right" vertical="center"/>
    </xf>
    <xf numFmtId="0" fontId="47" fillId="12" borderId="0" xfId="2" applyFont="1" applyFill="1" applyAlignment="1">
      <alignment horizontal="center" vertical="center"/>
    </xf>
    <xf numFmtId="0" fontId="48" fillId="12" borderId="0" xfId="2" applyFont="1" applyFill="1" applyAlignment="1"/>
    <xf numFmtId="0" fontId="32" fillId="12" borderId="1" xfId="2" applyFont="1" applyFill="1" applyBorder="1">
      <alignment vertical="center"/>
    </xf>
    <xf numFmtId="0" fontId="49" fillId="12" borderId="1" xfId="2" applyFont="1" applyFill="1" applyBorder="1" applyAlignment="1">
      <alignment horizontal="right" vertical="center"/>
    </xf>
    <xf numFmtId="9" fontId="4" fillId="12" borderId="0" xfId="5" applyFill="1">
      <alignment vertical="center"/>
    </xf>
    <xf numFmtId="0" fontId="51" fillId="40" borderId="1" xfId="2" applyFont="1" applyFill="1" applyBorder="1" applyAlignment="1">
      <alignment horizontal="right" vertical="center"/>
    </xf>
    <xf numFmtId="0" fontId="53" fillId="12" borderId="0" xfId="2" applyFont="1" applyFill="1" applyAlignment="1">
      <alignment horizontal="center" vertical="center"/>
    </xf>
    <xf numFmtId="177" fontId="54" fillId="12" borderId="1" xfId="2" applyNumberFormat="1" applyFont="1" applyFill="1" applyBorder="1">
      <alignment vertical="center"/>
    </xf>
    <xf numFmtId="0" fontId="54" fillId="12" borderId="1" xfId="2" applyFont="1" applyFill="1" applyBorder="1">
      <alignment vertical="center"/>
    </xf>
    <xf numFmtId="0" fontId="54" fillId="12" borderId="61" xfId="2" applyFont="1" applyFill="1" applyBorder="1">
      <alignment vertical="center"/>
    </xf>
    <xf numFmtId="0" fontId="54" fillId="12" borderId="0" xfId="2" applyFont="1" applyFill="1">
      <alignment vertical="center"/>
    </xf>
    <xf numFmtId="56" fontId="32" fillId="12" borderId="1" xfId="2" applyNumberFormat="1" applyFont="1" applyFill="1" applyBorder="1">
      <alignment vertical="center"/>
    </xf>
    <xf numFmtId="194" fontId="32" fillId="12" borderId="1" xfId="2" applyNumberFormat="1" applyFont="1" applyFill="1" applyBorder="1" applyAlignment="1">
      <alignment horizontal="center" vertical="center"/>
    </xf>
    <xf numFmtId="0" fontId="32" fillId="12" borderId="1" xfId="2" applyFont="1" applyFill="1" applyBorder="1" applyAlignment="1">
      <alignment horizontal="center" vertical="center"/>
    </xf>
    <xf numFmtId="177" fontId="32" fillId="12" borderId="1" xfId="2" applyNumberFormat="1" applyFont="1" applyFill="1" applyBorder="1">
      <alignment vertical="center"/>
    </xf>
    <xf numFmtId="0" fontId="32" fillId="12" borderId="0" xfId="2" applyFont="1" applyFill="1" applyAlignment="1">
      <alignment horizontal="center" vertical="center"/>
    </xf>
    <xf numFmtId="0" fontId="37" fillId="0" borderId="0" xfId="2" applyFont="1">
      <alignment vertical="center"/>
    </xf>
    <xf numFmtId="0" fontId="32" fillId="0" borderId="0" xfId="2" applyFont="1">
      <alignment vertical="center"/>
    </xf>
    <xf numFmtId="0" fontId="55" fillId="0" borderId="1" xfId="2" applyFont="1" applyBorder="1">
      <alignment vertical="center"/>
    </xf>
    <xf numFmtId="0" fontId="56" fillId="0" borderId="1" xfId="2" applyFont="1" applyBorder="1">
      <alignment vertical="center"/>
    </xf>
    <xf numFmtId="177" fontId="56" fillId="5" borderId="1" xfId="2" applyNumberFormat="1" applyFont="1" applyFill="1" applyBorder="1">
      <alignment vertical="center"/>
    </xf>
    <xf numFmtId="10" fontId="56" fillId="0" borderId="1" xfId="2" applyNumberFormat="1" applyFont="1" applyBorder="1">
      <alignment vertical="center"/>
    </xf>
    <xf numFmtId="0" fontId="32" fillId="0" borderId="0" xfId="2" applyFont="1" applyProtection="1">
      <alignment vertical="center"/>
      <protection locked="0"/>
    </xf>
    <xf numFmtId="177" fontId="57" fillId="29" borderId="1" xfId="2" applyNumberFormat="1" applyFont="1" applyFill="1" applyBorder="1">
      <alignment vertical="center"/>
    </xf>
    <xf numFmtId="0" fontId="32" fillId="0" borderId="1" xfId="2" applyFont="1" applyBorder="1">
      <alignment vertical="center"/>
    </xf>
    <xf numFmtId="0" fontId="58" fillId="0" borderId="1" xfId="2" applyFont="1" applyBorder="1">
      <alignment vertical="center"/>
    </xf>
    <xf numFmtId="0" fontId="58" fillId="31" borderId="1" xfId="2" applyFont="1" applyFill="1" applyBorder="1">
      <alignment vertical="center"/>
    </xf>
    <xf numFmtId="0" fontId="59" fillId="0" borderId="1" xfId="2" applyFont="1" applyBorder="1">
      <alignment vertical="center"/>
    </xf>
    <xf numFmtId="177" fontId="59" fillId="0" borderId="1" xfId="2" applyNumberFormat="1" applyFont="1" applyBorder="1">
      <alignment vertical="center"/>
    </xf>
    <xf numFmtId="10" fontId="59" fillId="0" borderId="1" xfId="5" applyNumberFormat="1" applyFont="1" applyBorder="1">
      <alignment vertical="center"/>
    </xf>
    <xf numFmtId="177" fontId="59" fillId="31" borderId="1" xfId="2" applyNumberFormat="1" applyFont="1" applyFill="1" applyBorder="1">
      <alignment vertical="center"/>
    </xf>
    <xf numFmtId="195" fontId="59" fillId="0" borderId="1" xfId="2" applyNumberFormat="1" applyFont="1" applyBorder="1">
      <alignment vertical="center"/>
    </xf>
    <xf numFmtId="0" fontId="60" fillId="0" borderId="1" xfId="2" applyFont="1" applyBorder="1">
      <alignment vertical="center"/>
    </xf>
    <xf numFmtId="177" fontId="56" fillId="0" borderId="1" xfId="2" applyNumberFormat="1" applyFont="1" applyBorder="1">
      <alignment vertical="center"/>
    </xf>
    <xf numFmtId="177" fontId="31" fillId="0" borderId="1" xfId="2" applyNumberFormat="1" applyFont="1" applyBorder="1">
      <alignment vertical="center"/>
    </xf>
    <xf numFmtId="10" fontId="31" fillId="0" borderId="1" xfId="2" applyNumberFormat="1" applyFont="1" applyBorder="1">
      <alignment vertical="center"/>
    </xf>
    <xf numFmtId="0" fontId="31" fillId="0" borderId="1" xfId="2" applyFont="1" applyBorder="1">
      <alignment vertical="center"/>
    </xf>
    <xf numFmtId="0" fontId="61" fillId="0" borderId="1" xfId="2" applyFont="1" applyBorder="1">
      <alignment vertical="center"/>
    </xf>
    <xf numFmtId="0" fontId="63" fillId="0" borderId="0" xfId="8" applyFont="1">
      <alignment vertical="center"/>
    </xf>
    <xf numFmtId="0" fontId="39" fillId="0" borderId="0" xfId="8" applyFont="1" applyAlignment="1">
      <alignment horizontal="right" vertical="center"/>
    </xf>
    <xf numFmtId="177" fontId="63" fillId="0" borderId="0" xfId="8" applyNumberFormat="1" applyFont="1">
      <alignment vertical="center"/>
    </xf>
    <xf numFmtId="0" fontId="39" fillId="0" borderId="0" xfId="8" applyFont="1" applyAlignment="1">
      <alignment horizontal="left" vertical="center"/>
    </xf>
    <xf numFmtId="177" fontId="39" fillId="0" borderId="0" xfId="9" applyFont="1" applyAlignment="1">
      <alignment vertical="center"/>
    </xf>
    <xf numFmtId="177" fontId="39" fillId="0" borderId="0" xfId="8" applyNumberFormat="1" applyFont="1">
      <alignment vertical="center"/>
    </xf>
    <xf numFmtId="0" fontId="23" fillId="0" borderId="1" xfId="8" applyFont="1" applyBorder="1">
      <alignment vertical="center"/>
    </xf>
    <xf numFmtId="0" fontId="23" fillId="0" borderId="31" xfId="8" applyFont="1" applyBorder="1">
      <alignment vertical="center"/>
    </xf>
    <xf numFmtId="0" fontId="23" fillId="0" borderId="12" xfId="8" applyFont="1" applyBorder="1">
      <alignment vertical="center"/>
    </xf>
    <xf numFmtId="0" fontId="23" fillId="0" borderId="36" xfId="8" applyFont="1" applyBorder="1">
      <alignment vertical="center"/>
    </xf>
    <xf numFmtId="0" fontId="39" fillId="0" borderId="31" xfId="8" applyFont="1" applyBorder="1">
      <alignment vertical="center"/>
    </xf>
    <xf numFmtId="0" fontId="64" fillId="0" borderId="0" xfId="8" applyFont="1">
      <alignment vertical="center"/>
    </xf>
    <xf numFmtId="177" fontId="28" fillId="30" borderId="1" xfId="8" applyNumberFormat="1" applyFont="1" applyFill="1" applyBorder="1" applyAlignment="1">
      <alignment horizontal="center" vertical="center"/>
    </xf>
    <xf numFmtId="10" fontId="63" fillId="30" borderId="1" xfId="10" applyNumberFormat="1" applyFont="1" applyFill="1" applyBorder="1" applyAlignment="1">
      <alignment vertical="center"/>
    </xf>
    <xf numFmtId="177" fontId="63" fillId="30" borderId="31" xfId="8" applyNumberFormat="1" applyFont="1" applyFill="1" applyBorder="1">
      <alignment vertical="center"/>
    </xf>
    <xf numFmtId="177" fontId="63" fillId="0" borderId="12" xfId="8" applyNumberFormat="1" applyFont="1" applyBorder="1">
      <alignment vertical="center"/>
    </xf>
    <xf numFmtId="10" fontId="63" fillId="30" borderId="36" xfId="10" applyNumberFormat="1" applyFont="1" applyFill="1" applyBorder="1" applyAlignment="1">
      <alignment vertical="center"/>
    </xf>
    <xf numFmtId="177" fontId="38" fillId="30" borderId="31" xfId="8" applyNumberFormat="1" applyFont="1" applyFill="1" applyBorder="1">
      <alignment vertical="center"/>
    </xf>
    <xf numFmtId="177" fontId="38" fillId="30" borderId="1" xfId="8" applyNumberFormat="1" applyFont="1" applyFill="1" applyBorder="1">
      <alignment vertical="center"/>
    </xf>
    <xf numFmtId="177" fontId="17" fillId="0" borderId="12" xfId="8" applyNumberFormat="1" applyFont="1" applyBorder="1">
      <alignment vertical="center"/>
    </xf>
    <xf numFmtId="177" fontId="63" fillId="30" borderId="36" xfId="8" applyNumberFormat="1" applyFont="1" applyFill="1" applyBorder="1">
      <alignment vertical="center"/>
    </xf>
    <xf numFmtId="177" fontId="28" fillId="0" borderId="1" xfId="8" applyNumberFormat="1" applyFont="1" applyBorder="1" applyAlignment="1">
      <alignment horizontal="center" vertical="center"/>
    </xf>
    <xf numFmtId="10" fontId="63" fillId="0" borderId="1" xfId="10" applyNumberFormat="1" applyFont="1" applyBorder="1" applyAlignment="1">
      <alignment vertical="center"/>
    </xf>
    <xf numFmtId="177" fontId="63" fillId="0" borderId="31" xfId="8" applyNumberFormat="1" applyFont="1" applyBorder="1">
      <alignment vertical="center"/>
    </xf>
    <xf numFmtId="10" fontId="63" fillId="0" borderId="36" xfId="10" applyNumberFormat="1" applyFont="1" applyBorder="1" applyAlignment="1">
      <alignment vertical="center"/>
    </xf>
    <xf numFmtId="177" fontId="38" fillId="0" borderId="31" xfId="8" applyNumberFormat="1" applyFont="1" applyBorder="1">
      <alignment vertical="center"/>
    </xf>
    <xf numFmtId="177" fontId="38" fillId="0" borderId="1" xfId="8" applyNumberFormat="1" applyFont="1" applyBorder="1">
      <alignment vertical="center"/>
    </xf>
    <xf numFmtId="177" fontId="63" fillId="0" borderId="36" xfId="8" applyNumberFormat="1" applyFont="1" applyBorder="1">
      <alignment vertical="center"/>
    </xf>
    <xf numFmtId="177" fontId="39" fillId="41" borderId="1" xfId="8" applyNumberFormat="1" applyFont="1" applyFill="1" applyBorder="1">
      <alignment vertical="center"/>
    </xf>
    <xf numFmtId="10" fontId="39" fillId="41" borderId="1" xfId="10" applyNumberFormat="1" applyFont="1" applyFill="1" applyBorder="1">
      <alignment vertical="center"/>
    </xf>
    <xf numFmtId="10" fontId="63" fillId="0" borderId="0" xfId="10" applyNumberFormat="1" applyFont="1">
      <alignment vertical="center"/>
    </xf>
    <xf numFmtId="177" fontId="65" fillId="30" borderId="1" xfId="9" applyFont="1" applyFill="1" applyBorder="1" applyAlignment="1">
      <alignment horizontal="center" vertical="center"/>
    </xf>
    <xf numFmtId="177" fontId="65" fillId="30" borderId="1" xfId="8" applyNumberFormat="1" applyFont="1" applyFill="1" applyBorder="1">
      <alignment vertical="center"/>
    </xf>
    <xf numFmtId="183" fontId="65" fillId="0" borderId="1" xfId="8" applyNumberFormat="1" applyFont="1" applyBorder="1" applyAlignment="1">
      <alignment horizontal="center" vertical="center"/>
    </xf>
    <xf numFmtId="183" fontId="65" fillId="42" borderId="1" xfId="8" applyNumberFormat="1" applyFont="1" applyFill="1" applyBorder="1" applyAlignment="1">
      <alignment horizontal="center" vertical="center"/>
    </xf>
    <xf numFmtId="177" fontId="65" fillId="0" borderId="1" xfId="9" applyFont="1" applyFill="1" applyBorder="1" applyAlignment="1">
      <alignment horizontal="center" vertical="center"/>
    </xf>
    <xf numFmtId="177" fontId="65" fillId="0" borderId="1" xfId="8" applyNumberFormat="1" applyFont="1" applyBorder="1">
      <alignment vertical="center"/>
    </xf>
    <xf numFmtId="183" fontId="63" fillId="0" borderId="0" xfId="8" applyNumberFormat="1" applyFont="1">
      <alignment vertical="center"/>
    </xf>
    <xf numFmtId="177" fontId="66" fillId="0" borderId="0" xfId="8" applyNumberFormat="1" applyFont="1">
      <alignment vertical="center"/>
    </xf>
    <xf numFmtId="0" fontId="63" fillId="0" borderId="1" xfId="8" applyFont="1" applyBorder="1">
      <alignment vertical="center"/>
    </xf>
    <xf numFmtId="177" fontId="63" fillId="0" borderId="1" xfId="9" applyFont="1" applyBorder="1">
      <alignment vertical="center"/>
    </xf>
    <xf numFmtId="177" fontId="23" fillId="0" borderId="1" xfId="8" applyNumberFormat="1" applyFont="1" applyBorder="1">
      <alignment vertical="center"/>
    </xf>
    <xf numFmtId="0" fontId="62" fillId="34" borderId="0" xfId="8" applyFill="1" applyProtection="1">
      <alignment vertical="center"/>
      <protection locked="0"/>
    </xf>
    <xf numFmtId="0" fontId="62" fillId="34" borderId="0" xfId="8" applyFill="1" applyAlignment="1">
      <alignment horizontal="right" vertical="center"/>
    </xf>
    <xf numFmtId="0" fontId="62" fillId="34" borderId="1" xfId="8" applyFill="1" applyBorder="1">
      <alignment vertical="center"/>
    </xf>
    <xf numFmtId="0" fontId="62" fillId="0" borderId="0" xfId="8" applyProtection="1">
      <alignment vertical="center"/>
      <protection locked="0"/>
    </xf>
    <xf numFmtId="0" fontId="67" fillId="0" borderId="1" xfId="8" applyFont="1" applyBorder="1" applyAlignment="1" applyProtection="1">
      <alignment horizontal="center" vertical="center"/>
      <protection locked="0"/>
    </xf>
    <xf numFmtId="177" fontId="1" fillId="34" borderId="1" xfId="8" applyNumberFormat="1" applyFont="1" applyFill="1" applyBorder="1">
      <alignment vertical="center"/>
    </xf>
    <xf numFmtId="0" fontId="69" fillId="0" borderId="63" xfId="8" applyFont="1" applyBorder="1" applyAlignment="1" applyProtection="1">
      <alignment horizontal="right" vertical="center"/>
      <protection locked="0"/>
    </xf>
    <xf numFmtId="0" fontId="70" fillId="0" borderId="0" xfId="8" applyFont="1" applyAlignment="1" applyProtection="1">
      <alignment horizontal="center" vertical="center"/>
      <protection locked="0"/>
    </xf>
    <xf numFmtId="0" fontId="68" fillId="0" borderId="0" xfId="8" applyFont="1" applyProtection="1">
      <alignment vertical="center"/>
      <protection locked="0"/>
    </xf>
    <xf numFmtId="0" fontId="72" fillId="34" borderId="57" xfId="8" applyFont="1" applyFill="1" applyBorder="1" applyAlignment="1" applyProtection="1">
      <alignment horizontal="right" vertical="center"/>
      <protection locked="0"/>
    </xf>
    <xf numFmtId="177" fontId="74" fillId="0" borderId="0" xfId="9" applyFont="1" applyFill="1" applyBorder="1" applyAlignment="1" applyProtection="1">
      <alignment horizontal="center" vertical="center"/>
      <protection locked="0"/>
    </xf>
    <xf numFmtId="0" fontId="72" fillId="34" borderId="31" xfId="8" applyFont="1" applyFill="1" applyBorder="1" applyAlignment="1" applyProtection="1">
      <alignment horizontal="right" vertical="center"/>
      <protection locked="0"/>
    </xf>
    <xf numFmtId="0" fontId="72" fillId="34" borderId="0" xfId="8" applyFont="1" applyFill="1" applyAlignment="1" applyProtection="1">
      <alignment horizontal="right" vertical="center"/>
      <protection locked="0"/>
    </xf>
    <xf numFmtId="0" fontId="75" fillId="34" borderId="70" xfId="8" applyFont="1" applyFill="1" applyBorder="1" applyAlignment="1" applyProtection="1">
      <alignment horizontal="right" vertical="center"/>
      <protection locked="0"/>
    </xf>
    <xf numFmtId="177" fontId="76" fillId="0" borderId="0" xfId="9" applyFont="1" applyFill="1" applyBorder="1" applyAlignment="1" applyProtection="1">
      <alignment horizontal="center" vertical="center"/>
    </xf>
    <xf numFmtId="0" fontId="75" fillId="34" borderId="73" xfId="8" applyFont="1" applyFill="1" applyBorder="1" applyAlignment="1" applyProtection="1">
      <alignment horizontal="right" vertical="center"/>
      <protection locked="0"/>
    </xf>
    <xf numFmtId="177" fontId="78" fillId="34" borderId="74" xfId="9" applyFont="1" applyFill="1" applyBorder="1" applyAlignment="1" applyProtection="1">
      <alignment horizontal="center" vertical="center"/>
    </xf>
    <xf numFmtId="10" fontId="78" fillId="43" borderId="74" xfId="10" applyNumberFormat="1" applyFont="1" applyFill="1" applyBorder="1" applyAlignment="1" applyProtection="1">
      <alignment horizontal="center" vertical="center"/>
    </xf>
    <xf numFmtId="10" fontId="78" fillId="44" borderId="74" xfId="10" applyNumberFormat="1" applyFont="1" applyFill="1" applyBorder="1" applyAlignment="1" applyProtection="1">
      <alignment horizontal="center" vertical="center"/>
    </xf>
    <xf numFmtId="0" fontId="75" fillId="34" borderId="1" xfId="8" applyFont="1" applyFill="1" applyBorder="1" applyAlignment="1" applyProtection="1">
      <alignment horizontal="right" vertical="center"/>
      <protection locked="0"/>
    </xf>
    <xf numFmtId="177" fontId="78" fillId="34" borderId="1" xfId="9" applyFont="1" applyFill="1" applyBorder="1" applyAlignment="1" applyProtection="1">
      <alignment horizontal="center" vertical="center"/>
    </xf>
    <xf numFmtId="10" fontId="78" fillId="43" borderId="1" xfId="10" applyNumberFormat="1" applyFont="1" applyFill="1" applyBorder="1" applyAlignment="1" applyProtection="1">
      <alignment horizontal="center" vertical="center"/>
    </xf>
    <xf numFmtId="10" fontId="78" fillId="44" borderId="1" xfId="10" applyNumberFormat="1" applyFont="1" applyFill="1" applyBorder="1" applyAlignment="1" applyProtection="1">
      <alignment horizontal="center" vertical="center"/>
    </xf>
    <xf numFmtId="10" fontId="0" fillId="0" borderId="0" xfId="10" applyNumberFormat="1" applyFont="1" applyProtection="1">
      <alignment vertical="center"/>
      <protection locked="0"/>
    </xf>
    <xf numFmtId="0" fontId="79" fillId="34" borderId="64" xfId="8" applyFont="1" applyFill="1" applyBorder="1" applyAlignment="1" applyProtection="1">
      <alignment horizontal="right" vertical="center"/>
      <protection locked="0"/>
    </xf>
    <xf numFmtId="177" fontId="80" fillId="34" borderId="64" xfId="9" applyFont="1" applyFill="1" applyBorder="1" applyAlignment="1" applyProtection="1">
      <alignment horizontal="center" vertical="center"/>
    </xf>
    <xf numFmtId="10" fontId="80" fillId="43" borderId="64" xfId="10" applyNumberFormat="1" applyFont="1" applyFill="1" applyBorder="1" applyAlignment="1" applyProtection="1">
      <alignment horizontal="center" vertical="center"/>
    </xf>
    <xf numFmtId="177" fontId="80" fillId="0" borderId="0" xfId="9" applyFont="1" applyFill="1" applyBorder="1" applyAlignment="1" applyProtection="1">
      <alignment horizontal="center" vertical="center"/>
    </xf>
    <xf numFmtId="10" fontId="80" fillId="44" borderId="64" xfId="10" applyNumberFormat="1" applyFont="1" applyFill="1" applyBorder="1" applyAlignment="1" applyProtection="1">
      <alignment horizontal="center" vertical="center"/>
    </xf>
    <xf numFmtId="0" fontId="81" fillId="0" borderId="0" xfId="8" applyFont="1" applyProtection="1">
      <alignment vertical="center"/>
      <protection locked="0"/>
    </xf>
    <xf numFmtId="0" fontId="82" fillId="34" borderId="71" xfId="8" applyFont="1" applyFill="1" applyBorder="1" applyAlignment="1" applyProtection="1">
      <alignment horizontal="right" vertical="center"/>
      <protection locked="0"/>
    </xf>
    <xf numFmtId="0" fontId="83" fillId="34" borderId="72" xfId="8" applyFont="1" applyFill="1" applyBorder="1" applyAlignment="1">
      <alignment horizontal="center" vertical="center"/>
    </xf>
    <xf numFmtId="0" fontId="83" fillId="43" borderId="74" xfId="8" applyFont="1" applyFill="1" applyBorder="1" applyAlignment="1">
      <alignment horizontal="center" vertical="center" shrinkToFit="1"/>
    </xf>
    <xf numFmtId="0" fontId="84" fillId="0" borderId="0" xfId="8" applyFont="1" applyAlignment="1">
      <alignment horizontal="center" vertical="center"/>
    </xf>
    <xf numFmtId="0" fontId="83" fillId="34" borderId="73" xfId="8" applyFont="1" applyFill="1" applyBorder="1" applyAlignment="1">
      <alignment horizontal="center" vertical="center"/>
    </xf>
    <xf numFmtId="0" fontId="83" fillId="34" borderId="74" xfId="8" applyFont="1" applyFill="1" applyBorder="1" applyAlignment="1">
      <alignment horizontal="center" vertical="center" shrinkToFit="1"/>
    </xf>
    <xf numFmtId="0" fontId="83" fillId="34" borderId="1" xfId="8" applyFont="1" applyFill="1" applyBorder="1" applyAlignment="1" applyProtection="1">
      <alignment horizontal="right" vertical="center"/>
      <protection locked="0"/>
    </xf>
    <xf numFmtId="177" fontId="83" fillId="0" borderId="1" xfId="9" applyFont="1" applyFill="1" applyBorder="1" applyAlignment="1" applyProtection="1">
      <alignment horizontal="center" vertical="center"/>
      <protection locked="0"/>
    </xf>
    <xf numFmtId="10" fontId="83" fillId="43" borderId="1" xfId="10" applyNumberFormat="1" applyFont="1" applyFill="1" applyBorder="1" applyProtection="1">
      <alignment vertical="center"/>
    </xf>
    <xf numFmtId="177" fontId="82" fillId="0" borderId="1" xfId="9" applyFont="1" applyBorder="1" applyAlignment="1" applyProtection="1">
      <alignment horizontal="center" vertical="center"/>
      <protection locked="0"/>
    </xf>
    <xf numFmtId="0" fontId="84" fillId="0" borderId="0" xfId="8" applyFont="1" applyAlignment="1" applyProtection="1">
      <alignment horizontal="center" vertical="center"/>
      <protection locked="0"/>
    </xf>
    <xf numFmtId="177" fontId="1" fillId="34" borderId="1" xfId="8" applyNumberFormat="1" applyFont="1" applyFill="1" applyBorder="1" applyAlignment="1" applyProtection="1">
      <alignment horizontal="center" vertical="center"/>
      <protection locked="0"/>
    </xf>
    <xf numFmtId="10" fontId="0" fillId="44" borderId="1" xfId="10" applyNumberFormat="1" applyFont="1" applyFill="1" applyBorder="1" applyProtection="1">
      <alignment vertical="center"/>
    </xf>
    <xf numFmtId="177" fontId="83" fillId="0" borderId="1" xfId="9" applyFont="1" applyBorder="1" applyAlignment="1" applyProtection="1">
      <alignment horizontal="center" vertical="center"/>
      <protection locked="0"/>
    </xf>
    <xf numFmtId="10" fontId="83" fillId="43" borderId="1" xfId="10" applyNumberFormat="1" applyFont="1" applyFill="1" applyBorder="1" applyAlignment="1" applyProtection="1">
      <alignment vertical="center"/>
    </xf>
    <xf numFmtId="0" fontId="82" fillId="34" borderId="50" xfId="8" applyFont="1" applyFill="1" applyBorder="1" applyAlignment="1" applyProtection="1">
      <alignment horizontal="right" vertical="center"/>
      <protection locked="0"/>
    </xf>
    <xf numFmtId="177" fontId="83" fillId="34" borderId="58" xfId="9" applyFont="1" applyFill="1" applyBorder="1" applyAlignment="1" applyProtection="1">
      <alignment horizontal="center" vertical="center"/>
    </xf>
    <xf numFmtId="10" fontId="83" fillId="43" borderId="50" xfId="10" applyNumberFormat="1" applyFont="1" applyFill="1" applyBorder="1" applyAlignment="1" applyProtection="1">
      <alignment vertical="center"/>
    </xf>
    <xf numFmtId="0" fontId="82" fillId="34" borderId="64" xfId="8" applyFont="1" applyFill="1" applyBorder="1" applyAlignment="1" applyProtection="1">
      <alignment horizontal="right" vertical="center"/>
      <protection locked="0"/>
    </xf>
    <xf numFmtId="177" fontId="83" fillId="0" borderId="64" xfId="9" applyFont="1" applyBorder="1" applyAlignment="1" applyProtection="1">
      <alignment horizontal="center" vertical="center"/>
      <protection locked="0"/>
    </xf>
    <xf numFmtId="10" fontId="83" fillId="43" borderId="64" xfId="10" applyNumberFormat="1" applyFont="1" applyFill="1" applyBorder="1" applyProtection="1">
      <alignment vertical="center"/>
    </xf>
    <xf numFmtId="177" fontId="82" fillId="0" borderId="64" xfId="9" applyFont="1" applyBorder="1" applyAlignment="1" applyProtection="1">
      <alignment horizontal="center" vertical="center"/>
      <protection locked="0"/>
    </xf>
    <xf numFmtId="177" fontId="1" fillId="34" borderId="64" xfId="8" applyNumberFormat="1" applyFont="1" applyFill="1" applyBorder="1" applyAlignment="1" applyProtection="1">
      <alignment horizontal="center" vertical="center"/>
      <protection locked="0"/>
    </xf>
    <xf numFmtId="10" fontId="0" fillId="44" borderId="64" xfId="10" applyNumberFormat="1" applyFont="1" applyFill="1" applyBorder="1" applyProtection="1">
      <alignment vertical="center"/>
    </xf>
    <xf numFmtId="177" fontId="83" fillId="45" borderId="50" xfId="9" applyFont="1" applyFill="1" applyBorder="1" applyAlignment="1" applyProtection="1">
      <alignment horizontal="center" vertical="center"/>
    </xf>
    <xf numFmtId="10" fontId="83" fillId="43" borderId="50" xfId="10" applyNumberFormat="1" applyFont="1" applyFill="1" applyBorder="1" applyProtection="1">
      <alignment vertical="center"/>
    </xf>
    <xf numFmtId="177" fontId="1" fillId="34" borderId="50" xfId="8" applyNumberFormat="1" applyFont="1" applyFill="1" applyBorder="1" applyAlignment="1" applyProtection="1">
      <alignment horizontal="center" vertical="center"/>
      <protection locked="0"/>
    </xf>
    <xf numFmtId="10" fontId="0" fillId="44" borderId="50" xfId="10" applyNumberFormat="1" applyFont="1" applyFill="1" applyBorder="1" applyProtection="1">
      <alignment vertical="center"/>
    </xf>
    <xf numFmtId="0" fontId="82" fillId="34" borderId="61" xfId="8" applyFont="1" applyFill="1" applyBorder="1" applyAlignment="1" applyProtection="1">
      <alignment horizontal="right" vertical="center"/>
      <protection locked="0"/>
    </xf>
    <xf numFmtId="177" fontId="83" fillId="45" borderId="1" xfId="9" applyFont="1" applyFill="1" applyBorder="1" applyAlignment="1" applyProtection="1">
      <alignment horizontal="center" vertical="center"/>
    </xf>
    <xf numFmtId="0" fontId="82" fillId="34" borderId="69" xfId="8" applyFont="1" applyFill="1" applyBorder="1" applyAlignment="1" applyProtection="1">
      <alignment horizontal="right" vertical="center"/>
      <protection locked="0"/>
    </xf>
    <xf numFmtId="177" fontId="83" fillId="45" borderId="64" xfId="9" applyFont="1" applyFill="1" applyBorder="1" applyAlignment="1" applyProtection="1">
      <alignment horizontal="center" vertical="center"/>
    </xf>
    <xf numFmtId="0" fontId="82" fillId="34" borderId="68" xfId="8" applyFont="1" applyFill="1" applyBorder="1" applyAlignment="1" applyProtection="1">
      <alignment horizontal="right" vertical="center"/>
      <protection locked="0"/>
    </xf>
    <xf numFmtId="177" fontId="83" fillId="34" borderId="73" xfId="8" applyNumberFormat="1" applyFont="1" applyFill="1" applyBorder="1">
      <alignment vertical="center"/>
    </xf>
    <xf numFmtId="10" fontId="83" fillId="43" borderId="73" xfId="10" applyNumberFormat="1" applyFont="1" applyFill="1" applyBorder="1" applyProtection="1">
      <alignment vertical="center"/>
    </xf>
    <xf numFmtId="0" fontId="82" fillId="34" borderId="1" xfId="8" applyFont="1" applyFill="1" applyBorder="1" applyAlignment="1" applyProtection="1">
      <alignment horizontal="right" vertical="center"/>
      <protection locked="0"/>
    </xf>
    <xf numFmtId="197" fontId="83" fillId="45" borderId="1" xfId="8" applyNumberFormat="1" applyFont="1" applyFill="1" applyBorder="1">
      <alignment vertical="center"/>
    </xf>
    <xf numFmtId="177" fontId="83" fillId="34" borderId="64" xfId="8" applyNumberFormat="1" applyFont="1" applyFill="1" applyBorder="1">
      <alignment vertical="center"/>
    </xf>
    <xf numFmtId="10" fontId="83" fillId="43" borderId="64" xfId="8" applyNumberFormat="1" applyFont="1" applyFill="1" applyBorder="1">
      <alignment vertical="center"/>
    </xf>
    <xf numFmtId="177" fontId="78" fillId="34" borderId="78" xfId="9" applyFont="1" applyFill="1" applyBorder="1" applyAlignment="1" applyProtection="1">
      <alignment horizontal="center" vertical="center"/>
    </xf>
    <xf numFmtId="10" fontId="78" fillId="43" borderId="78" xfId="10" applyNumberFormat="1" applyFont="1" applyFill="1" applyBorder="1" applyAlignment="1" applyProtection="1">
      <alignment horizontal="center" vertical="center"/>
    </xf>
    <xf numFmtId="177" fontId="78" fillId="34" borderId="79" xfId="9" applyFont="1" applyFill="1" applyBorder="1" applyAlignment="1" applyProtection="1">
      <alignment horizontal="center" vertical="center"/>
    </xf>
    <xf numFmtId="10" fontId="78" fillId="44" borderId="79" xfId="10" applyNumberFormat="1" applyFont="1" applyFill="1" applyBorder="1" applyAlignment="1" applyProtection="1">
      <alignment horizontal="center" vertical="center"/>
    </xf>
    <xf numFmtId="0" fontId="62" fillId="34" borderId="80" xfId="8" applyFill="1" applyBorder="1" applyAlignment="1" applyProtection="1">
      <alignment horizontal="center" vertical="center"/>
      <protection locked="0"/>
    </xf>
    <xf numFmtId="0" fontId="75" fillId="34" borderId="68" xfId="8" applyFont="1" applyFill="1" applyBorder="1" applyAlignment="1" applyProtection="1">
      <alignment horizontal="right" vertical="center"/>
      <protection locked="0"/>
    </xf>
    <xf numFmtId="177" fontId="76" fillId="0" borderId="0" xfId="9" applyFont="1" applyFill="1" applyBorder="1" applyAlignment="1" applyProtection="1">
      <alignment horizontal="center" vertical="center"/>
      <protection locked="0"/>
    </xf>
    <xf numFmtId="177" fontId="77" fillId="0" borderId="81" xfId="9" applyFont="1" applyBorder="1" applyAlignment="1" applyProtection="1">
      <alignment horizontal="center" vertical="center"/>
      <protection locked="0"/>
    </xf>
    <xf numFmtId="0" fontId="62" fillId="34" borderId="0" xfId="8" applyFill="1" applyAlignment="1" applyProtection="1">
      <alignment horizontal="center" vertical="center"/>
      <protection locked="0"/>
    </xf>
    <xf numFmtId="0" fontId="75" fillId="34" borderId="82" xfId="8" applyFont="1" applyFill="1" applyBorder="1" applyAlignment="1" applyProtection="1">
      <alignment horizontal="right" vertical="center"/>
      <protection locked="0"/>
    </xf>
    <xf numFmtId="0" fontId="62" fillId="34" borderId="85" xfId="8" applyFill="1" applyBorder="1" applyAlignment="1" applyProtection="1">
      <alignment horizontal="center" vertical="center"/>
      <protection locked="0"/>
    </xf>
    <xf numFmtId="0" fontId="62" fillId="34" borderId="86" xfId="8" applyFill="1" applyBorder="1" applyAlignment="1" applyProtection="1">
      <alignment horizontal="center" vertical="center"/>
      <protection locked="0"/>
    </xf>
    <xf numFmtId="0" fontId="86" fillId="34" borderId="87" xfId="8" applyFont="1" applyFill="1" applyBorder="1" applyAlignment="1" applyProtection="1">
      <alignment horizontal="right" vertical="center"/>
      <protection locked="0"/>
    </xf>
    <xf numFmtId="38" fontId="62" fillId="34" borderId="88" xfId="11" applyFill="1" applyBorder="1" applyProtection="1">
      <alignment vertical="center"/>
    </xf>
    <xf numFmtId="10" fontId="86" fillId="46" borderId="88" xfId="10" applyNumberFormat="1" applyFont="1" applyFill="1" applyBorder="1" applyProtection="1">
      <alignment vertical="center"/>
    </xf>
    <xf numFmtId="10" fontId="86" fillId="46" borderId="89" xfId="10" applyNumberFormat="1" applyFont="1" applyFill="1" applyBorder="1" applyProtection="1">
      <alignment vertical="center"/>
    </xf>
    <xf numFmtId="10" fontId="86" fillId="0" borderId="0" xfId="10" applyNumberFormat="1" applyFont="1" applyFill="1" applyBorder="1" applyProtection="1">
      <alignment vertical="center"/>
    </xf>
    <xf numFmtId="38" fontId="62" fillId="34" borderId="90" xfId="11" applyFill="1" applyBorder="1" applyProtection="1">
      <alignment vertical="center"/>
    </xf>
    <xf numFmtId="10" fontId="86" fillId="44" borderId="89" xfId="10" applyNumberFormat="1" applyFont="1" applyFill="1" applyBorder="1" applyProtection="1">
      <alignment vertical="center"/>
    </xf>
    <xf numFmtId="0" fontId="86" fillId="34" borderId="93" xfId="8" applyFont="1" applyFill="1" applyBorder="1" applyAlignment="1">
      <alignment horizontal="right" vertical="center"/>
    </xf>
    <xf numFmtId="197" fontId="62" fillId="0" borderId="43" xfId="11" applyNumberFormat="1" applyFill="1" applyBorder="1" applyProtection="1">
      <alignment vertical="center"/>
      <protection locked="0"/>
    </xf>
    <xf numFmtId="10" fontId="86" fillId="46" borderId="94" xfId="10" applyNumberFormat="1" applyFont="1" applyFill="1" applyBorder="1" applyProtection="1">
      <alignment vertical="center"/>
    </xf>
    <xf numFmtId="177" fontId="62" fillId="0" borderId="94" xfId="9" applyBorder="1" applyProtection="1">
      <alignment vertical="center"/>
      <protection locked="0"/>
    </xf>
    <xf numFmtId="10" fontId="86" fillId="46" borderId="95" xfId="10" applyNumberFormat="1" applyFont="1" applyFill="1" applyBorder="1" applyProtection="1">
      <alignment vertical="center"/>
    </xf>
    <xf numFmtId="10" fontId="86" fillId="0" borderId="0" xfId="10" applyNumberFormat="1" applyFont="1" applyFill="1" applyBorder="1" applyProtection="1">
      <alignment vertical="center"/>
      <protection locked="0"/>
    </xf>
    <xf numFmtId="197" fontId="62" fillId="34" borderId="96" xfId="8" applyNumberFormat="1" applyFill="1" applyBorder="1" applyProtection="1">
      <alignment vertical="center"/>
      <protection locked="0"/>
    </xf>
    <xf numFmtId="10" fontId="0" fillId="44" borderId="51" xfId="10" applyNumberFormat="1" applyFont="1" applyFill="1" applyBorder="1" applyProtection="1">
      <alignment vertical="center"/>
    </xf>
    <xf numFmtId="0" fontId="86" fillId="45" borderId="99" xfId="8" applyFont="1" applyFill="1" applyBorder="1" applyAlignment="1">
      <alignment horizontal="right" vertical="center"/>
    </xf>
    <xf numFmtId="197" fontId="62" fillId="0" borderId="58" xfId="11" applyNumberFormat="1" applyFill="1" applyBorder="1" applyProtection="1">
      <alignment vertical="center"/>
      <protection locked="0"/>
    </xf>
    <xf numFmtId="10" fontId="86" fillId="46" borderId="50" xfId="10" applyNumberFormat="1" applyFont="1" applyFill="1" applyBorder="1" applyProtection="1">
      <alignment vertical="center"/>
    </xf>
    <xf numFmtId="177" fontId="62" fillId="0" borderId="50" xfId="9" applyFill="1" applyBorder="1" applyProtection="1">
      <alignment vertical="center"/>
      <protection locked="0"/>
    </xf>
    <xf numFmtId="10" fontId="86" fillId="46" borderId="51" xfId="10" applyNumberFormat="1" applyFont="1" applyFill="1" applyBorder="1" applyProtection="1">
      <alignment vertical="center"/>
    </xf>
    <xf numFmtId="197" fontId="62" fillId="34" borderId="100" xfId="8" applyNumberFormat="1" applyFill="1" applyBorder="1" applyProtection="1">
      <alignment vertical="center"/>
      <protection locked="0"/>
    </xf>
    <xf numFmtId="10" fontId="0" fillId="44" borderId="38" xfId="10" applyNumberFormat="1" applyFont="1" applyFill="1" applyBorder="1" applyProtection="1">
      <alignment vertical="center"/>
    </xf>
    <xf numFmtId="0" fontId="86" fillId="34" borderId="101" xfId="8" applyFont="1" applyFill="1" applyBorder="1" applyAlignment="1">
      <alignment horizontal="right" vertical="center"/>
    </xf>
    <xf numFmtId="197" fontId="62" fillId="0" borderId="36" xfId="11" applyNumberFormat="1" applyFill="1" applyBorder="1" applyProtection="1">
      <alignment vertical="center"/>
      <protection locked="0"/>
    </xf>
    <xf numFmtId="177" fontId="62" fillId="0" borderId="1" xfId="9" applyBorder="1" applyProtection="1">
      <alignment vertical="center"/>
      <protection locked="0"/>
    </xf>
    <xf numFmtId="197" fontId="62" fillId="34" borderId="100" xfId="8" applyNumberFormat="1" applyFill="1" applyBorder="1">
      <alignment vertical="center"/>
    </xf>
    <xf numFmtId="177" fontId="62" fillId="0" borderId="1" xfId="9" applyBorder="1" applyAlignment="1" applyProtection="1">
      <alignment vertical="center"/>
      <protection locked="0"/>
    </xf>
    <xf numFmtId="177" fontId="0" fillId="0" borderId="1" xfId="9" applyFont="1" applyBorder="1" applyProtection="1">
      <alignment vertical="center"/>
      <protection locked="0"/>
    </xf>
    <xf numFmtId="197" fontId="62" fillId="0" borderId="36" xfId="11" applyNumberFormat="1" applyBorder="1" applyProtection="1">
      <alignment vertical="center"/>
      <protection locked="0"/>
    </xf>
    <xf numFmtId="10" fontId="86" fillId="46" borderId="1" xfId="10" applyNumberFormat="1" applyFont="1" applyFill="1" applyBorder="1" applyProtection="1">
      <alignment vertical="center"/>
    </xf>
    <xf numFmtId="10" fontId="86" fillId="46" borderId="38" xfId="10" applyNumberFormat="1" applyFont="1" applyFill="1" applyBorder="1" applyProtection="1">
      <alignment vertical="center"/>
    </xf>
    <xf numFmtId="0" fontId="62" fillId="34" borderId="102" xfId="8" applyFill="1" applyBorder="1" applyAlignment="1">
      <alignment horizontal="right" vertical="center"/>
    </xf>
    <xf numFmtId="197" fontId="86" fillId="0" borderId="66" xfId="11" applyNumberFormat="1" applyFont="1" applyFill="1" applyBorder="1" applyProtection="1">
      <alignment vertical="center"/>
      <protection locked="0"/>
    </xf>
    <xf numFmtId="177" fontId="86" fillId="0" borderId="12" xfId="9" applyFont="1" applyFill="1" applyBorder="1" applyProtection="1">
      <alignment vertical="center"/>
      <protection locked="0"/>
    </xf>
    <xf numFmtId="0" fontId="86" fillId="34" borderId="104" xfId="8" applyFont="1" applyFill="1" applyBorder="1" applyAlignment="1">
      <alignment horizontal="right" vertical="center"/>
    </xf>
    <xf numFmtId="197" fontId="62" fillId="0" borderId="63" xfId="11" applyNumberFormat="1" applyFill="1" applyBorder="1" applyProtection="1">
      <alignment vertical="center"/>
      <protection locked="0"/>
    </xf>
    <xf numFmtId="10" fontId="86" fillId="46" borderId="64" xfId="10" applyNumberFormat="1" applyFont="1" applyFill="1" applyBorder="1" applyProtection="1">
      <alignment vertical="center"/>
    </xf>
    <xf numFmtId="177" fontId="62" fillId="0" borderId="64" xfId="9" applyBorder="1" applyProtection="1">
      <alignment vertical="center"/>
      <protection locked="0"/>
    </xf>
    <xf numFmtId="10" fontId="86" fillId="46" borderId="105" xfId="10" applyNumberFormat="1" applyFont="1" applyFill="1" applyBorder="1" applyProtection="1">
      <alignment vertical="center"/>
    </xf>
    <xf numFmtId="197" fontId="62" fillId="34" borderId="106" xfId="8" applyNumberFormat="1" applyFill="1" applyBorder="1">
      <alignment vertical="center"/>
    </xf>
    <xf numFmtId="10" fontId="0" fillId="44" borderId="105" xfId="10" applyNumberFormat="1" applyFont="1" applyFill="1" applyBorder="1" applyProtection="1">
      <alignment vertical="center"/>
    </xf>
    <xf numFmtId="0" fontId="86" fillId="30" borderId="99" xfId="8" applyFont="1" applyFill="1" applyBorder="1" applyAlignment="1">
      <alignment horizontal="right" vertical="center"/>
    </xf>
    <xf numFmtId="177" fontId="4" fillId="0" borderId="50" xfId="9" applyFont="1" applyFill="1" applyBorder="1" applyProtection="1">
      <alignment vertical="center"/>
      <protection locked="0"/>
    </xf>
    <xf numFmtId="197" fontId="62" fillId="34" borderId="96" xfId="8" applyNumberFormat="1" applyFill="1" applyBorder="1">
      <alignment vertical="center"/>
    </xf>
    <xf numFmtId="0" fontId="86" fillId="30" borderId="101" xfId="8" applyFont="1" applyFill="1" applyBorder="1" applyAlignment="1">
      <alignment horizontal="right" vertical="center"/>
    </xf>
    <xf numFmtId="177" fontId="62" fillId="0" borderId="1" xfId="9" applyFill="1" applyBorder="1" applyProtection="1">
      <alignment vertical="center"/>
      <protection locked="0"/>
    </xf>
    <xf numFmtId="177" fontId="4" fillId="0" borderId="1" xfId="9" applyFont="1" applyFill="1" applyBorder="1" applyProtection="1">
      <alignment vertical="center"/>
      <protection locked="0"/>
    </xf>
    <xf numFmtId="197" fontId="4" fillId="0" borderId="36" xfId="11" applyNumberFormat="1" applyFont="1" applyFill="1" applyBorder="1" applyProtection="1">
      <alignment vertical="center"/>
      <protection locked="0"/>
    </xf>
    <xf numFmtId="177" fontId="86" fillId="0" borderId="1" xfId="9" applyFont="1" applyFill="1" applyBorder="1" applyProtection="1">
      <alignment vertical="center"/>
      <protection locked="0"/>
    </xf>
    <xf numFmtId="177" fontId="62" fillId="0" borderId="1" xfId="9" applyFont="1" applyFill="1" applyBorder="1" applyProtection="1">
      <alignment vertical="center"/>
      <protection locked="0"/>
    </xf>
    <xf numFmtId="177" fontId="0" fillId="0" borderId="1" xfId="9" applyFont="1" applyFill="1" applyBorder="1" applyProtection="1">
      <alignment vertical="center"/>
      <protection locked="0"/>
    </xf>
    <xf numFmtId="0" fontId="86" fillId="45" borderId="101" xfId="8" applyFont="1" applyFill="1" applyBorder="1" applyAlignment="1">
      <alignment horizontal="right" vertical="center"/>
    </xf>
    <xf numFmtId="197" fontId="86" fillId="0" borderId="36" xfId="11" applyNumberFormat="1" applyFont="1" applyFill="1" applyBorder="1" applyProtection="1">
      <alignment vertical="center"/>
    </xf>
    <xf numFmtId="177" fontId="62" fillId="0" borderId="1" xfId="9" applyBorder="1" applyAlignment="1" applyProtection="1">
      <alignment vertical="center"/>
    </xf>
    <xf numFmtId="177" fontId="62" fillId="0" borderId="1" xfId="9" applyBorder="1" applyProtection="1">
      <alignment vertical="center"/>
    </xf>
    <xf numFmtId="177" fontId="86" fillId="0" borderId="1" xfId="9" applyFont="1" applyBorder="1" applyProtection="1">
      <alignment vertical="center"/>
    </xf>
    <xf numFmtId="197" fontId="87" fillId="0" borderId="36" xfId="11" applyNumberFormat="1" applyFont="1" applyFill="1" applyBorder="1" applyProtection="1">
      <alignment vertical="center"/>
    </xf>
    <xf numFmtId="177" fontId="87" fillId="0" borderId="1" xfId="9" applyFont="1" applyBorder="1" applyProtection="1">
      <alignment vertical="center"/>
    </xf>
    <xf numFmtId="177" fontId="86" fillId="0" borderId="1" xfId="9" applyFont="1" applyBorder="1" applyProtection="1">
      <alignment vertical="center"/>
      <protection locked="0"/>
    </xf>
    <xf numFmtId="0" fontId="4" fillId="34" borderId="101" xfId="8" applyFont="1" applyFill="1" applyBorder="1" applyAlignment="1">
      <alignment horizontal="right" vertical="center"/>
    </xf>
    <xf numFmtId="38" fontId="62" fillId="0" borderId="36" xfId="11" applyFill="1" applyBorder="1" applyProtection="1">
      <alignment vertical="center"/>
    </xf>
    <xf numFmtId="177" fontId="4" fillId="0" borderId="1" xfId="9" applyFont="1" applyBorder="1" applyProtection="1">
      <alignment vertical="center"/>
    </xf>
    <xf numFmtId="197" fontId="62" fillId="0" borderId="63" xfId="11" applyNumberFormat="1" applyBorder="1" applyProtection="1">
      <alignment vertical="center"/>
    </xf>
    <xf numFmtId="10" fontId="86" fillId="46" borderId="79" xfId="10" applyNumberFormat="1" applyFont="1" applyFill="1" applyBorder="1" applyProtection="1">
      <alignment vertical="center"/>
    </xf>
    <xf numFmtId="177" fontId="62" fillId="0" borderId="64" xfId="9" applyBorder="1" applyProtection="1">
      <alignment vertical="center"/>
    </xf>
    <xf numFmtId="10" fontId="86" fillId="46" borderId="103" xfId="10" applyNumberFormat="1" applyFont="1" applyFill="1" applyBorder="1" applyProtection="1">
      <alignment vertical="center"/>
    </xf>
    <xf numFmtId="0" fontId="62" fillId="34" borderId="109" xfId="8" applyFill="1" applyBorder="1" applyProtection="1">
      <alignment vertical="center"/>
      <protection locked="0"/>
    </xf>
    <xf numFmtId="0" fontId="88" fillId="34" borderId="99" xfId="8" applyFont="1" applyFill="1" applyBorder="1" applyAlignment="1" applyProtection="1">
      <alignment horizontal="right" vertical="center"/>
      <protection locked="0"/>
    </xf>
    <xf numFmtId="177" fontId="88" fillId="34" borderId="58" xfId="9" applyFont="1" applyFill="1" applyBorder="1" applyProtection="1">
      <alignment vertical="center"/>
    </xf>
    <xf numFmtId="177" fontId="88" fillId="34" borderId="50" xfId="9" applyFont="1" applyFill="1" applyBorder="1" applyProtection="1">
      <alignment vertical="center"/>
    </xf>
    <xf numFmtId="0" fontId="74" fillId="34" borderId="101" xfId="8" applyFont="1" applyFill="1" applyBorder="1" applyAlignment="1" applyProtection="1">
      <alignment horizontal="right" vertical="center"/>
      <protection locked="0"/>
    </xf>
    <xf numFmtId="177" fontId="89" fillId="34" borderId="36" xfId="9" applyFont="1" applyFill="1" applyBorder="1" applyProtection="1">
      <alignment vertical="center"/>
    </xf>
    <xf numFmtId="198" fontId="62" fillId="34" borderId="106" xfId="8" applyNumberFormat="1" applyFill="1" applyBorder="1">
      <alignment vertical="center"/>
    </xf>
    <xf numFmtId="0" fontId="62" fillId="34" borderId="109" xfId="8" applyFill="1" applyBorder="1" applyAlignment="1" applyProtection="1">
      <alignment horizontal="center" vertical="center"/>
      <protection locked="0"/>
    </xf>
    <xf numFmtId="0" fontId="74" fillId="34" borderId="104" xfId="8" applyFont="1" applyFill="1" applyBorder="1" applyAlignment="1">
      <alignment horizontal="right" vertical="center"/>
    </xf>
    <xf numFmtId="198" fontId="90" fillId="34" borderId="106" xfId="11" applyNumberFormat="1" applyFont="1" applyFill="1" applyBorder="1" applyProtection="1">
      <alignment vertical="center"/>
    </xf>
    <xf numFmtId="198" fontId="90" fillId="34" borderId="64" xfId="11" applyNumberFormat="1" applyFont="1" applyFill="1" applyBorder="1" applyProtection="1">
      <alignment vertical="center"/>
    </xf>
    <xf numFmtId="197" fontId="62" fillId="34" borderId="96" xfId="11" applyNumberFormat="1" applyFill="1" applyBorder="1" applyProtection="1">
      <alignment vertical="center"/>
      <protection locked="0"/>
    </xf>
    <xf numFmtId="10" fontId="86" fillId="46" borderId="51" xfId="10" applyNumberFormat="1" applyFont="1" applyFill="1" applyBorder="1" applyProtection="1">
      <alignment vertical="center"/>
      <protection locked="0"/>
    </xf>
    <xf numFmtId="0" fontId="62" fillId="34" borderId="45" xfId="8" applyFill="1" applyBorder="1" applyProtection="1">
      <alignment vertical="center"/>
      <protection locked="0"/>
    </xf>
    <xf numFmtId="0" fontId="62" fillId="34" borderId="83" xfId="8" applyFill="1" applyBorder="1" applyProtection="1">
      <alignment vertical="center"/>
      <protection locked="0"/>
    </xf>
    <xf numFmtId="0" fontId="62" fillId="34" borderId="110" xfId="8" applyFill="1" applyBorder="1" applyAlignment="1" applyProtection="1">
      <alignment horizontal="right" vertical="center"/>
      <protection locked="0"/>
    </xf>
    <xf numFmtId="0" fontId="62" fillId="34" borderId="111" xfId="8" applyFill="1" applyBorder="1" applyProtection="1">
      <alignment vertical="center"/>
      <protection locked="0"/>
    </xf>
    <xf numFmtId="0" fontId="62" fillId="34" borderId="112" xfId="8" applyFill="1" applyBorder="1" applyProtection="1">
      <alignment vertical="center"/>
      <protection locked="0"/>
    </xf>
    <xf numFmtId="0" fontId="62" fillId="34" borderId="113" xfId="8" applyFill="1" applyBorder="1" applyProtection="1">
      <alignment vertical="center"/>
      <protection locked="0"/>
    </xf>
    <xf numFmtId="0" fontId="62" fillId="34" borderId="114" xfId="8" applyFill="1" applyBorder="1" applyProtection="1">
      <alignment vertical="center"/>
      <protection locked="0"/>
    </xf>
    <xf numFmtId="0" fontId="62" fillId="34" borderId="54" xfId="8" applyFill="1" applyBorder="1" applyProtection="1">
      <alignment vertical="center"/>
      <protection locked="0"/>
    </xf>
    <xf numFmtId="0" fontId="62" fillId="0" borderId="115" xfId="8" applyBorder="1" applyAlignment="1" applyProtection="1">
      <alignment horizontal="right" vertical="center"/>
      <protection locked="0"/>
    </xf>
    <xf numFmtId="0" fontId="90" fillId="34" borderId="93" xfId="8" applyFont="1" applyFill="1" applyBorder="1" applyAlignment="1">
      <alignment horizontal="right" vertical="center"/>
    </xf>
    <xf numFmtId="0" fontId="62" fillId="0" borderId="0" xfId="8">
      <alignment vertical="center"/>
    </xf>
    <xf numFmtId="0" fontId="90" fillId="34" borderId="101" xfId="8" applyFont="1" applyFill="1" applyBorder="1" applyAlignment="1">
      <alignment horizontal="right" vertical="center"/>
    </xf>
    <xf numFmtId="177" fontId="62" fillId="34" borderId="100" xfId="8" applyNumberFormat="1" applyFill="1" applyBorder="1">
      <alignment vertical="center"/>
    </xf>
    <xf numFmtId="9" fontId="0" fillId="43" borderId="1" xfId="10" applyFont="1" applyFill="1" applyBorder="1" applyProtection="1">
      <alignment vertical="center"/>
    </xf>
    <xf numFmtId="177" fontId="62" fillId="34" borderId="1" xfId="8" applyNumberFormat="1" applyFill="1" applyBorder="1">
      <alignment vertical="center"/>
    </xf>
    <xf numFmtId="9" fontId="0" fillId="43" borderId="38" xfId="10" applyFont="1" applyFill="1" applyBorder="1" applyProtection="1">
      <alignment vertical="center"/>
    </xf>
    <xf numFmtId="0" fontId="90" fillId="34" borderId="104" xfId="8" applyFont="1" applyFill="1" applyBorder="1" applyAlignment="1">
      <alignment horizontal="right" vertical="center"/>
    </xf>
    <xf numFmtId="177" fontId="62" fillId="34" borderId="106" xfId="8" applyNumberFormat="1" applyFill="1" applyBorder="1">
      <alignment vertical="center"/>
    </xf>
    <xf numFmtId="9" fontId="0" fillId="43" borderId="64" xfId="10" applyFont="1" applyFill="1" applyBorder="1" applyProtection="1">
      <alignment vertical="center"/>
    </xf>
    <xf numFmtId="177" fontId="0" fillId="34" borderId="64" xfId="9" applyFont="1" applyFill="1" applyBorder="1" applyProtection="1">
      <alignment vertical="center"/>
    </xf>
    <xf numFmtId="9" fontId="0" fillId="43" borderId="105" xfId="10" applyFont="1" applyFill="1" applyBorder="1" applyProtection="1">
      <alignment vertical="center"/>
    </xf>
    <xf numFmtId="0" fontId="90" fillId="34" borderId="99" xfId="8" applyFont="1" applyFill="1" applyBorder="1" applyAlignment="1">
      <alignment horizontal="right" vertical="center"/>
    </xf>
    <xf numFmtId="177" fontId="62" fillId="34" borderId="96" xfId="8" applyNumberFormat="1" applyFill="1" applyBorder="1">
      <alignment vertical="center"/>
    </xf>
    <xf numFmtId="9" fontId="0" fillId="43" borderId="50" xfId="10" applyFont="1" applyFill="1" applyBorder="1" applyProtection="1">
      <alignment vertical="center"/>
    </xf>
    <xf numFmtId="177" fontId="62" fillId="34" borderId="50" xfId="8" applyNumberFormat="1" applyFill="1" applyBorder="1">
      <alignment vertical="center"/>
    </xf>
    <xf numFmtId="9" fontId="0" fillId="43" borderId="51" xfId="10" applyFont="1" applyFill="1" applyBorder="1" applyProtection="1">
      <alignment vertical="center"/>
    </xf>
    <xf numFmtId="0" fontId="90" fillId="34" borderId="117" xfId="8" applyFont="1" applyFill="1" applyBorder="1" applyAlignment="1">
      <alignment horizontal="right" vertical="center"/>
    </xf>
    <xf numFmtId="177" fontId="62" fillId="34" borderId="114" xfId="8" applyNumberFormat="1" applyFill="1" applyBorder="1">
      <alignment vertical="center"/>
    </xf>
    <xf numFmtId="9" fontId="0" fillId="43" borderId="53" xfId="10" applyFont="1" applyFill="1" applyBorder="1" applyProtection="1">
      <alignment vertical="center"/>
    </xf>
    <xf numFmtId="177" fontId="62" fillId="34" borderId="53" xfId="8" applyNumberFormat="1" applyFill="1" applyBorder="1">
      <alignment vertical="center"/>
    </xf>
    <xf numFmtId="9" fontId="0" fillId="43" borderId="54" xfId="10" applyFont="1" applyFill="1" applyBorder="1" applyProtection="1">
      <alignment vertical="center"/>
    </xf>
    <xf numFmtId="197" fontId="62" fillId="34" borderId="114" xfId="8" applyNumberFormat="1" applyFill="1" applyBorder="1">
      <alignment vertical="center"/>
    </xf>
    <xf numFmtId="0" fontId="62" fillId="0" borderId="0" xfId="8" applyAlignment="1" applyProtection="1">
      <alignment horizontal="right" vertical="center"/>
      <protection locked="0"/>
    </xf>
    <xf numFmtId="177" fontId="91" fillId="0" borderId="0" xfId="9" applyFont="1" applyProtection="1">
      <alignment vertical="center"/>
      <protection locked="0"/>
    </xf>
    <xf numFmtId="177" fontId="0" fillId="0" borderId="0" xfId="9" applyFont="1" applyProtection="1">
      <alignment vertical="center"/>
      <protection locked="0"/>
    </xf>
    <xf numFmtId="0" fontId="92" fillId="0" borderId="0" xfId="8" applyFont="1" applyAlignment="1" applyProtection="1">
      <alignment horizontal="right" vertical="center"/>
      <protection locked="0"/>
    </xf>
    <xf numFmtId="0" fontId="3" fillId="0" borderId="1" xfId="1" applyBorder="1" applyAlignment="1" applyProtection="1">
      <alignment horizontal="center"/>
      <protection locked="0"/>
    </xf>
    <xf numFmtId="0" fontId="3" fillId="2" borderId="1" xfId="1" applyFill="1" applyBorder="1" applyAlignment="1" applyProtection="1">
      <alignment horizontal="center"/>
      <protection locked="0"/>
    </xf>
    <xf numFmtId="10" fontId="31" fillId="7" borderId="50" xfId="5" applyNumberFormat="1" applyFont="1" applyFill="1" applyBorder="1" applyProtection="1">
      <alignment vertical="center"/>
    </xf>
    <xf numFmtId="10" fontId="32" fillId="24" borderId="50" xfId="5" applyNumberFormat="1" applyFont="1" applyFill="1" applyBorder="1" applyProtection="1">
      <alignment vertical="center"/>
    </xf>
    <xf numFmtId="183" fontId="21" fillId="7" borderId="28" xfId="2" applyNumberFormat="1" applyFont="1" applyFill="1" applyBorder="1" applyAlignment="1">
      <alignment horizontal="center"/>
    </xf>
    <xf numFmtId="0" fontId="21" fillId="23" borderId="79" xfId="2" applyFont="1" applyFill="1" applyBorder="1" applyAlignment="1"/>
    <xf numFmtId="180" fontId="18" fillId="23" borderId="79" xfId="2" applyNumberFormat="1" applyFont="1" applyFill="1" applyBorder="1" applyAlignment="1">
      <alignment horizontal="right"/>
    </xf>
    <xf numFmtId="180" fontId="21" fillId="7" borderId="79" xfId="2" applyNumberFormat="1" applyFont="1" applyFill="1" applyBorder="1" applyAlignment="1">
      <alignment horizontal="right"/>
    </xf>
    <xf numFmtId="10" fontId="31" fillId="7" borderId="64" xfId="5" applyNumberFormat="1" applyFont="1" applyFill="1" applyBorder="1" applyProtection="1">
      <alignment vertical="center"/>
    </xf>
    <xf numFmtId="180" fontId="21" fillId="7" borderId="28" xfId="2" applyNumberFormat="1" applyFont="1" applyFill="1" applyBorder="1" applyAlignment="1">
      <alignment horizontal="right"/>
    </xf>
    <xf numFmtId="10" fontId="32" fillId="24" borderId="64" xfId="5" applyNumberFormat="1" applyFont="1" applyFill="1" applyBorder="1" applyProtection="1">
      <alignment vertical="center"/>
    </xf>
    <xf numFmtId="0" fontId="21" fillId="22" borderId="30" xfId="2" applyFont="1" applyFill="1" applyBorder="1" applyAlignment="1" applyProtection="1">
      <protection locked="0"/>
    </xf>
    <xf numFmtId="0" fontId="21" fillId="7" borderId="79" xfId="2" applyFont="1" applyFill="1" applyBorder="1" applyAlignment="1"/>
    <xf numFmtId="0" fontId="21" fillId="7" borderId="28" xfId="2" applyFont="1" applyFill="1" applyBorder="1" applyAlignment="1"/>
    <xf numFmtId="177" fontId="63" fillId="10" borderId="1" xfId="4" applyFont="1" applyFill="1" applyBorder="1" applyProtection="1">
      <alignment vertical="center"/>
      <protection locked="0"/>
    </xf>
    <xf numFmtId="0" fontId="63" fillId="10" borderId="1" xfId="8" applyFont="1" applyFill="1" applyBorder="1" applyProtection="1">
      <alignment vertical="center"/>
      <protection locked="0"/>
    </xf>
    <xf numFmtId="177" fontId="63" fillId="0" borderId="1" xfId="4" applyFont="1" applyBorder="1">
      <alignment vertical="center"/>
    </xf>
    <xf numFmtId="0" fontId="53" fillId="12" borderId="41" xfId="2" applyFont="1" applyFill="1" applyBorder="1" applyAlignment="1">
      <alignment horizontal="center" vertical="center"/>
    </xf>
    <xf numFmtId="0" fontId="53" fillId="12" borderId="55" xfId="2" applyFont="1" applyFill="1" applyBorder="1" applyAlignment="1">
      <alignment horizontal="center" vertical="center"/>
    </xf>
    <xf numFmtId="177" fontId="54" fillId="12" borderId="50" xfId="2" applyNumberFormat="1" applyFont="1" applyFill="1" applyBorder="1">
      <alignment vertical="center"/>
    </xf>
    <xf numFmtId="0" fontId="54" fillId="12" borderId="50" xfId="2" applyFont="1" applyFill="1" applyBorder="1">
      <alignment vertical="center"/>
    </xf>
    <xf numFmtId="0" fontId="54" fillId="12" borderId="56" xfId="2" applyFont="1" applyFill="1" applyBorder="1">
      <alignment vertical="center"/>
    </xf>
    <xf numFmtId="0" fontId="53" fillId="12" borderId="57" xfId="2" applyFont="1" applyFill="1" applyBorder="1" applyAlignment="1">
      <alignment horizontal="center" vertical="center"/>
    </xf>
    <xf numFmtId="56" fontId="32" fillId="12" borderId="1" xfId="2" applyNumberFormat="1" applyFont="1" applyFill="1" applyBorder="1" applyAlignment="1">
      <alignment horizontal="right" vertical="center"/>
    </xf>
    <xf numFmtId="194" fontId="32" fillId="12" borderId="50" xfId="2" applyNumberFormat="1" applyFont="1" applyFill="1" applyBorder="1" applyAlignment="1">
      <alignment horizontal="center" vertical="center"/>
    </xf>
    <xf numFmtId="56" fontId="32" fillId="12" borderId="0" xfId="2" applyNumberFormat="1" applyFont="1" applyFill="1" applyAlignment="1">
      <alignment horizontal="right" vertical="center"/>
    </xf>
    <xf numFmtId="194" fontId="32" fillId="12" borderId="0" xfId="2" applyNumberFormat="1" applyFont="1" applyFill="1" applyAlignment="1">
      <alignment horizontal="center" vertical="center"/>
    </xf>
    <xf numFmtId="0" fontId="32" fillId="12" borderId="50" xfId="2" applyFont="1" applyFill="1" applyBorder="1" applyAlignment="1">
      <alignment horizontal="center" vertical="center"/>
    </xf>
    <xf numFmtId="177" fontId="32" fillId="12" borderId="50" xfId="12" applyFont="1" applyFill="1" applyBorder="1" applyAlignment="1">
      <alignment horizontal="right" vertical="center"/>
    </xf>
    <xf numFmtId="56" fontId="32" fillId="12" borderId="0" xfId="2" applyNumberFormat="1" applyFont="1" applyFill="1">
      <alignment vertical="center"/>
    </xf>
    <xf numFmtId="199" fontId="37" fillId="12" borderId="0" xfId="2" applyNumberFormat="1" applyFont="1" applyFill="1">
      <alignment vertical="center"/>
    </xf>
    <xf numFmtId="177" fontId="32" fillId="12" borderId="1" xfId="12" applyFont="1" applyFill="1" applyBorder="1" applyAlignment="1">
      <alignment horizontal="right" vertical="center"/>
    </xf>
    <xf numFmtId="177" fontId="32" fillId="12" borderId="1" xfId="4" applyFont="1" applyFill="1" applyBorder="1" applyAlignment="1">
      <alignment horizontal="right" vertical="center"/>
    </xf>
    <xf numFmtId="0" fontId="43" fillId="6" borderId="8" xfId="2" applyFont="1" applyFill="1" applyBorder="1" applyAlignment="1">
      <alignment horizontal="center"/>
    </xf>
    <xf numFmtId="10" fontId="26" fillId="7" borderId="4" xfId="2" applyNumberFormat="1" applyFont="1" applyFill="1" applyBorder="1" applyAlignment="1"/>
    <xf numFmtId="0" fontId="23" fillId="6" borderId="59" xfId="2" applyFont="1" applyFill="1" applyBorder="1" applyAlignment="1">
      <alignment horizontal="center"/>
    </xf>
    <xf numFmtId="10" fontId="21" fillId="34" borderId="1" xfId="13" applyNumberFormat="1" applyFont="1" applyFill="1" applyBorder="1" applyAlignment="1"/>
    <xf numFmtId="181" fontId="21" fillId="7" borderId="25" xfId="2" applyNumberFormat="1" applyFont="1" applyFill="1" applyBorder="1" applyAlignment="1"/>
    <xf numFmtId="177" fontId="32" fillId="12" borderId="1" xfId="12" applyFont="1" applyFill="1" applyBorder="1">
      <alignment vertical="center"/>
    </xf>
    <xf numFmtId="0" fontId="101" fillId="12" borderId="55" xfId="2" applyFont="1" applyFill="1" applyBorder="1" applyAlignment="1">
      <alignment horizontal="center" vertical="center"/>
    </xf>
    <xf numFmtId="0" fontId="102" fillId="12" borderId="55" xfId="2" applyFont="1" applyFill="1" applyBorder="1" applyAlignment="1">
      <alignment horizontal="center" vertical="center"/>
    </xf>
    <xf numFmtId="0" fontId="102" fillId="12" borderId="0" xfId="2" applyFont="1" applyFill="1" applyAlignment="1">
      <alignment horizontal="center" vertical="center"/>
    </xf>
    <xf numFmtId="177" fontId="103" fillId="12" borderId="1" xfId="12" applyFont="1" applyFill="1" applyBorder="1" applyAlignment="1">
      <alignment horizontal="right" vertical="center"/>
    </xf>
    <xf numFmtId="0" fontId="102" fillId="12" borderId="41" xfId="2" applyFont="1" applyFill="1" applyBorder="1" applyAlignment="1">
      <alignment horizontal="center" vertical="center"/>
    </xf>
    <xf numFmtId="56" fontId="103" fillId="12" borderId="0" xfId="2" applyNumberFormat="1" applyFont="1" applyFill="1" applyAlignment="1">
      <alignment horizontal="right" vertical="center"/>
    </xf>
    <xf numFmtId="194" fontId="103" fillId="12" borderId="0" xfId="2" applyNumberFormat="1" applyFont="1" applyFill="1" applyAlignment="1">
      <alignment horizontal="center" vertical="center"/>
    </xf>
    <xf numFmtId="0" fontId="32" fillId="12" borderId="0" xfId="2" applyFont="1" applyFill="1" applyAlignment="1">
      <alignment horizontal="right" vertical="center"/>
    </xf>
    <xf numFmtId="177" fontId="32" fillId="12" borderId="0" xfId="12" applyFont="1" applyFill="1" applyBorder="1" applyAlignment="1">
      <alignment horizontal="right" vertical="center"/>
    </xf>
    <xf numFmtId="0" fontId="103" fillId="12" borderId="0" xfId="2" applyFont="1" applyFill="1" applyAlignment="1">
      <alignment horizontal="right" vertical="center"/>
    </xf>
    <xf numFmtId="177" fontId="103" fillId="12" borderId="0" xfId="12" applyFont="1" applyFill="1" applyBorder="1" applyAlignment="1">
      <alignment horizontal="right" vertical="center"/>
    </xf>
    <xf numFmtId="178" fontId="62" fillId="0" borderId="0" xfId="8" applyNumberFormat="1" applyProtection="1">
      <alignment vertical="center"/>
      <protection locked="0"/>
    </xf>
    <xf numFmtId="0" fontId="30" fillId="24" borderId="1" xfId="2" applyFont="1" applyFill="1" applyBorder="1" applyAlignment="1" applyProtection="1">
      <alignment horizontal="center"/>
      <protection locked="0"/>
    </xf>
    <xf numFmtId="183" fontId="30" fillId="24" borderId="1" xfId="2" applyNumberFormat="1" applyFont="1" applyFill="1" applyBorder="1" applyAlignment="1" applyProtection="1">
      <alignment horizontal="center"/>
      <protection locked="0"/>
    </xf>
    <xf numFmtId="0" fontId="30" fillId="24" borderId="1" xfId="2" applyFont="1" applyFill="1" applyBorder="1" applyAlignment="1"/>
    <xf numFmtId="0" fontId="5" fillId="2" borderId="1" xfId="2" applyFont="1" applyFill="1" applyBorder="1" applyAlignment="1" applyProtection="1">
      <protection locked="0"/>
    </xf>
    <xf numFmtId="187" fontId="5" fillId="2" borderId="1" xfId="2" applyNumberFormat="1" applyFont="1" applyFill="1" applyBorder="1" applyAlignment="1" applyProtection="1">
      <alignment horizontal="center"/>
      <protection locked="0"/>
    </xf>
    <xf numFmtId="177" fontId="5" fillId="2" borderId="1" xfId="12" applyFont="1" applyFill="1" applyBorder="1" applyAlignment="1" applyProtection="1">
      <protection locked="0"/>
    </xf>
    <xf numFmtId="0" fontId="5" fillId="2" borderId="1" xfId="2" applyFont="1" applyFill="1" applyBorder="1" applyAlignment="1" applyProtection="1">
      <alignment horizontal="center"/>
      <protection locked="0"/>
    </xf>
    <xf numFmtId="14" fontId="5" fillId="2" borderId="0" xfId="2" applyNumberFormat="1" applyFont="1" applyFill="1" applyAlignment="1"/>
    <xf numFmtId="188" fontId="5" fillId="2" borderId="1" xfId="2" applyNumberFormat="1" applyFont="1" applyFill="1" applyBorder="1" applyAlignment="1">
      <alignment horizontal="center"/>
    </xf>
    <xf numFmtId="177" fontId="5" fillId="2" borderId="1" xfId="12" applyFont="1" applyFill="1" applyBorder="1" applyAlignment="1"/>
    <xf numFmtId="0" fontId="5" fillId="2" borderId="1" xfId="2" applyFont="1" applyFill="1" applyBorder="1" applyAlignment="1">
      <alignment horizontal="center"/>
    </xf>
    <xf numFmtId="180" fontId="5" fillId="2" borderId="0" xfId="2" applyNumberFormat="1" applyFont="1" applyFill="1" applyAlignment="1"/>
    <xf numFmtId="177" fontId="5" fillId="2" borderId="1" xfId="2" applyNumberFormat="1" applyFont="1" applyFill="1" applyBorder="1" applyAlignment="1"/>
    <xf numFmtId="14" fontId="104" fillId="47" borderId="0" xfId="2" applyNumberFormat="1" applyFont="1" applyFill="1" applyAlignment="1"/>
    <xf numFmtId="177" fontId="104" fillId="47" borderId="1" xfId="12" applyFont="1" applyFill="1" applyBorder="1" applyAlignment="1" applyProtection="1">
      <protection locked="0"/>
    </xf>
    <xf numFmtId="180" fontId="104" fillId="47" borderId="0" xfId="2" applyNumberFormat="1" applyFont="1" applyFill="1" applyAlignment="1"/>
    <xf numFmtId="0" fontId="5" fillId="2" borderId="1" xfId="2" applyFont="1" applyFill="1" applyBorder="1" applyAlignment="1"/>
    <xf numFmtId="177" fontId="30" fillId="24" borderId="1" xfId="12" applyFont="1" applyFill="1" applyBorder="1" applyAlignment="1" applyProtection="1">
      <alignment horizontal="center"/>
      <protection locked="0"/>
    </xf>
    <xf numFmtId="200" fontId="5" fillId="2" borderId="0" xfId="2" applyNumberFormat="1" applyFont="1" applyFill="1" applyAlignment="1" applyProtection="1">
      <protection locked="0"/>
    </xf>
    <xf numFmtId="183" fontId="5" fillId="2" borderId="1" xfId="2" applyNumberFormat="1" applyFont="1" applyFill="1" applyBorder="1" applyAlignment="1" applyProtection="1">
      <protection locked="0"/>
    </xf>
    <xf numFmtId="10" fontId="5" fillId="2" borderId="1" xfId="13" applyNumberFormat="1" applyFont="1" applyFill="1" applyBorder="1" applyAlignment="1" applyProtection="1">
      <protection locked="0"/>
    </xf>
    <xf numFmtId="187" fontId="5" fillId="2" borderId="0" xfId="2" applyNumberFormat="1" applyFont="1" applyFill="1" applyAlignment="1" applyProtection="1">
      <protection locked="0"/>
    </xf>
    <xf numFmtId="201" fontId="17" fillId="12" borderId="0" xfId="0" applyNumberFormat="1" applyFont="1" applyFill="1" applyAlignment="1">
      <alignment horizontal="right" vertical="center"/>
    </xf>
    <xf numFmtId="56" fontId="105" fillId="34" borderId="0" xfId="0" applyNumberFormat="1" applyFont="1" applyFill="1" applyAlignment="1" applyProtection="1">
      <alignment horizontal="right" vertical="center"/>
      <protection locked="0"/>
    </xf>
    <xf numFmtId="0" fontId="106" fillId="12" borderId="0" xfId="0" applyFont="1" applyFill="1" applyAlignment="1">
      <alignment horizontal="center" vertical="center"/>
    </xf>
    <xf numFmtId="0" fontId="28" fillId="12" borderId="0" xfId="0" applyFont="1" applyFill="1">
      <alignment vertical="center"/>
    </xf>
    <xf numFmtId="0" fontId="28" fillId="12" borderId="0" xfId="0" applyFont="1" applyFill="1" applyAlignment="1">
      <alignment horizontal="right" vertical="center"/>
    </xf>
    <xf numFmtId="0" fontId="105" fillId="12" borderId="0" xfId="0" applyFont="1" applyFill="1" applyAlignment="1">
      <alignment horizontal="center" vertical="center"/>
    </xf>
    <xf numFmtId="0" fontId="65" fillId="34" borderId="1" xfId="0" applyFont="1" applyFill="1" applyBorder="1" applyAlignment="1">
      <alignment horizontal="right" vertical="center"/>
    </xf>
    <xf numFmtId="177" fontId="39" fillId="34" borderId="1" xfId="0" applyNumberFormat="1" applyFont="1" applyFill="1" applyBorder="1">
      <alignment vertical="center"/>
    </xf>
    <xf numFmtId="177" fontId="28" fillId="12" borderId="0" xfId="0" applyNumberFormat="1" applyFont="1" applyFill="1">
      <alignment vertical="center"/>
    </xf>
    <xf numFmtId="0" fontId="28" fillId="34" borderId="1" xfId="0" applyFont="1" applyFill="1" applyBorder="1" applyAlignment="1">
      <alignment horizontal="center" vertical="center"/>
    </xf>
    <xf numFmtId="177" fontId="28" fillId="34" borderId="1" xfId="0" applyNumberFormat="1" applyFont="1" applyFill="1" applyBorder="1">
      <alignment vertical="center"/>
    </xf>
    <xf numFmtId="0" fontId="28" fillId="34" borderId="118" xfId="0" applyFont="1" applyFill="1" applyBorder="1" applyAlignment="1">
      <alignment horizontal="center" vertical="center"/>
    </xf>
    <xf numFmtId="0" fontId="28" fillId="12" borderId="57" xfId="0" applyFont="1" applyFill="1" applyBorder="1">
      <alignment vertical="center"/>
    </xf>
    <xf numFmtId="0" fontId="28" fillId="12" borderId="57" xfId="0" applyFont="1" applyFill="1" applyBorder="1" applyAlignment="1">
      <alignment horizontal="right" vertical="center"/>
    </xf>
    <xf numFmtId="201" fontId="107" fillId="12" borderId="119" xfId="0" applyNumberFormat="1" applyFont="1" applyFill="1" applyBorder="1" applyAlignment="1" applyProtection="1">
      <alignment horizontal="right" vertical="center"/>
      <protection locked="0"/>
    </xf>
    <xf numFmtId="0" fontId="17" fillId="12" borderId="0" xfId="0" applyFont="1" applyFill="1">
      <alignment vertical="center"/>
    </xf>
    <xf numFmtId="0" fontId="17" fillId="34" borderId="1" xfId="0" applyFont="1" applyFill="1" applyBorder="1" applyAlignment="1">
      <alignment horizontal="right" vertical="center"/>
    </xf>
    <xf numFmtId="197" fontId="17" fillId="12" borderId="1" xfId="0" applyNumberFormat="1" applyFont="1" applyFill="1" applyBorder="1">
      <alignment vertical="center"/>
    </xf>
    <xf numFmtId="0" fontId="17" fillId="34" borderId="31" xfId="0" applyFont="1" applyFill="1" applyBorder="1" applyAlignment="1">
      <alignment horizontal="right" vertical="center"/>
    </xf>
    <xf numFmtId="177" fontId="17" fillId="12" borderId="119" xfId="14" applyFont="1" applyFill="1" applyBorder="1">
      <alignment vertical="center"/>
    </xf>
    <xf numFmtId="0" fontId="17" fillId="34" borderId="50" xfId="0" applyFont="1" applyFill="1" applyBorder="1" applyAlignment="1">
      <alignment horizontal="right" vertical="center"/>
    </xf>
    <xf numFmtId="177" fontId="27" fillId="32" borderId="1" xfId="14" applyFont="1" applyFill="1" applyBorder="1" applyProtection="1">
      <alignment vertical="center"/>
    </xf>
    <xf numFmtId="177" fontId="27" fillId="34" borderId="1" xfId="14" applyFont="1" applyFill="1" applyBorder="1" applyProtection="1">
      <alignment vertical="center"/>
    </xf>
    <xf numFmtId="177" fontId="28" fillId="12" borderId="119" xfId="14" applyFont="1" applyFill="1" applyBorder="1">
      <alignment vertical="center"/>
    </xf>
    <xf numFmtId="0" fontId="17" fillId="0" borderId="1" xfId="0" applyFont="1" applyBorder="1" applyAlignment="1">
      <alignment horizontal="right" vertical="center"/>
    </xf>
    <xf numFmtId="0" fontId="17" fillId="0" borderId="1" xfId="0" applyFont="1" applyBorder="1" applyAlignment="1">
      <alignment horizontal="left" vertical="center"/>
    </xf>
    <xf numFmtId="177" fontId="28" fillId="12" borderId="119" xfId="0" applyNumberFormat="1" applyFont="1" applyFill="1" applyBorder="1">
      <alignment vertical="center"/>
    </xf>
    <xf numFmtId="0" fontId="27" fillId="34" borderId="1" xfId="0" applyFont="1" applyFill="1" applyBorder="1" applyAlignment="1">
      <alignment horizontal="right" vertical="center"/>
    </xf>
    <xf numFmtId="0" fontId="28" fillId="0" borderId="1" xfId="0" applyFont="1" applyBorder="1" applyAlignment="1">
      <alignment horizontal="right" vertical="center"/>
    </xf>
    <xf numFmtId="0" fontId="28" fillId="34" borderId="1" xfId="0" applyFont="1" applyFill="1" applyBorder="1" applyAlignment="1">
      <alignment horizontal="right" vertical="center"/>
    </xf>
    <xf numFmtId="0" fontId="28" fillId="34" borderId="1" xfId="0" applyFont="1" applyFill="1" applyBorder="1">
      <alignment vertical="center"/>
    </xf>
    <xf numFmtId="0" fontId="28" fillId="12" borderId="119" xfId="0" applyFont="1" applyFill="1" applyBorder="1">
      <alignment vertical="center"/>
    </xf>
    <xf numFmtId="10" fontId="28" fillId="34" borderId="1" xfId="0" applyNumberFormat="1" applyFont="1" applyFill="1" applyBorder="1">
      <alignment vertical="center"/>
    </xf>
    <xf numFmtId="0" fontId="17" fillId="12" borderId="0" xfId="0" applyFont="1" applyFill="1" applyAlignment="1">
      <alignment horizontal="right" vertical="center"/>
    </xf>
    <xf numFmtId="177" fontId="28" fillId="34" borderId="1" xfId="14" applyFont="1" applyFill="1" applyBorder="1" applyProtection="1">
      <alignment vertical="center"/>
    </xf>
    <xf numFmtId="0" fontId="28" fillId="0" borderId="64" xfId="0" applyFont="1" applyBorder="1" applyAlignment="1">
      <alignment horizontal="right" vertical="center"/>
    </xf>
    <xf numFmtId="0" fontId="17" fillId="0" borderId="50" xfId="0" applyFont="1" applyBorder="1" applyAlignment="1">
      <alignment horizontal="right" vertical="center"/>
    </xf>
    <xf numFmtId="0" fontId="46" fillId="34" borderId="1" xfId="0" applyFont="1" applyFill="1" applyBorder="1" applyAlignment="1">
      <alignment horizontal="right" vertical="center"/>
    </xf>
    <xf numFmtId="177" fontId="46" fillId="34" borderId="1" xfId="0" applyNumberFormat="1" applyFont="1" applyFill="1" applyBorder="1">
      <alignment vertical="center"/>
    </xf>
    <xf numFmtId="178" fontId="28" fillId="12" borderId="0" xfId="0" applyNumberFormat="1" applyFont="1" applyFill="1">
      <alignment vertical="center"/>
    </xf>
    <xf numFmtId="10" fontId="28" fillId="34" borderId="1" xfId="13" applyNumberFormat="1" applyFont="1" applyFill="1" applyBorder="1" applyProtection="1">
      <alignment vertical="center"/>
    </xf>
    <xf numFmtId="0" fontId="17" fillId="12" borderId="31" xfId="0" applyFont="1" applyFill="1" applyBorder="1">
      <alignment vertical="center"/>
    </xf>
    <xf numFmtId="0" fontId="17" fillId="12" borderId="60" xfId="0" applyFont="1" applyFill="1" applyBorder="1">
      <alignment vertical="center"/>
    </xf>
    <xf numFmtId="0" fontId="17" fillId="12" borderId="36" xfId="0" applyFont="1" applyFill="1" applyBorder="1">
      <alignment vertical="center"/>
    </xf>
    <xf numFmtId="0" fontId="17" fillId="0" borderId="1" xfId="0" applyFont="1" applyBorder="1">
      <alignment vertical="center"/>
    </xf>
    <xf numFmtId="0" fontId="28" fillId="0" borderId="1" xfId="0" applyFont="1" applyBorder="1">
      <alignment vertical="center"/>
    </xf>
    <xf numFmtId="10" fontId="28" fillId="0" borderId="1" xfId="0" applyNumberFormat="1" applyFont="1" applyBorder="1">
      <alignment vertical="center"/>
    </xf>
    <xf numFmtId="177" fontId="28" fillId="0" borderId="1" xfId="0" applyNumberFormat="1" applyFont="1" applyBorder="1">
      <alignment vertical="center"/>
    </xf>
    <xf numFmtId="0" fontId="28" fillId="0" borderId="1" xfId="0" applyFont="1" applyBorder="1" applyAlignment="1">
      <alignment horizontal="center" vertical="center"/>
    </xf>
    <xf numFmtId="10" fontId="28" fillId="12" borderId="0" xfId="0" applyNumberFormat="1" applyFont="1" applyFill="1">
      <alignment vertical="center"/>
    </xf>
    <xf numFmtId="202" fontId="28" fillId="34" borderId="1" xfId="0" applyNumberFormat="1" applyFont="1" applyFill="1" applyBorder="1" applyAlignment="1">
      <alignment horizontal="right" vertical="center"/>
    </xf>
    <xf numFmtId="177" fontId="28" fillId="12" borderId="1" xfId="14" applyFont="1" applyFill="1" applyBorder="1" applyProtection="1">
      <alignment vertical="center"/>
      <protection locked="0"/>
    </xf>
    <xf numFmtId="177" fontId="108" fillId="34" borderId="1" xfId="14" applyFont="1" applyFill="1" applyBorder="1" applyAlignment="1">
      <alignment horizontal="right" vertical="center"/>
    </xf>
    <xf numFmtId="177" fontId="28" fillId="34" borderId="1" xfId="14" applyFont="1" applyFill="1" applyBorder="1" applyAlignment="1">
      <alignment horizontal="right" vertical="center"/>
    </xf>
    <xf numFmtId="177" fontId="28" fillId="34" borderId="1" xfId="14" applyFont="1" applyFill="1" applyBorder="1">
      <alignment vertical="center"/>
    </xf>
    <xf numFmtId="9" fontId="28" fillId="34" borderId="1" xfId="13" applyFont="1" applyFill="1" applyBorder="1">
      <alignment vertical="center"/>
    </xf>
    <xf numFmtId="10" fontId="28" fillId="34" borderId="1" xfId="13" applyNumberFormat="1" applyFont="1" applyFill="1" applyBorder="1">
      <alignment vertical="center"/>
    </xf>
    <xf numFmtId="177" fontId="28" fillId="34" borderId="1" xfId="0" applyNumberFormat="1" applyFont="1" applyFill="1" applyBorder="1" applyAlignment="1">
      <alignment horizontal="right" vertical="center"/>
    </xf>
    <xf numFmtId="177" fontId="108" fillId="34" borderId="1" xfId="0" applyNumberFormat="1" applyFont="1" applyFill="1" applyBorder="1" applyAlignment="1">
      <alignment horizontal="right" vertical="center"/>
    </xf>
    <xf numFmtId="0" fontId="0" fillId="12" borderId="119" xfId="0" applyFill="1" applyBorder="1">
      <alignment vertical="center"/>
    </xf>
    <xf numFmtId="0" fontId="0" fillId="12" borderId="0" xfId="0" applyFill="1">
      <alignment vertical="center"/>
    </xf>
    <xf numFmtId="0" fontId="0" fillId="12" borderId="119" xfId="0" applyFill="1" applyBorder="1" applyAlignment="1">
      <alignment horizontal="right" vertical="center"/>
    </xf>
    <xf numFmtId="177" fontId="0" fillId="48" borderId="119" xfId="14" applyFont="1" applyFill="1" applyBorder="1">
      <alignment vertical="center"/>
    </xf>
    <xf numFmtId="177" fontId="0" fillId="49" borderId="119" xfId="14" applyFont="1" applyFill="1" applyBorder="1">
      <alignment vertical="center"/>
    </xf>
    <xf numFmtId="10" fontId="0" fillId="12" borderId="119" xfId="13" applyNumberFormat="1" applyFont="1" applyFill="1" applyBorder="1">
      <alignment vertical="center"/>
    </xf>
    <xf numFmtId="203" fontId="0" fillId="12" borderId="119" xfId="0" applyNumberFormat="1" applyFill="1" applyBorder="1">
      <alignment vertical="center"/>
    </xf>
    <xf numFmtId="177" fontId="0" fillId="48" borderId="119" xfId="0" applyNumberFormat="1" applyFill="1" applyBorder="1">
      <alignment vertical="center"/>
    </xf>
    <xf numFmtId="183" fontId="0" fillId="12" borderId="119" xfId="0" applyNumberFormat="1" applyFill="1" applyBorder="1">
      <alignment vertical="center"/>
    </xf>
    <xf numFmtId="177" fontId="0" fillId="12" borderId="119" xfId="14" applyFont="1" applyFill="1" applyBorder="1">
      <alignment vertical="center"/>
    </xf>
    <xf numFmtId="177" fontId="0" fillId="12" borderId="0" xfId="14" applyFont="1" applyFill="1">
      <alignment vertical="center"/>
    </xf>
    <xf numFmtId="192" fontId="0" fillId="12" borderId="0" xfId="0" applyNumberFormat="1" applyFill="1">
      <alignment vertical="center"/>
    </xf>
    <xf numFmtId="0" fontId="109" fillId="12" borderId="119" xfId="0" applyFont="1" applyFill="1" applyBorder="1">
      <alignment vertical="center"/>
    </xf>
    <xf numFmtId="177" fontId="109" fillId="12" borderId="119" xfId="0" applyNumberFormat="1" applyFont="1" applyFill="1" applyBorder="1">
      <alignment vertical="center"/>
    </xf>
    <xf numFmtId="177" fontId="0" fillId="12" borderId="0" xfId="0" applyNumberFormat="1" applyFill="1">
      <alignment vertical="center"/>
    </xf>
    <xf numFmtId="178" fontId="0" fillId="12" borderId="0" xfId="0" applyNumberFormat="1" applyFill="1">
      <alignment vertical="center"/>
    </xf>
    <xf numFmtId="0" fontId="109" fillId="12" borderId="0" xfId="0" applyFont="1" applyFill="1">
      <alignment vertical="center"/>
    </xf>
    <xf numFmtId="177" fontId="109" fillId="12" borderId="0" xfId="0" applyNumberFormat="1" applyFont="1" applyFill="1">
      <alignment vertical="center"/>
    </xf>
    <xf numFmtId="0" fontId="0" fillId="12" borderId="0" xfId="0" applyFill="1" applyAlignment="1">
      <alignment horizontal="right" vertical="center"/>
    </xf>
    <xf numFmtId="177" fontId="0" fillId="12" borderId="0" xfId="14" applyFont="1" applyFill="1" applyBorder="1">
      <alignment vertical="center"/>
    </xf>
    <xf numFmtId="10" fontId="0" fillId="12" borderId="0" xfId="13" applyNumberFormat="1" applyFont="1" applyFill="1" applyBorder="1">
      <alignment vertical="center"/>
    </xf>
    <xf numFmtId="177" fontId="0" fillId="12" borderId="119" xfId="0" applyNumberFormat="1" applyFill="1" applyBorder="1">
      <alignment vertical="center"/>
    </xf>
    <xf numFmtId="183" fontId="110" fillId="0" borderId="0" xfId="2" applyNumberFormat="1" applyFont="1" applyAlignment="1"/>
    <xf numFmtId="183" fontId="110" fillId="0" borderId="0" xfId="4" applyNumberFormat="1" applyFont="1" applyAlignment="1"/>
    <xf numFmtId="9" fontId="6" fillId="0" borderId="0" xfId="13" applyFont="1" applyAlignment="1"/>
    <xf numFmtId="177" fontId="77" fillId="34" borderId="91" xfId="9" applyFont="1" applyFill="1" applyBorder="1" applyAlignment="1" applyProtection="1">
      <alignment horizontal="center" vertical="center"/>
    </xf>
    <xf numFmtId="177" fontId="77" fillId="34" borderId="92" xfId="9" applyFont="1" applyFill="1" applyBorder="1" applyAlignment="1" applyProtection="1">
      <alignment horizontal="center" vertical="center"/>
    </xf>
    <xf numFmtId="177" fontId="76" fillId="34" borderId="94" xfId="8" applyNumberFormat="1" applyFont="1" applyFill="1" applyBorder="1" applyAlignment="1">
      <alignment horizontal="center" vertical="center"/>
    </xf>
    <xf numFmtId="177" fontId="76" fillId="34" borderId="95" xfId="8" applyNumberFormat="1" applyFont="1" applyFill="1" applyBorder="1" applyAlignment="1">
      <alignment horizontal="center" vertical="center"/>
    </xf>
    <xf numFmtId="177" fontId="76" fillId="34" borderId="116" xfId="8" applyNumberFormat="1" applyFont="1" applyFill="1" applyBorder="1" applyAlignment="1">
      <alignment horizontal="center" vertical="center"/>
    </xf>
    <xf numFmtId="192" fontId="76" fillId="0" borderId="83" xfId="9" applyNumberFormat="1" applyFont="1" applyBorder="1" applyAlignment="1" applyProtection="1">
      <alignment horizontal="center" vertical="center"/>
      <protection locked="0"/>
    </xf>
    <xf numFmtId="192" fontId="77" fillId="34" borderId="47" xfId="9" applyNumberFormat="1" applyFont="1" applyFill="1" applyBorder="1" applyAlignment="1" applyProtection="1">
      <alignment horizontal="center" vertical="center"/>
      <protection locked="0"/>
    </xf>
    <xf numFmtId="192" fontId="77" fillId="34" borderId="84" xfId="9" applyNumberFormat="1" applyFont="1" applyFill="1" applyBorder="1" applyAlignment="1" applyProtection="1">
      <alignment horizontal="center" vertical="center"/>
      <protection locked="0"/>
    </xf>
    <xf numFmtId="0" fontId="62" fillId="34" borderId="91" xfId="8" applyFill="1" applyBorder="1" applyAlignment="1">
      <alignment horizontal="center" vertical="center"/>
    </xf>
    <xf numFmtId="0" fontId="62" fillId="34" borderId="97" xfId="8" applyFill="1" applyBorder="1" applyAlignment="1">
      <alignment horizontal="center" vertical="center"/>
    </xf>
    <xf numFmtId="0" fontId="62" fillId="34" borderId="108" xfId="8" applyFill="1" applyBorder="1" applyAlignment="1">
      <alignment horizontal="center" vertical="center"/>
    </xf>
    <xf numFmtId="0" fontId="62" fillId="34" borderId="92" xfId="8" applyFill="1" applyBorder="1" applyAlignment="1">
      <alignment horizontal="center" vertical="center"/>
    </xf>
    <xf numFmtId="0" fontId="62" fillId="34" borderId="98" xfId="8" applyFill="1" applyBorder="1" applyAlignment="1">
      <alignment horizontal="center" vertical="center"/>
    </xf>
    <xf numFmtId="0" fontId="62" fillId="34" borderId="103" xfId="8" applyFill="1" applyBorder="1" applyAlignment="1">
      <alignment horizontal="center" vertical="center"/>
    </xf>
    <xf numFmtId="0" fontId="62" fillId="34" borderId="107" xfId="8" applyFill="1" applyBorder="1" applyAlignment="1">
      <alignment horizontal="center" vertical="center"/>
    </xf>
    <xf numFmtId="177" fontId="76" fillId="34" borderId="81" xfId="9" applyFont="1" applyFill="1" applyBorder="1" applyAlignment="1" applyProtection="1">
      <alignment horizontal="center" vertical="center"/>
    </xf>
    <xf numFmtId="177" fontId="76" fillId="0" borderId="81" xfId="9" applyFont="1" applyBorder="1" applyAlignment="1" applyProtection="1">
      <alignment horizontal="center" vertical="center"/>
    </xf>
    <xf numFmtId="0" fontId="71" fillId="34" borderId="75" xfId="8" applyFont="1" applyFill="1" applyBorder="1" applyAlignment="1" applyProtection="1">
      <alignment horizontal="center" vertical="center"/>
      <protection locked="0"/>
    </xf>
    <xf numFmtId="0" fontId="71" fillId="34" borderId="76" xfId="8" applyFont="1" applyFill="1" applyBorder="1" applyAlignment="1" applyProtection="1">
      <alignment horizontal="center" vertical="center"/>
      <protection locked="0"/>
    </xf>
    <xf numFmtId="0" fontId="71" fillId="34" borderId="77" xfId="8" applyFont="1" applyFill="1" applyBorder="1" applyAlignment="1" applyProtection="1">
      <alignment horizontal="center" vertical="center"/>
      <protection locked="0"/>
    </xf>
    <xf numFmtId="9" fontId="83" fillId="34" borderId="75" xfId="10" applyFont="1" applyFill="1" applyBorder="1" applyAlignment="1" applyProtection="1">
      <alignment horizontal="center" vertical="center"/>
    </xf>
    <xf numFmtId="9" fontId="83" fillId="34" borderId="77" xfId="10" applyFont="1" applyFill="1" applyBorder="1" applyAlignment="1" applyProtection="1">
      <alignment horizontal="center" vertical="center"/>
    </xf>
    <xf numFmtId="0" fontId="71" fillId="34" borderId="71" xfId="8" applyFont="1" applyFill="1" applyBorder="1" applyAlignment="1">
      <alignment horizontal="center" vertical="center"/>
    </xf>
    <xf numFmtId="0" fontId="71" fillId="34" borderId="72" xfId="8" applyFont="1" applyFill="1" applyBorder="1" applyAlignment="1">
      <alignment horizontal="center" vertical="center"/>
    </xf>
    <xf numFmtId="0" fontId="71" fillId="34" borderId="61" xfId="8" applyFont="1" applyFill="1" applyBorder="1" applyAlignment="1">
      <alignment horizontal="center" vertical="center"/>
    </xf>
    <xf numFmtId="0" fontId="71" fillId="34" borderId="66" xfId="8" applyFont="1" applyFill="1" applyBorder="1" applyAlignment="1">
      <alignment horizontal="center" vertical="center"/>
    </xf>
    <xf numFmtId="0" fontId="71" fillId="34" borderId="69" xfId="8" applyFont="1" applyFill="1" applyBorder="1" applyAlignment="1">
      <alignment horizontal="center" vertical="center"/>
    </xf>
    <xf numFmtId="0" fontId="71" fillId="34" borderId="29" xfId="8" applyFont="1" applyFill="1" applyBorder="1" applyAlignment="1">
      <alignment horizontal="center" vertical="center"/>
    </xf>
    <xf numFmtId="0" fontId="71" fillId="34" borderId="71" xfId="8" applyFont="1" applyFill="1" applyBorder="1" applyAlignment="1">
      <alignment horizontal="center" vertical="center" wrapText="1"/>
    </xf>
    <xf numFmtId="0" fontId="71" fillId="34" borderId="72" xfId="8" applyFont="1" applyFill="1" applyBorder="1" applyAlignment="1">
      <alignment horizontal="center" vertical="center" wrapText="1"/>
    </xf>
    <xf numFmtId="0" fontId="71" fillId="34" borderId="61" xfId="8" applyFont="1" applyFill="1" applyBorder="1" applyAlignment="1">
      <alignment horizontal="center" vertical="center" wrapText="1"/>
    </xf>
    <xf numFmtId="0" fontId="71" fillId="34" borderId="66" xfId="8" applyFont="1" applyFill="1" applyBorder="1" applyAlignment="1">
      <alignment horizontal="center" vertical="center" wrapText="1"/>
    </xf>
    <xf numFmtId="0" fontId="71" fillId="34" borderId="69" xfId="8" applyFont="1" applyFill="1" applyBorder="1" applyAlignment="1">
      <alignment horizontal="center" vertical="center" wrapText="1"/>
    </xf>
    <xf numFmtId="0" fontId="71" fillId="34" borderId="29" xfId="8" applyFont="1" applyFill="1" applyBorder="1" applyAlignment="1">
      <alignment horizontal="center" vertical="center" wrapText="1"/>
    </xf>
    <xf numFmtId="0" fontId="85" fillId="34" borderId="75" xfId="8" applyFont="1" applyFill="1" applyBorder="1" applyAlignment="1">
      <alignment horizontal="center" vertical="center"/>
    </xf>
    <xf numFmtId="0" fontId="85" fillId="34" borderId="76" xfId="8" applyFont="1" applyFill="1" applyBorder="1" applyAlignment="1">
      <alignment horizontal="center" vertical="center"/>
    </xf>
    <xf numFmtId="0" fontId="85" fillId="34" borderId="77" xfId="8" applyFont="1" applyFill="1" applyBorder="1" applyAlignment="1">
      <alignment horizontal="center" vertical="center"/>
    </xf>
    <xf numFmtId="177" fontId="76" fillId="34" borderId="64" xfId="9" applyFont="1" applyFill="1" applyBorder="1" applyAlignment="1" applyProtection="1">
      <alignment horizontal="center" vertical="center"/>
    </xf>
    <xf numFmtId="177" fontId="77" fillId="34" borderId="64" xfId="9" applyFont="1" applyFill="1" applyBorder="1" applyAlignment="1" applyProtection="1">
      <alignment horizontal="center" vertical="center"/>
    </xf>
    <xf numFmtId="177" fontId="74" fillId="0" borderId="1" xfId="9" applyFont="1" applyBorder="1" applyAlignment="1" applyProtection="1">
      <alignment horizontal="center" vertical="center"/>
      <protection locked="0"/>
    </xf>
    <xf numFmtId="177" fontId="73" fillId="0" borderId="68" xfId="9" applyFont="1" applyBorder="1" applyAlignment="1" applyProtection="1">
      <alignment horizontal="center" vertical="center"/>
      <protection locked="0"/>
    </xf>
    <xf numFmtId="177" fontId="73" fillId="0" borderId="67" xfId="9" applyFont="1" applyBorder="1" applyAlignment="1" applyProtection="1">
      <alignment horizontal="center" vertical="center"/>
      <protection locked="0"/>
    </xf>
    <xf numFmtId="0" fontId="70" fillId="34" borderId="65" xfId="8" applyFont="1" applyFill="1" applyBorder="1" applyAlignment="1">
      <alignment horizontal="center" vertical="center"/>
    </xf>
    <xf numFmtId="0" fontId="70" fillId="34" borderId="63" xfId="8" applyFont="1" applyFill="1" applyBorder="1" applyAlignment="1">
      <alignment horizontal="center" vertical="center"/>
    </xf>
    <xf numFmtId="177" fontId="71" fillId="34" borderId="41" xfId="9" applyFont="1" applyFill="1" applyBorder="1" applyAlignment="1" applyProtection="1">
      <alignment horizontal="center" vertical="center"/>
      <protection locked="0"/>
    </xf>
    <xf numFmtId="177" fontId="71" fillId="34" borderId="40" xfId="9" applyFont="1" applyFill="1" applyBorder="1" applyAlignment="1" applyProtection="1">
      <alignment horizontal="center" vertical="center"/>
      <protection locked="0"/>
    </xf>
    <xf numFmtId="177" fontId="71" fillId="34" borderId="61" xfId="9" applyFont="1" applyFill="1" applyBorder="1" applyAlignment="1" applyProtection="1">
      <alignment horizontal="center" vertical="center"/>
      <protection locked="0"/>
    </xf>
    <xf numFmtId="177" fontId="71" fillId="34" borderId="66" xfId="9" applyFont="1" applyFill="1" applyBorder="1" applyAlignment="1" applyProtection="1">
      <alignment horizontal="center" vertical="center"/>
      <protection locked="0"/>
    </xf>
    <xf numFmtId="177" fontId="71" fillId="34" borderId="56" xfId="9" applyFont="1" applyFill="1" applyBorder="1" applyAlignment="1" applyProtection="1">
      <alignment horizontal="center" vertical="center"/>
      <protection locked="0"/>
    </xf>
    <xf numFmtId="177" fontId="71" fillId="34" borderId="58" xfId="9" applyFont="1" applyFill="1" applyBorder="1" applyAlignment="1" applyProtection="1">
      <alignment horizontal="center" vertical="center"/>
      <protection locked="0"/>
    </xf>
    <xf numFmtId="177" fontId="73" fillId="0" borderId="50" xfId="9" applyFont="1" applyBorder="1" applyAlignment="1" applyProtection="1">
      <alignment horizontal="center" vertical="center"/>
      <protection locked="0"/>
    </xf>
    <xf numFmtId="177" fontId="73" fillId="0" borderId="56" xfId="9" applyFont="1" applyBorder="1" applyAlignment="1" applyProtection="1">
      <alignment horizontal="center" vertical="center"/>
      <protection locked="0"/>
    </xf>
    <xf numFmtId="0" fontId="68" fillId="34" borderId="30" xfId="8" applyFont="1" applyFill="1" applyBorder="1" applyAlignment="1" applyProtection="1">
      <alignment horizontal="center" vertical="center"/>
      <protection locked="0"/>
    </xf>
    <xf numFmtId="0" fontId="68" fillId="34" borderId="29" xfId="8" applyFont="1" applyFill="1" applyBorder="1" applyAlignment="1" applyProtection="1">
      <alignment horizontal="center" vertical="center"/>
      <protection locked="0"/>
    </xf>
    <xf numFmtId="0" fontId="68" fillId="34" borderId="63" xfId="8" applyFont="1" applyFill="1" applyBorder="1" applyAlignment="1">
      <alignment horizontal="center" vertical="center"/>
    </xf>
    <xf numFmtId="0" fontId="68" fillId="34" borderId="64" xfId="8" applyFont="1" applyFill="1" applyBorder="1" applyAlignment="1">
      <alignment horizontal="center" vertical="center"/>
    </xf>
    <xf numFmtId="201" fontId="39" fillId="12" borderId="31" xfId="0" applyNumberFormat="1" applyFont="1" applyFill="1" applyBorder="1" applyAlignment="1" applyProtection="1">
      <alignment horizontal="center" vertical="center"/>
      <protection locked="0"/>
    </xf>
    <xf numFmtId="201" fontId="39" fillId="12" borderId="36" xfId="0" applyNumberFormat="1" applyFont="1" applyFill="1" applyBorder="1" applyAlignment="1" applyProtection="1">
      <alignment horizontal="center" vertical="center"/>
      <protection locked="0"/>
    </xf>
    <xf numFmtId="0" fontId="17" fillId="12" borderId="31" xfId="0" applyFont="1" applyFill="1" applyBorder="1" applyAlignment="1" applyProtection="1">
      <alignment horizontal="center" vertical="center"/>
      <protection locked="0"/>
    </xf>
    <xf numFmtId="0" fontId="17" fillId="12" borderId="36" xfId="0" applyFont="1" applyFill="1" applyBorder="1" applyAlignment="1" applyProtection="1">
      <alignment horizontal="center" vertical="center"/>
      <protection locked="0"/>
    </xf>
    <xf numFmtId="0" fontId="28" fillId="34" borderId="1" xfId="0" applyFont="1" applyFill="1" applyBorder="1" applyAlignment="1">
      <alignment horizontal="left" vertical="center"/>
    </xf>
    <xf numFmtId="0" fontId="63" fillId="12" borderId="1" xfId="0" applyFont="1" applyFill="1" applyBorder="1" applyAlignment="1">
      <alignment horizontal="left" vertical="center" wrapText="1"/>
    </xf>
    <xf numFmtId="0" fontId="63" fillId="12" borderId="118" xfId="0" applyFont="1" applyFill="1" applyBorder="1" applyAlignment="1">
      <alignment horizontal="left" vertical="center" wrapText="1"/>
    </xf>
    <xf numFmtId="0" fontId="39" fillId="12" borderId="60" xfId="0" applyFont="1" applyFill="1" applyBorder="1" applyAlignment="1">
      <alignment horizontal="center" vertical="center"/>
    </xf>
    <xf numFmtId="0" fontId="17" fillId="12" borderId="0" xfId="0" applyFont="1" applyFill="1" applyAlignment="1">
      <alignment horizontal="center" vertical="center"/>
    </xf>
    <xf numFmtId="0" fontId="17" fillId="0" borderId="50" xfId="0" applyFont="1" applyBorder="1" applyAlignment="1">
      <alignment horizontal="left" vertical="center"/>
    </xf>
    <xf numFmtId="0" fontId="28" fillId="0" borderId="1" xfId="0" applyFont="1" applyBorder="1" applyAlignment="1">
      <alignment horizontal="left" vertical="center"/>
    </xf>
    <xf numFmtId="0" fontId="17" fillId="0" borderId="1" xfId="0" applyFont="1" applyBorder="1" applyAlignment="1">
      <alignment horizontal="left" vertical="center"/>
    </xf>
    <xf numFmtId="0" fontId="28" fillId="0" borderId="64" xfId="0" applyFont="1" applyBorder="1" applyAlignment="1">
      <alignment horizontal="left" vertical="center"/>
    </xf>
    <xf numFmtId="177" fontId="0" fillId="48" borderId="119" xfId="0" applyNumberFormat="1" applyFill="1" applyBorder="1" applyAlignment="1">
      <alignment horizontal="center" vertical="center"/>
    </xf>
    <xf numFmtId="180" fontId="100" fillId="14" borderId="4" xfId="2" applyNumberFormat="1" applyFont="1" applyFill="1" applyBorder="1" applyAlignment="1">
      <alignment horizontal="right"/>
    </xf>
    <xf numFmtId="180" fontId="100" fillId="14" borderId="3" xfId="2" applyNumberFormat="1" applyFont="1" applyFill="1" applyBorder="1" applyAlignment="1">
      <alignment horizontal="right"/>
    </xf>
    <xf numFmtId="180" fontId="18" fillId="14" borderId="4" xfId="2" applyNumberFormat="1" applyFont="1" applyFill="1" applyBorder="1" applyAlignment="1">
      <alignment horizontal="right"/>
    </xf>
    <xf numFmtId="180" fontId="18" fillId="14" borderId="3" xfId="2" applyNumberFormat="1" applyFont="1" applyFill="1" applyBorder="1" applyAlignment="1">
      <alignment horizontal="right"/>
    </xf>
    <xf numFmtId="180" fontId="21" fillId="7" borderId="9" xfId="2" applyNumberFormat="1" applyFont="1" applyFill="1" applyBorder="1" applyAlignment="1">
      <alignment horizontal="right"/>
    </xf>
    <xf numFmtId="0" fontId="13" fillId="0" borderId="10" xfId="2" applyFont="1" applyBorder="1" applyAlignment="1"/>
    <xf numFmtId="180" fontId="29" fillId="13" borderId="9" xfId="2" applyNumberFormat="1" applyFont="1" applyFill="1" applyBorder="1" applyAlignment="1">
      <alignment horizontal="center"/>
    </xf>
    <xf numFmtId="0" fontId="22" fillId="13" borderId="6" xfId="2" applyFont="1" applyFill="1" applyBorder="1" applyAlignment="1">
      <alignment horizontal="center"/>
    </xf>
    <xf numFmtId="0" fontId="13" fillId="0" borderId="7" xfId="2" applyFont="1" applyBorder="1" applyAlignment="1"/>
    <xf numFmtId="0" fontId="23" fillId="6" borderId="4" xfId="2" applyFont="1" applyFill="1" applyBorder="1" applyAlignment="1">
      <alignment horizontal="center"/>
    </xf>
    <xf numFmtId="0" fontId="23" fillId="6" borderId="3" xfId="2" applyFont="1" applyFill="1" applyBorder="1" applyAlignment="1">
      <alignment horizontal="center"/>
    </xf>
    <xf numFmtId="0" fontId="25" fillId="6" borderId="4" xfId="2" applyFont="1" applyFill="1" applyBorder="1" applyAlignment="1">
      <alignment horizontal="center"/>
    </xf>
    <xf numFmtId="0" fontId="25" fillId="6" borderId="3" xfId="2" applyFont="1" applyFill="1" applyBorder="1" applyAlignment="1">
      <alignment horizontal="center"/>
    </xf>
    <xf numFmtId="0" fontId="13" fillId="0" borderId="3" xfId="2" applyFont="1" applyBorder="1" applyAlignment="1"/>
    <xf numFmtId="0" fontId="26" fillId="13" borderId="9" xfId="2" applyFont="1" applyFill="1" applyBorder="1" applyAlignment="1">
      <alignment horizontal="center"/>
    </xf>
    <xf numFmtId="179" fontId="7" fillId="4" borderId="1" xfId="2" applyNumberFormat="1" applyFont="1" applyFill="1" applyBorder="1" applyAlignment="1" applyProtection="1">
      <alignment horizontal="center"/>
      <protection locked="0"/>
    </xf>
    <xf numFmtId="179" fontId="8" fillId="5" borderId="1" xfId="2" applyNumberFormat="1" applyFont="1" applyFill="1" applyBorder="1" applyAlignment="1" applyProtection="1">
      <protection locked="0"/>
    </xf>
    <xf numFmtId="179" fontId="9" fillId="5" borderId="1" xfId="2" applyNumberFormat="1" applyFont="1" applyFill="1" applyBorder="1" applyAlignment="1" applyProtection="1">
      <protection locked="0"/>
    </xf>
    <xf numFmtId="0" fontId="10" fillId="6" borderId="2" xfId="2" applyFont="1" applyFill="1" applyBorder="1" applyAlignment="1">
      <alignment horizontal="center"/>
    </xf>
    <xf numFmtId="0" fontId="13" fillId="0" borderId="3" xfId="2" applyFont="1" applyBorder="1" applyAlignment="1">
      <alignment horizontal="center"/>
    </xf>
    <xf numFmtId="0" fontId="14" fillId="6" borderId="1" xfId="2" applyFont="1" applyFill="1" applyBorder="1" applyAlignment="1">
      <alignment horizontal="center"/>
    </xf>
    <xf numFmtId="0" fontId="10" fillId="6" borderId="1" xfId="2" applyFont="1" applyFill="1" applyBorder="1" applyAlignment="1">
      <alignment horizontal="center"/>
    </xf>
    <xf numFmtId="0" fontId="10" fillId="7" borderId="2" xfId="2" applyFont="1" applyFill="1" applyBorder="1" applyAlignment="1">
      <alignment horizontal="center"/>
    </xf>
    <xf numFmtId="176" fontId="18" fillId="10" borderId="1" xfId="2" applyNumberFormat="1" applyFont="1" applyFill="1" applyBorder="1" applyAlignment="1">
      <alignment horizontal="center"/>
    </xf>
    <xf numFmtId="180" fontId="19" fillId="11" borderId="1" xfId="2" applyNumberFormat="1" applyFont="1" applyFill="1" applyBorder="1" applyAlignment="1">
      <alignment horizontal="center"/>
    </xf>
    <xf numFmtId="187" fontId="63" fillId="0" borderId="1" xfId="8" applyNumberFormat="1" applyFont="1" applyBorder="1" applyAlignment="1">
      <alignment horizontal="center" vertical="center"/>
    </xf>
    <xf numFmtId="177" fontId="17" fillId="0" borderId="62" xfId="8" applyNumberFormat="1" applyFont="1" applyBorder="1" applyAlignment="1">
      <alignment horizontal="center" vertical="center"/>
    </xf>
    <xf numFmtId="177" fontId="17" fillId="0" borderId="50" xfId="8" applyNumberFormat="1" applyFont="1" applyBorder="1" applyAlignment="1">
      <alignment horizontal="center" vertical="center"/>
    </xf>
    <xf numFmtId="192" fontId="17" fillId="0" borderId="62" xfId="8" applyNumberFormat="1" applyFont="1" applyBorder="1" applyAlignment="1">
      <alignment horizontal="center" vertical="center"/>
    </xf>
    <xf numFmtId="192" fontId="17" fillId="0" borderId="50" xfId="8" applyNumberFormat="1" applyFont="1" applyBorder="1" applyAlignment="1">
      <alignment horizontal="center" vertical="center"/>
    </xf>
    <xf numFmtId="10" fontId="63" fillId="0" borderId="36" xfId="10" applyNumberFormat="1" applyFont="1" applyBorder="1" applyAlignment="1">
      <alignment horizontal="center" vertical="center"/>
    </xf>
    <xf numFmtId="177" fontId="17" fillId="0" borderId="1" xfId="8" applyNumberFormat="1" applyFont="1" applyBorder="1" applyAlignment="1">
      <alignment horizontal="center" vertical="center"/>
    </xf>
    <xf numFmtId="0" fontId="19" fillId="35" borderId="32" xfId="2" applyFont="1" applyFill="1" applyBorder="1" applyAlignment="1">
      <alignment horizontal="right" vertical="center"/>
    </xf>
    <xf numFmtId="0" fontId="19" fillId="35" borderId="43" xfId="2" applyFont="1" applyFill="1" applyBorder="1" applyAlignment="1">
      <alignment horizontal="right" vertical="center"/>
    </xf>
    <xf numFmtId="180" fontId="19" fillId="36" borderId="44" xfId="2" applyNumberFormat="1" applyFont="1" applyFill="1" applyBorder="1" applyAlignment="1">
      <alignment horizontal="center"/>
    </xf>
    <xf numFmtId="180" fontId="19" fillId="36" borderId="34" xfId="2" applyNumberFormat="1" applyFont="1" applyFill="1" applyBorder="1" applyAlignment="1">
      <alignment horizontal="center"/>
    </xf>
    <xf numFmtId="0" fontId="19" fillId="35" borderId="45" xfId="2" applyFont="1" applyFill="1" applyBorder="1" applyAlignment="1">
      <alignment horizontal="right" vertical="center"/>
    </xf>
    <xf numFmtId="0" fontId="19" fillId="35" borderId="46" xfId="2" applyFont="1" applyFill="1" applyBorder="1" applyAlignment="1">
      <alignment horizontal="right" vertical="center"/>
    </xf>
    <xf numFmtId="180" fontId="19" fillId="35" borderId="47" xfId="2" applyNumberFormat="1" applyFont="1" applyFill="1" applyBorder="1" applyAlignment="1">
      <alignment horizontal="center"/>
    </xf>
    <xf numFmtId="180" fontId="19" fillId="35" borderId="48" xfId="2" applyNumberFormat="1" applyFont="1" applyFill="1" applyBorder="1" applyAlignment="1">
      <alignment horizontal="center"/>
    </xf>
    <xf numFmtId="0" fontId="10" fillId="33" borderId="32" xfId="2" applyFont="1" applyFill="1" applyBorder="1" applyAlignment="1">
      <alignment horizontal="center" vertical="center" wrapText="1"/>
    </xf>
    <xf numFmtId="0" fontId="10" fillId="33" borderId="33" xfId="2" applyFont="1" applyFill="1" applyBorder="1" applyAlignment="1">
      <alignment horizontal="center" vertical="center" wrapText="1"/>
    </xf>
    <xf numFmtId="0" fontId="10" fillId="33" borderId="34" xfId="2" applyFont="1" applyFill="1" applyBorder="1" applyAlignment="1">
      <alignment horizontal="center" vertical="center" wrapText="1"/>
    </xf>
    <xf numFmtId="0" fontId="19" fillId="33" borderId="35" xfId="2" applyFont="1" applyFill="1" applyBorder="1" applyAlignment="1">
      <alignment horizontal="right" vertical="center"/>
    </xf>
    <xf numFmtId="0" fontId="19" fillId="33" borderId="36" xfId="2" applyFont="1" applyFill="1" applyBorder="1" applyAlignment="1">
      <alignment horizontal="right" vertical="center"/>
    </xf>
    <xf numFmtId="177" fontId="39" fillId="34" borderId="31" xfId="6" applyNumberFormat="1" applyFont="1" applyFill="1" applyBorder="1" applyAlignment="1">
      <alignment horizontal="center" vertical="center"/>
    </xf>
    <xf numFmtId="177" fontId="39" fillId="34" borderId="37" xfId="6" applyNumberFormat="1" applyFont="1" applyFill="1" applyBorder="1" applyAlignment="1">
      <alignment horizontal="center" vertical="center"/>
    </xf>
    <xf numFmtId="190" fontId="19" fillId="34" borderId="1" xfId="2" applyNumberFormat="1" applyFont="1" applyFill="1" applyBorder="1" applyAlignment="1">
      <alignment horizontal="center"/>
    </xf>
    <xf numFmtId="190" fontId="19" fillId="34" borderId="38" xfId="2" applyNumberFormat="1" applyFont="1" applyFill="1" applyBorder="1" applyAlignment="1">
      <alignment horizontal="center"/>
    </xf>
    <xf numFmtId="0" fontId="19" fillId="33" borderId="39" xfId="2" applyFont="1" applyFill="1" applyBorder="1" applyAlignment="1">
      <alignment horizontal="right" vertical="center"/>
    </xf>
    <xf numFmtId="0" fontId="19" fillId="33" borderId="40" xfId="2" applyFont="1" applyFill="1" applyBorder="1" applyAlignment="1">
      <alignment horizontal="right" vertical="center"/>
    </xf>
    <xf numFmtId="180" fontId="19" fillId="7" borderId="41" xfId="2" applyNumberFormat="1" applyFont="1" applyFill="1" applyBorder="1" applyAlignment="1">
      <alignment horizontal="center"/>
    </xf>
    <xf numFmtId="180" fontId="19" fillId="7" borderId="42" xfId="2" applyNumberFormat="1" applyFont="1" applyFill="1" applyBorder="1" applyAlignment="1">
      <alignment horizontal="center"/>
    </xf>
    <xf numFmtId="9" fontId="27" fillId="8" borderId="4" xfId="2" applyNumberFormat="1" applyFont="1" applyFill="1" applyBorder="1" applyAlignment="1" applyProtection="1">
      <alignment horizontal="center"/>
      <protection locked="0"/>
    </xf>
    <xf numFmtId="0" fontId="13" fillId="0" borderId="3" xfId="2" applyFont="1" applyBorder="1" applyAlignment="1" applyProtection="1">
      <protection locked="0"/>
    </xf>
    <xf numFmtId="0" fontId="41" fillId="8" borderId="1" xfId="2" applyFont="1" applyFill="1" applyBorder="1" applyAlignment="1" applyProtection="1">
      <alignment horizontal="center"/>
      <protection locked="0"/>
    </xf>
    <xf numFmtId="0" fontId="21" fillId="8" borderId="1" xfId="2" applyFont="1" applyFill="1" applyBorder="1" applyAlignment="1" applyProtection="1">
      <alignment horizontal="center"/>
      <protection locked="0"/>
    </xf>
    <xf numFmtId="0" fontId="25" fillId="16" borderId="1" xfId="2" applyFont="1" applyFill="1" applyBorder="1" applyAlignment="1">
      <alignment horizontal="center"/>
    </xf>
    <xf numFmtId="0" fontId="19" fillId="7" borderId="1" xfId="2" applyFont="1" applyFill="1" applyBorder="1" applyAlignment="1">
      <alignment horizontal="center" vertical="center"/>
    </xf>
    <xf numFmtId="180" fontId="19" fillId="7" borderId="1" xfId="2" applyNumberFormat="1" applyFont="1" applyFill="1" applyBorder="1" applyAlignment="1">
      <alignment horizontal="center"/>
    </xf>
    <xf numFmtId="0" fontId="19" fillId="39" borderId="1" xfId="2" applyFont="1" applyFill="1" applyBorder="1" applyAlignment="1">
      <alignment horizontal="center"/>
    </xf>
    <xf numFmtId="180" fontId="19" fillId="39" borderId="1" xfId="2" applyNumberFormat="1" applyFont="1" applyFill="1" applyBorder="1" applyAlignment="1">
      <alignment horizontal="center"/>
    </xf>
    <xf numFmtId="0" fontId="10" fillId="7" borderId="1" xfId="2" applyFont="1" applyFill="1" applyBorder="1" applyAlignment="1">
      <alignment horizontal="center" vertical="center"/>
    </xf>
    <xf numFmtId="0" fontId="26" fillId="7" borderId="9" xfId="2" applyFont="1" applyFill="1" applyBorder="1" applyAlignment="1">
      <alignment horizontal="center"/>
    </xf>
    <xf numFmtId="177" fontId="19" fillId="38" borderId="1" xfId="2" applyNumberFormat="1" applyFont="1" applyFill="1" applyBorder="1" applyAlignment="1" applyProtection="1">
      <alignment horizontal="center"/>
      <protection locked="0"/>
    </xf>
    <xf numFmtId="182" fontId="19" fillId="38" borderId="1" xfId="2" applyNumberFormat="1" applyFont="1" applyFill="1" applyBorder="1" applyAlignment="1" applyProtection="1">
      <alignment horizontal="center"/>
      <protection locked="0"/>
    </xf>
    <xf numFmtId="180" fontId="29" fillId="7" borderId="9" xfId="2" applyNumberFormat="1" applyFont="1" applyFill="1" applyBorder="1" applyAlignment="1">
      <alignment horizontal="center"/>
    </xf>
    <xf numFmtId="180" fontId="41" fillId="7" borderId="1" xfId="2" applyNumberFormat="1" applyFont="1" applyFill="1" applyBorder="1" applyAlignment="1">
      <alignment horizontal="center"/>
    </xf>
    <xf numFmtId="180" fontId="20" fillId="7" borderId="1" xfId="2" applyNumberFormat="1" applyFont="1" applyFill="1" applyBorder="1" applyAlignment="1">
      <alignment horizontal="center"/>
    </xf>
    <xf numFmtId="0" fontId="43" fillId="7" borderId="6" xfId="2" applyFont="1" applyFill="1" applyBorder="1" applyAlignment="1">
      <alignment horizontal="center"/>
    </xf>
    <xf numFmtId="0" fontId="40" fillId="0" borderId="7" xfId="2" applyFont="1" applyBorder="1" applyAlignment="1"/>
    <xf numFmtId="0" fontId="30" fillId="6" borderId="4" xfId="2" applyFont="1" applyFill="1" applyBorder="1" applyAlignment="1">
      <alignment horizontal="center"/>
    </xf>
    <xf numFmtId="0" fontId="45" fillId="6" borderId="4" xfId="2" applyFont="1" applyFill="1" applyBorder="1" applyAlignment="1">
      <alignment horizontal="center"/>
    </xf>
    <xf numFmtId="0" fontId="45" fillId="6" borderId="3" xfId="2" applyFont="1" applyFill="1" applyBorder="1" applyAlignment="1">
      <alignment horizontal="center"/>
    </xf>
    <xf numFmtId="179" fontId="7" fillId="4" borderId="41" xfId="2" applyNumberFormat="1" applyFont="1" applyFill="1" applyBorder="1" applyAlignment="1" applyProtection="1">
      <alignment horizontal="center" vertical="center"/>
      <protection locked="0"/>
    </xf>
    <xf numFmtId="179" fontId="8" fillId="5" borderId="55" xfId="2" applyNumberFormat="1" applyFont="1" applyFill="1" applyBorder="1" applyAlignment="1" applyProtection="1">
      <protection locked="0"/>
    </xf>
    <xf numFmtId="179" fontId="9" fillId="5" borderId="40" xfId="2" applyNumberFormat="1" applyFont="1" applyFill="1" applyBorder="1" applyAlignment="1" applyProtection="1">
      <protection locked="0"/>
    </xf>
    <xf numFmtId="179" fontId="8" fillId="5" borderId="56" xfId="2" applyNumberFormat="1" applyFont="1" applyFill="1" applyBorder="1" applyAlignment="1" applyProtection="1">
      <protection locked="0"/>
    </xf>
    <xf numFmtId="179" fontId="8" fillId="5" borderId="57" xfId="2" applyNumberFormat="1" applyFont="1" applyFill="1" applyBorder="1" applyAlignment="1" applyProtection="1">
      <protection locked="0"/>
    </xf>
    <xf numFmtId="179" fontId="9" fillId="5" borderId="58" xfId="2" applyNumberFormat="1" applyFont="1" applyFill="1" applyBorder="1" applyAlignment="1" applyProtection="1">
      <protection locked="0"/>
    </xf>
    <xf numFmtId="0" fontId="10" fillId="6" borderId="4" xfId="2" applyFont="1" applyFill="1" applyBorder="1" applyAlignment="1"/>
    <xf numFmtId="0" fontId="13" fillId="0" borderId="2" xfId="2" applyFont="1" applyBorder="1" applyAlignment="1"/>
    <xf numFmtId="0" fontId="39" fillId="6" borderId="1" xfId="2" applyFont="1" applyFill="1" applyBorder="1" applyAlignment="1">
      <alignment horizontal="center"/>
    </xf>
    <xf numFmtId="0" fontId="10" fillId="13" borderId="2" xfId="2" applyFont="1" applyFill="1" applyBorder="1" applyAlignment="1">
      <alignment horizontal="center"/>
    </xf>
    <xf numFmtId="180" fontId="25" fillId="8" borderId="17" xfId="2" applyNumberFormat="1" applyFont="1" applyFill="1" applyBorder="1" applyAlignment="1" applyProtection="1">
      <alignment horizontal="right"/>
      <protection locked="0"/>
    </xf>
    <xf numFmtId="0" fontId="40" fillId="0" borderId="10" xfId="2" applyFont="1" applyBorder="1" applyAlignment="1" applyProtection="1">
      <protection locked="0"/>
    </xf>
    <xf numFmtId="10" fontId="17" fillId="9" borderId="9" xfId="2" applyNumberFormat="1" applyFont="1" applyFill="1" applyBorder="1" applyAlignment="1"/>
    <xf numFmtId="0" fontId="13" fillId="10" borderId="17" xfId="2" applyFont="1" applyFill="1" applyBorder="1" applyAlignment="1"/>
    <xf numFmtId="176" fontId="25" fillId="10" borderId="50" xfId="2" applyNumberFormat="1" applyFont="1" applyFill="1" applyBorder="1" applyAlignment="1">
      <alignment horizontal="right"/>
    </xf>
    <xf numFmtId="177" fontId="30" fillId="24" borderId="1" xfId="12" applyFont="1" applyFill="1" applyBorder="1" applyAlignment="1" applyProtection="1">
      <alignment horizontal="center"/>
      <protection locked="0"/>
    </xf>
    <xf numFmtId="10" fontId="5" fillId="2" borderId="1" xfId="13" applyNumberFormat="1" applyFont="1" applyFill="1" applyBorder="1" applyAlignment="1" applyProtection="1">
      <alignment horizontal="center" vertical="center"/>
      <protection locked="0"/>
    </xf>
    <xf numFmtId="0" fontId="63" fillId="0" borderId="62" xfId="8" applyFont="1" applyBorder="1" applyAlignment="1">
      <alignment horizontal="right" vertical="center"/>
    </xf>
    <xf numFmtId="0" fontId="63" fillId="0" borderId="12" xfId="8" applyFont="1" applyBorder="1" applyAlignment="1">
      <alignment horizontal="right" vertical="center"/>
    </xf>
    <xf numFmtId="0" fontId="63" fillId="0" borderId="50" xfId="8" applyFont="1" applyBorder="1" applyAlignment="1">
      <alignment horizontal="right" vertical="center"/>
    </xf>
    <xf numFmtId="0" fontId="63" fillId="0" borderId="31" xfId="8" applyFont="1" applyBorder="1" applyAlignment="1">
      <alignment horizontal="right" vertical="center"/>
    </xf>
    <xf numFmtId="0" fontId="63" fillId="0" borderId="60" xfId="8" applyFont="1" applyBorder="1" applyAlignment="1">
      <alignment horizontal="right" vertical="center"/>
    </xf>
    <xf numFmtId="0" fontId="63" fillId="0" borderId="36" xfId="8" applyFont="1" applyBorder="1" applyAlignment="1">
      <alignment horizontal="right" vertical="center"/>
    </xf>
    <xf numFmtId="183" fontId="65" fillId="0" borderId="62" xfId="8" applyNumberFormat="1" applyFont="1" applyBorder="1" applyAlignment="1">
      <alignment horizontal="center" vertical="center"/>
    </xf>
    <xf numFmtId="183" fontId="65" fillId="0" borderId="50" xfId="8" applyNumberFormat="1" applyFont="1" applyBorder="1" applyAlignment="1">
      <alignment horizontal="center" vertical="center"/>
    </xf>
    <xf numFmtId="0" fontId="63" fillId="0" borderId="1" xfId="8" applyFont="1" applyBorder="1" applyAlignment="1">
      <alignment horizontal="left" vertical="center"/>
    </xf>
    <xf numFmtId="0" fontId="63" fillId="0" borderId="1" xfId="8" applyFont="1" applyBorder="1" applyAlignment="1">
      <alignment horizontal="center" vertical="center"/>
    </xf>
    <xf numFmtId="192" fontId="28" fillId="0" borderId="62" xfId="8" applyNumberFormat="1" applyFont="1" applyBorder="1" applyAlignment="1">
      <alignment horizontal="center" vertical="center"/>
    </xf>
    <xf numFmtId="192" fontId="28" fillId="0" borderId="50" xfId="8" applyNumberFormat="1" applyFont="1" applyBorder="1" applyAlignment="1">
      <alignment horizontal="center" vertical="center"/>
    </xf>
    <xf numFmtId="9" fontId="28" fillId="0" borderId="1" xfId="8" applyNumberFormat="1" applyFont="1" applyBorder="1" applyAlignment="1">
      <alignment horizontal="center" vertical="center"/>
    </xf>
    <xf numFmtId="177" fontId="28" fillId="0" borderId="1" xfId="8" applyNumberFormat="1" applyFont="1" applyBorder="1" applyAlignment="1">
      <alignment horizontal="center" vertical="center"/>
    </xf>
    <xf numFmtId="177" fontId="63" fillId="0" borderId="1" xfId="9" applyFont="1" applyFill="1" applyBorder="1" applyAlignment="1">
      <alignment horizontal="center" vertical="center"/>
    </xf>
    <xf numFmtId="196" fontId="65" fillId="0" borderId="62" xfId="10" applyNumberFormat="1" applyFont="1" applyFill="1" applyBorder="1" applyAlignment="1">
      <alignment horizontal="center" vertical="center"/>
    </xf>
    <xf numFmtId="196" fontId="65" fillId="0" borderId="50" xfId="10" applyNumberFormat="1" applyFont="1" applyFill="1" applyBorder="1" applyAlignment="1">
      <alignment horizontal="center" vertical="center"/>
    </xf>
    <xf numFmtId="0" fontId="23" fillId="0" borderId="31" xfId="8" applyFont="1" applyBorder="1" applyAlignment="1">
      <alignment horizontal="center" vertical="center"/>
    </xf>
    <xf numFmtId="0" fontId="23" fillId="0" borderId="60" xfId="8" applyFont="1" applyBorder="1" applyAlignment="1">
      <alignment horizontal="center" vertical="center"/>
    </xf>
    <xf numFmtId="0" fontId="23" fillId="0" borderId="36" xfId="8" applyFont="1" applyBorder="1" applyAlignment="1">
      <alignment horizontal="center" vertical="center"/>
    </xf>
    <xf numFmtId="0" fontId="23" fillId="0" borderId="1" xfId="8" applyFont="1" applyBorder="1" applyAlignment="1">
      <alignment horizontal="center" vertical="center"/>
    </xf>
    <xf numFmtId="0" fontId="49" fillId="10" borderId="31" xfId="2" applyFont="1" applyFill="1" applyBorder="1" applyAlignment="1">
      <alignment horizontal="center" vertical="center"/>
    </xf>
    <xf numFmtId="0" fontId="49" fillId="10" borderId="36" xfId="2" applyFont="1" applyFill="1" applyBorder="1" applyAlignment="1">
      <alignment horizontal="center" vertical="center"/>
    </xf>
    <xf numFmtId="0" fontId="49" fillId="12" borderId="31" xfId="2" applyFont="1" applyFill="1" applyBorder="1" applyAlignment="1">
      <alignment horizontal="center" vertical="center"/>
    </xf>
    <xf numFmtId="0" fontId="49" fillId="12" borderId="60" xfId="2" applyFont="1" applyFill="1" applyBorder="1" applyAlignment="1">
      <alignment horizontal="center" vertical="center"/>
    </xf>
    <xf numFmtId="0" fontId="49" fillId="12" borderId="36" xfId="2" applyFont="1" applyFill="1" applyBorder="1" applyAlignment="1">
      <alignment horizontal="center" vertical="center"/>
    </xf>
    <xf numFmtId="192" fontId="50" fillId="10" borderId="41" xfId="4" applyNumberFormat="1" applyFont="1" applyFill="1" applyBorder="1" applyAlignment="1">
      <alignment horizontal="center" vertical="center"/>
    </xf>
    <xf numFmtId="192" fontId="50" fillId="10" borderId="40" xfId="4" applyNumberFormat="1" applyFont="1" applyFill="1" applyBorder="1" applyAlignment="1">
      <alignment horizontal="center" vertical="center"/>
    </xf>
    <xf numFmtId="192" fontId="50" fillId="10" borderId="56" xfId="4" applyNumberFormat="1" applyFont="1" applyFill="1" applyBorder="1" applyAlignment="1">
      <alignment horizontal="center" vertical="center"/>
    </xf>
    <xf numFmtId="192" fontId="50" fillId="10" borderId="58" xfId="4" applyNumberFormat="1" applyFont="1" applyFill="1" applyBorder="1" applyAlignment="1">
      <alignment horizontal="center" vertical="center"/>
    </xf>
    <xf numFmtId="192" fontId="48" fillId="12" borderId="31" xfId="4" applyNumberFormat="1" applyFont="1" applyFill="1" applyBorder="1" applyAlignment="1">
      <alignment horizontal="center" vertical="center"/>
    </xf>
    <xf numFmtId="192" fontId="48" fillId="12" borderId="60" xfId="4" applyNumberFormat="1" applyFont="1" applyFill="1" applyBorder="1" applyAlignment="1">
      <alignment horizontal="center" vertical="center"/>
    </xf>
    <xf numFmtId="192" fontId="48" fillId="12" borderId="36" xfId="4" applyNumberFormat="1" applyFont="1" applyFill="1" applyBorder="1" applyAlignment="1">
      <alignment horizontal="center" vertical="center"/>
    </xf>
    <xf numFmtId="192" fontId="52" fillId="40" borderId="31" xfId="4" applyNumberFormat="1" applyFont="1" applyFill="1" applyBorder="1" applyAlignment="1">
      <alignment horizontal="center" vertical="center"/>
    </xf>
    <xf numFmtId="192" fontId="52" fillId="40" borderId="60" xfId="4" applyNumberFormat="1" applyFont="1" applyFill="1" applyBorder="1" applyAlignment="1">
      <alignment horizontal="center" vertical="center"/>
    </xf>
    <xf numFmtId="192" fontId="52" fillId="40" borderId="36" xfId="4" applyNumberFormat="1" applyFont="1" applyFill="1" applyBorder="1" applyAlignment="1">
      <alignment horizontal="center" vertical="center"/>
    </xf>
    <xf numFmtId="177" fontId="48" fillId="12" borderId="1" xfId="4" applyFont="1" applyFill="1" applyBorder="1" applyAlignment="1">
      <alignment horizontal="center" vertical="center"/>
    </xf>
    <xf numFmtId="191" fontId="47" fillId="12" borderId="0" xfId="2" applyNumberFormat="1" applyFont="1" applyFill="1" applyAlignment="1">
      <alignment horizontal="right" vertical="center"/>
    </xf>
    <xf numFmtId="0" fontId="49" fillId="12" borderId="1" xfId="2" applyFont="1" applyFill="1" applyBorder="1" applyAlignment="1">
      <alignment horizontal="center" vertical="center"/>
    </xf>
    <xf numFmtId="0" fontId="53" fillId="12" borderId="62" xfId="2" applyFont="1" applyFill="1" applyBorder="1" applyAlignment="1">
      <alignment horizontal="center" vertical="center"/>
    </xf>
    <xf numFmtId="193" fontId="54" fillId="12" borderId="56" xfId="2" applyNumberFormat="1" applyFont="1" applyFill="1" applyBorder="1" applyAlignment="1">
      <alignment horizontal="left" vertical="center"/>
    </xf>
    <xf numFmtId="193" fontId="54" fillId="12" borderId="57" xfId="2" applyNumberFormat="1" applyFont="1" applyFill="1" applyBorder="1" applyAlignment="1">
      <alignment horizontal="left" vertical="center"/>
    </xf>
    <xf numFmtId="193" fontId="54" fillId="12" borderId="58" xfId="2" applyNumberFormat="1" applyFont="1" applyFill="1" applyBorder="1" applyAlignment="1">
      <alignment horizontal="left" vertical="center"/>
    </xf>
    <xf numFmtId="193" fontId="54" fillId="12" borderId="50" xfId="2" applyNumberFormat="1" applyFont="1" applyFill="1" applyBorder="1" applyAlignment="1">
      <alignment horizontal="left" vertical="center"/>
    </xf>
    <xf numFmtId="0" fontId="32" fillId="12" borderId="1" xfId="2" applyFont="1" applyFill="1" applyBorder="1" applyAlignment="1">
      <alignment horizontal="right" vertical="center"/>
    </xf>
    <xf numFmtId="0" fontId="32" fillId="12" borderId="31" xfId="2" applyFont="1" applyFill="1" applyBorder="1" applyAlignment="1">
      <alignment horizontal="right" vertical="center"/>
    </xf>
    <xf numFmtId="0" fontId="32" fillId="12" borderId="60" xfId="2" applyFont="1" applyFill="1" applyBorder="1" applyAlignment="1">
      <alignment horizontal="right" vertical="center"/>
    </xf>
    <xf numFmtId="0" fontId="32" fillId="12" borderId="36" xfId="2" applyFont="1" applyFill="1" applyBorder="1" applyAlignment="1">
      <alignment horizontal="right" vertical="center"/>
    </xf>
    <xf numFmtId="193" fontId="54" fillId="12" borderId="31" xfId="2" applyNumberFormat="1" applyFont="1" applyFill="1" applyBorder="1" applyAlignment="1">
      <alignment horizontal="left" vertical="center"/>
    </xf>
    <xf numFmtId="193" fontId="54" fillId="12" borderId="60" xfId="2" applyNumberFormat="1" applyFont="1" applyFill="1" applyBorder="1" applyAlignment="1">
      <alignment horizontal="left" vertical="center"/>
    </xf>
    <xf numFmtId="193" fontId="54" fillId="12" borderId="36" xfId="2" applyNumberFormat="1" applyFont="1" applyFill="1" applyBorder="1" applyAlignment="1">
      <alignment horizontal="left" vertical="center"/>
    </xf>
    <xf numFmtId="193" fontId="54" fillId="12" borderId="1" xfId="2" applyNumberFormat="1" applyFont="1" applyFill="1" applyBorder="1" applyAlignment="1">
      <alignment horizontal="left" vertical="center"/>
    </xf>
    <xf numFmtId="0" fontId="103" fillId="12" borderId="31" xfId="2" applyFont="1" applyFill="1" applyBorder="1" applyAlignment="1">
      <alignment horizontal="right" vertical="center"/>
    </xf>
    <xf numFmtId="0" fontId="103" fillId="12" borderId="60" xfId="2" applyFont="1" applyFill="1" applyBorder="1" applyAlignment="1">
      <alignment horizontal="right" vertical="center"/>
    </xf>
    <xf numFmtId="0" fontId="103" fillId="12" borderId="36" xfId="2" applyFont="1" applyFill="1" applyBorder="1" applyAlignment="1">
      <alignment horizontal="right" vertical="center"/>
    </xf>
    <xf numFmtId="0" fontId="57" fillId="29" borderId="1" xfId="2" applyFont="1" applyFill="1" applyBorder="1" applyAlignment="1">
      <alignment horizontal="right" vertical="center"/>
    </xf>
    <xf numFmtId="0" fontId="56" fillId="0" borderId="1" xfId="2" applyFont="1" applyBorder="1" applyAlignment="1">
      <alignment horizontal="center" vertical="center"/>
    </xf>
    <xf numFmtId="177" fontId="56" fillId="0" borderId="1" xfId="2" applyNumberFormat="1" applyFont="1" applyBorder="1" applyAlignment="1">
      <alignment horizontal="center" vertical="center"/>
    </xf>
    <xf numFmtId="0" fontId="86" fillId="31" borderId="93" xfId="8" applyFont="1" applyFill="1" applyBorder="1" applyAlignment="1">
      <alignment horizontal="right" vertical="center"/>
    </xf>
    <xf numFmtId="0" fontId="86" fillId="31" borderId="99" xfId="8" applyFont="1" applyFill="1" applyBorder="1" applyAlignment="1">
      <alignment horizontal="right" vertical="center"/>
    </xf>
    <xf numFmtId="0" fontId="86" fillId="31" borderId="101" xfId="8" applyFont="1" applyFill="1" applyBorder="1" applyAlignment="1">
      <alignment horizontal="right" vertical="center"/>
    </xf>
    <xf numFmtId="0" fontId="86" fillId="31" borderId="104" xfId="8" applyFont="1" applyFill="1" applyBorder="1" applyAlignment="1">
      <alignment horizontal="right" vertical="center"/>
    </xf>
    <xf numFmtId="0" fontId="62" fillId="31" borderId="102" xfId="8" applyFill="1" applyBorder="1" applyAlignment="1">
      <alignment horizontal="right" vertical="center"/>
    </xf>
  </cellXfs>
  <cellStyles count="15">
    <cellStyle name="パーセント" xfId="13" builtinId="5"/>
    <cellStyle name="パーセント 2" xfId="5" xr:uid="{00000000-0005-0000-0000-000001000000}"/>
    <cellStyle name="パーセント 2 2" xfId="10" xr:uid="{00000000-0005-0000-0000-000002000000}"/>
    <cellStyle name="ハイパーリンク" xfId="1" builtinId="8"/>
    <cellStyle name="ハイパーリンク 2" xfId="3" xr:uid="{00000000-0005-0000-0000-000004000000}"/>
    <cellStyle name="桁区切り 2" xfId="11" xr:uid="{00000000-0005-0000-0000-000005000000}"/>
    <cellStyle name="通貨" xfId="12" builtinId="7"/>
    <cellStyle name="通貨 2" xfId="4" xr:uid="{00000000-0005-0000-0000-000007000000}"/>
    <cellStyle name="通貨 2 2" xfId="9" xr:uid="{00000000-0005-0000-0000-000008000000}"/>
    <cellStyle name="通貨 3" xfId="7" xr:uid="{00000000-0005-0000-0000-000009000000}"/>
    <cellStyle name="通貨 4" xfId="14" xr:uid="{00000000-0005-0000-0000-00000A000000}"/>
    <cellStyle name="標準" xfId="0" builtinId="0"/>
    <cellStyle name="標準 2" xfId="2" xr:uid="{00000000-0005-0000-0000-00000C000000}"/>
    <cellStyle name="標準 3" xfId="8" xr:uid="{00000000-0005-0000-0000-00000D000000}"/>
    <cellStyle name="標準 4" xfId="6" xr:uid="{00000000-0005-0000-0000-00000E000000}"/>
  </cellStyles>
  <dxfs count="19">
    <dxf>
      <font>
        <color rgb="FF9C0006"/>
      </font>
      <fill>
        <patternFill>
          <bgColor rgb="FFFFC7CE"/>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color rgb="FF9C0006"/>
      </font>
      <fill>
        <patternFill>
          <bgColor rgb="FFFFC7CE"/>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ont>
        <b/>
        <i/>
        <u val="none"/>
      </font>
      <fill>
        <patternFill>
          <bgColor theme="7"/>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ont>
        <b/>
        <i/>
        <u val="none"/>
      </font>
      <fill>
        <patternFill>
          <bgColor theme="7"/>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ropbox/&#26085;&#22577;/PL&#34920;/&#31532;18&#26399;.xlsx" TargetMode="External"/><Relationship Id="rId1" Type="http://schemas.openxmlformats.org/officeDocument/2006/relationships/externalLinkPath" Target="/Users/shinmatsushita/Dropbox/&#26085;&#22577;/PL&#34920;/&#31532;18&#2639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Library/CloudStorage/GoogleDrive-puranabarca.office@gmail.com/&#12510;&#12452;&#12488;&#12441;&#12521;&#12452;&#12501;&#12441;/DAD&#26085;&#22577;/DAD&#25126;&#30053;&#34920;/&#12501;&#12442;&#12521;&#12490;&#12495;&#12441;&#12523;&#12459;&#25126;&#30053;&#34920;.xlsx" TargetMode="External"/><Relationship Id="rId1" Type="http://schemas.openxmlformats.org/officeDocument/2006/relationships/externalLinkPath" Target="/Users/shinmatsushita/Library/CloudStorage/GoogleDrive-puranabarca.office@gmail.com/&#12510;&#12452;&#12488;&#12441;&#12521;&#12452;&#12501;&#12441;/DAD&#26085;&#22577;/DAD&#25126;&#30053;&#34920;/&#12501;&#12442;&#12521;&#12490;&#12495;&#12441;&#12523;&#12459;&#25126;&#3005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参考用】各経費適正表"/>
      <sheetName val="リース費表"/>
      <sheetName val="DADグループ"/>
      <sheetName val="バルカ"/>
      <sheetName val="バルカ (実験版)(a)"/>
      <sheetName val="バルカ (2)非表示予定"/>
      <sheetName val="バルカ 適正原価率計算表(仕入れお小遣い制度)"/>
      <sheetName val="バルカ 適正人件費計算表"/>
      <sheetName val="バルカ 人件費計算表"/>
      <sheetName val="Ｂ広告宣伝費"/>
      <sheetName val="Ｂ通信費"/>
      <sheetName val="ぼんぼり"/>
      <sheetName val="ぼんぼり(非表示予定)"/>
      <sheetName val="ぼんぼり 適正原価率計算表(仕入れお小遣い制度)"/>
      <sheetName val="ぼんぼり 適正人件費計算表"/>
      <sheetName val="ぼんぼり 人件費計算表"/>
      <sheetName val="ぼ　通信費"/>
      <sheetName val="ぼ　リース"/>
      <sheetName val="リトローボ"/>
      <sheetName val="リトローボ(非表示予定)"/>
      <sheetName val="リトローボ 適正原価率計算表(仕入れお小遣い制度)"/>
      <sheetName val="リトローボ 適正人件費計算表"/>
      <sheetName val="リトローボ 人件費計算表"/>
      <sheetName val="リ　広告宣伝費"/>
      <sheetName val="リ　通信費"/>
      <sheetName val="本部"/>
      <sheetName val="本　広告宣伝費"/>
      <sheetName val="本　通信費"/>
      <sheetName val="本部費用案分表"/>
      <sheetName val="振込手数料"/>
      <sheetName val="バルカ (2)"/>
    </sheetNames>
    <sheetDataSet>
      <sheetData sheetId="0"/>
      <sheetData sheetId="1"/>
      <sheetData sheetId="2"/>
      <sheetData sheetId="3"/>
      <sheetData sheetId="4"/>
      <sheetData sheetId="5"/>
      <sheetData sheetId="6"/>
      <sheetData sheetId="7"/>
      <sheetData sheetId="8"/>
      <sheetData sheetId="9">
        <row r="9">
          <cell r="C9">
            <v>27500</v>
          </cell>
          <cell r="G9">
            <v>27500</v>
          </cell>
          <cell r="K9">
            <v>27500</v>
          </cell>
        </row>
        <row r="17">
          <cell r="C17">
            <v>27500</v>
          </cell>
          <cell r="G17">
            <v>27500</v>
          </cell>
          <cell r="K17">
            <v>27500</v>
          </cell>
        </row>
        <row r="26">
          <cell r="C26">
            <v>27500</v>
          </cell>
          <cell r="G26">
            <v>27500</v>
          </cell>
          <cell r="K26">
            <v>0</v>
          </cell>
        </row>
        <row r="34">
          <cell r="C34">
            <v>0</v>
          </cell>
          <cell r="G34">
            <v>0</v>
          </cell>
          <cell r="K34">
            <v>0</v>
          </cell>
        </row>
      </sheetData>
      <sheetData sheetId="10">
        <row r="8">
          <cell r="C8">
            <v>13346</v>
          </cell>
          <cell r="G8">
            <v>12395</v>
          </cell>
          <cell r="K8">
            <v>12807</v>
          </cell>
        </row>
        <row r="16">
          <cell r="C16">
            <v>12675</v>
          </cell>
          <cell r="G16">
            <v>12845</v>
          </cell>
          <cell r="K16">
            <v>12948</v>
          </cell>
        </row>
        <row r="24">
          <cell r="C24">
            <v>12913</v>
          </cell>
          <cell r="G24">
            <v>12895</v>
          </cell>
          <cell r="K24">
            <v>12631</v>
          </cell>
        </row>
        <row r="32">
          <cell r="C32">
            <v>13397</v>
          </cell>
          <cell r="G32">
            <v>12825</v>
          </cell>
          <cell r="K32">
            <v>12851</v>
          </cell>
        </row>
      </sheetData>
      <sheetData sheetId="11"/>
      <sheetData sheetId="12">
        <row r="6">
          <cell r="B6">
            <v>1629783</v>
          </cell>
        </row>
      </sheetData>
      <sheetData sheetId="13"/>
      <sheetData sheetId="14"/>
      <sheetData sheetId="15"/>
      <sheetData sheetId="16"/>
      <sheetData sheetId="17"/>
      <sheetData sheetId="18"/>
      <sheetData sheetId="19">
        <row r="6">
          <cell r="B6">
            <v>869571</v>
          </cell>
        </row>
      </sheetData>
      <sheetData sheetId="20"/>
      <sheetData sheetId="21"/>
      <sheetData sheetId="22"/>
      <sheetData sheetId="23"/>
      <sheetData sheetId="24"/>
      <sheetData sheetId="25"/>
      <sheetData sheetId="26"/>
      <sheetData sheetId="27"/>
      <sheetData sheetId="28">
        <row r="3">
          <cell r="C3">
            <v>189240.47361648001</v>
          </cell>
        </row>
        <row r="4">
          <cell r="C4">
            <v>187138.62428976002</v>
          </cell>
        </row>
        <row r="5">
          <cell r="C5">
            <v>189235.95933528003</v>
          </cell>
        </row>
        <row r="6">
          <cell r="C6">
            <v>191827.15674408001</v>
          </cell>
        </row>
        <row r="7">
          <cell r="C7">
            <v>189235.50790716</v>
          </cell>
        </row>
        <row r="8">
          <cell r="C8">
            <v>184814.22089988002</v>
          </cell>
        </row>
        <row r="9">
          <cell r="C9">
            <v>182730.42869796001</v>
          </cell>
        </row>
        <row r="10">
          <cell r="C10">
            <v>182587.32598392002</v>
          </cell>
        </row>
        <row r="11">
          <cell r="C11">
            <v>178553.81573172001</v>
          </cell>
        </row>
        <row r="12">
          <cell r="C12">
            <v>182413.97758584001</v>
          </cell>
        </row>
        <row r="13">
          <cell r="C13">
            <v>174878.73940680001</v>
          </cell>
        </row>
        <row r="14">
          <cell r="C14">
            <v>178448.63297976</v>
          </cell>
        </row>
      </sheetData>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プラナバルカ戦略表"/>
      <sheetName val="下方修正案"/>
      <sheetName val="プラナバルカ_実績_2024R6"/>
      <sheetName val="プラナバルカ_目標_2025R7"/>
      <sheetName val="2024年間データ"/>
    </sheetNames>
    <sheetDataSet>
      <sheetData sheetId="0">
        <row r="29">
          <cell r="F29">
            <v>63000000</v>
          </cell>
        </row>
      </sheetData>
      <sheetData sheetId="1"/>
      <sheetData sheetId="2"/>
      <sheetData sheetId="3"/>
      <sheetData sheetId="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R83"/>
  <sheetViews>
    <sheetView zoomScale="81" zoomScaleNormal="81" workbookViewId="0">
      <selection activeCell="A15" sqref="A15"/>
    </sheetView>
  </sheetViews>
  <sheetFormatPr baseColWidth="10" defaultColWidth="10.7109375" defaultRowHeight="20" outlineLevelRow="1" outlineLevelCol="1"/>
  <cols>
    <col min="1" max="1" width="13.140625" style="573" customWidth="1"/>
    <col min="2" max="2" width="23" style="574" customWidth="1"/>
    <col min="3" max="3" width="19.140625" style="573" customWidth="1"/>
    <col min="4" max="4" width="13.140625" style="573" customWidth="1"/>
    <col min="5" max="5" width="22.28515625" style="574" customWidth="1"/>
    <col min="6" max="6" width="16.28515625" style="573" bestFit="1" customWidth="1"/>
    <col min="7" max="7" width="8.42578125" style="573" customWidth="1"/>
    <col min="8" max="8" width="24" style="573" customWidth="1"/>
    <col min="9" max="9" width="16.140625" style="573" customWidth="1"/>
    <col min="10" max="10" width="19.42578125" style="573" customWidth="1"/>
    <col min="11" max="11" width="14.85546875" style="573" customWidth="1"/>
    <col min="12" max="12" width="10.85546875" style="573" bestFit="1" customWidth="1"/>
    <col min="13" max="13" width="14.85546875" style="573" customWidth="1"/>
    <col min="14" max="14" width="20.7109375" style="573" hidden="1" customWidth="1" outlineLevel="1"/>
    <col min="15" max="15" width="19.28515625" style="573" hidden="1" customWidth="1" outlineLevel="1"/>
    <col min="16" max="17" width="0" style="573" hidden="1" customWidth="1" outlineLevel="1"/>
    <col min="18" max="18" width="10.7109375" style="573" collapsed="1"/>
    <col min="19" max="16384" width="10.7109375" style="573"/>
  </cols>
  <sheetData>
    <row r="2" spans="1:17">
      <c r="A2" s="570" t="s">
        <v>363</v>
      </c>
      <c r="B2" s="571">
        <v>45962</v>
      </c>
      <c r="C2" s="572">
        <f>MONTH(B2)</f>
        <v>11</v>
      </c>
    </row>
    <row r="3" spans="1:17" ht="25" hidden="1" customHeight="1" outlineLevel="1">
      <c r="B3" s="710">
        <f>B15</f>
        <v>45974</v>
      </c>
      <c r="C3" s="711"/>
      <c r="D3" s="575" t="str">
        <f>TEXT(B3, "aaa")</f>
        <v>木</v>
      </c>
    </row>
    <row r="4" spans="1:17" ht="27" hidden="1" customHeight="1" outlineLevel="1">
      <c r="B4" s="576" t="s">
        <v>364</v>
      </c>
      <c r="C4" s="577" t="str">
        <f>_xlfn.XLOOKUP(D3, B7:B12, C7:C12, "該当なし")</f>
        <v>該当なし</v>
      </c>
      <c r="E4" s="573"/>
      <c r="J4" s="570"/>
      <c r="L4" s="574"/>
    </row>
    <row r="5" spans="1:17" hidden="1" outlineLevel="1">
      <c r="C5" s="578"/>
      <c r="E5" s="573"/>
      <c r="J5" s="570"/>
    </row>
    <row r="6" spans="1:17" hidden="1" outlineLevel="1">
      <c r="B6" s="712" t="s">
        <v>427</v>
      </c>
      <c r="C6" s="713"/>
      <c r="D6" s="714" t="s">
        <v>365</v>
      </c>
      <c r="E6" s="714"/>
      <c r="F6" s="714"/>
      <c r="G6" s="714" t="s">
        <v>366</v>
      </c>
      <c r="H6" s="714"/>
      <c r="I6" s="714"/>
      <c r="J6" s="714"/>
    </row>
    <row r="7" spans="1:17" ht="67" hidden="1" customHeight="1" outlineLevel="1">
      <c r="B7" s="579" t="s">
        <v>314</v>
      </c>
      <c r="C7" s="580">
        <f>SUMIFS(目標_2025R7!$AE$22:$AE$104, 目標_2025R7!$AA$22:$AA$104, MONTH($B$2), 目標_2025R7!$AB$22:$AB$104, B7)</f>
        <v>219995.67728988465</v>
      </c>
      <c r="D7" s="715" t="s">
        <v>367</v>
      </c>
      <c r="E7" s="715"/>
      <c r="F7" s="715"/>
      <c r="G7" s="715" t="s">
        <v>368</v>
      </c>
      <c r="H7" s="715"/>
      <c r="I7" s="715"/>
      <c r="J7" s="715"/>
    </row>
    <row r="8" spans="1:17" ht="67" hidden="1" customHeight="1" outlineLevel="1">
      <c r="B8" s="579" t="s">
        <v>316</v>
      </c>
      <c r="C8" s="580">
        <f>SUMIFS(目標_2025R7!$AE$22:$AE$104, 目標_2025R7!$AA$22:$AA$104, MONTH($B$2), 目標_2025R7!$AB$22:$AB$104, B8)</f>
        <v>192620.47078790865</v>
      </c>
      <c r="D8" s="715" t="s">
        <v>369</v>
      </c>
      <c r="E8" s="715"/>
      <c r="F8" s="715"/>
      <c r="G8" s="715" t="s">
        <v>370</v>
      </c>
      <c r="H8" s="715"/>
      <c r="I8" s="715"/>
      <c r="J8" s="715"/>
    </row>
    <row r="9" spans="1:17" ht="67" hidden="1" customHeight="1" outlineLevel="1">
      <c r="B9" s="579" t="s">
        <v>317</v>
      </c>
      <c r="C9" s="580">
        <f>SUMIFS(目標_2025R7!$AE$22:$AE$104, 目標_2025R7!$AA$22:$AA$104, MONTH($B$2), 目標_2025R7!$AB$22:$AB$104, B9)</f>
        <v>222098.10313108019</v>
      </c>
      <c r="D9" s="715" t="s">
        <v>371</v>
      </c>
      <c r="E9" s="715"/>
      <c r="F9" s="715"/>
      <c r="G9" s="715" t="s">
        <v>372</v>
      </c>
      <c r="H9" s="715"/>
      <c r="I9" s="715"/>
      <c r="J9" s="715"/>
    </row>
    <row r="10" spans="1:17" ht="67" hidden="1" customHeight="1" outlineLevel="1">
      <c r="B10" s="579" t="s">
        <v>318</v>
      </c>
      <c r="C10" s="580">
        <f>SUMIFS(目標_2025R7!$AE$22:$AE$104, 目標_2025R7!$AA$22:$AA$104, MONTH($B$2), 目標_2025R7!$AB$22:$AB$104, B10)</f>
        <v>216358.54297113989</v>
      </c>
      <c r="D10" s="715" t="s">
        <v>373</v>
      </c>
      <c r="E10" s="715"/>
      <c r="F10" s="715"/>
      <c r="G10" s="715" t="s">
        <v>374</v>
      </c>
      <c r="H10" s="715"/>
      <c r="I10" s="715"/>
      <c r="J10" s="715"/>
    </row>
    <row r="11" spans="1:17" ht="67" hidden="1" customHeight="1" outlineLevel="1">
      <c r="B11" s="579" t="s">
        <v>319</v>
      </c>
      <c r="C11" s="580">
        <f>SUMIFS(目標_2025R7!$AE$22:$AE$104, 目標_2025R7!$AA$22:$AA$104, MONTH($B$2), 目標_2025R7!$AB$22:$AB$104, B11)</f>
        <v>346355.42149222188</v>
      </c>
      <c r="D11" s="715" t="s">
        <v>375</v>
      </c>
      <c r="E11" s="715"/>
      <c r="F11" s="715"/>
      <c r="G11" s="715" t="s">
        <v>376</v>
      </c>
      <c r="H11" s="715"/>
      <c r="I11" s="715"/>
      <c r="J11" s="715"/>
    </row>
    <row r="12" spans="1:17" ht="67" hidden="1" customHeight="1" outlineLevel="1">
      <c r="B12" s="581" t="s">
        <v>320</v>
      </c>
      <c r="C12" s="580">
        <f>SUMIFS(目標_2025R7!$AE$22:$AE$104, 目標_2025R7!$AA$22:$AA$104, MONTH($B$2), 目標_2025R7!$AB$22:$AB$104, B12)</f>
        <v>146897.80364132358</v>
      </c>
      <c r="D12" s="716" t="s">
        <v>377</v>
      </c>
      <c r="E12" s="716"/>
      <c r="F12" s="716"/>
      <c r="G12" s="715" t="s">
        <v>378</v>
      </c>
      <c r="H12" s="715"/>
      <c r="I12" s="715"/>
      <c r="J12" s="715"/>
    </row>
    <row r="13" spans="1:17" hidden="1" outlineLevel="1">
      <c r="B13" s="582"/>
      <c r="C13" s="582"/>
      <c r="D13" s="582"/>
      <c r="E13" s="583"/>
      <c r="F13" s="582"/>
      <c r="J13" s="570"/>
    </row>
    <row r="14" spans="1:17" ht="23" collapsed="1">
      <c r="B14" s="573"/>
      <c r="E14" s="717" t="s">
        <v>379</v>
      </c>
      <c r="F14" s="717"/>
      <c r="H14" s="718" t="s">
        <v>380</v>
      </c>
      <c r="I14" s="718"/>
      <c r="J14" s="570"/>
    </row>
    <row r="15" spans="1:17" ht="26">
      <c r="A15" s="570" t="s">
        <v>363</v>
      </c>
      <c r="B15" s="584">
        <v>45974</v>
      </c>
      <c r="C15" s="572" t="str">
        <f>TEXT(B15, "ddd")</f>
        <v>Thu</v>
      </c>
      <c r="D15" s="585"/>
      <c r="E15" s="586" t="s">
        <v>381</v>
      </c>
      <c r="F15" s="587">
        <f>F29</f>
        <v>63000000</v>
      </c>
      <c r="H15" s="588" t="s">
        <v>381</v>
      </c>
      <c r="I15" s="589">
        <v>75000000</v>
      </c>
      <c r="J15" s="570"/>
    </row>
    <row r="16" spans="1:17">
      <c r="A16" s="570" t="s">
        <v>382</v>
      </c>
      <c r="B16" s="590" t="s">
        <v>383</v>
      </c>
      <c r="C16" s="591">
        <f>_xlfn.XLOOKUP(B15, 目標_2025R7!F21:F385,目標_2025R7!J21:J385,"該当なし")</f>
        <v>79100</v>
      </c>
      <c r="E16" s="586" t="s">
        <v>384</v>
      </c>
      <c r="F16" s="592">
        <f>INDEX(目標_2025R7!I7:I18, MATCH(MONTH(B2), 目標_2025R7!AC7:AC18, 0))</f>
        <v>5084210.5263157897</v>
      </c>
      <c r="H16" s="588" t="s">
        <v>384</v>
      </c>
      <c r="I16" s="593">
        <f>INDEX(目標_2025R7!I7:I18, MATCH(MONTH(B2), 目標_2025R7!AC7:AC18, 0))</f>
        <v>5084210.5263157897</v>
      </c>
      <c r="N16" s="594" t="s">
        <v>19</v>
      </c>
      <c r="O16" s="721" t="s">
        <v>385</v>
      </c>
      <c r="P16" s="721"/>
      <c r="Q16" s="721"/>
    </row>
    <row r="17" spans="1:17">
      <c r="A17" s="570"/>
      <c r="B17" s="586" t="s">
        <v>386</v>
      </c>
      <c r="C17" s="592">
        <f>INDEX(目標_2025R7!K7:K18, MATCH(C2, 目標_2025R7!AC7:AC18, 0))</f>
        <v>221052.63157894739</v>
      </c>
      <c r="E17" s="586" t="s">
        <v>387</v>
      </c>
      <c r="F17" s="580">
        <f>C22</f>
        <v>1636190</v>
      </c>
      <c r="H17" s="588" t="s">
        <v>387</v>
      </c>
      <c r="I17" s="596">
        <f>C22</f>
        <v>1636190</v>
      </c>
      <c r="N17" s="594"/>
      <c r="O17" s="595"/>
      <c r="P17" s="595"/>
      <c r="Q17" s="595"/>
    </row>
    <row r="18" spans="1:17">
      <c r="B18" s="597" t="s">
        <v>364</v>
      </c>
      <c r="C18" s="592">
        <f>_xlfn.XLOOKUP(C15, B7:B12, C7:C12, "該当なし")</f>
        <v>216358.54297113989</v>
      </c>
      <c r="E18" s="586" t="s">
        <v>388</v>
      </c>
      <c r="F18" s="580">
        <f>F16-F17</f>
        <v>3448020.5263157897</v>
      </c>
      <c r="H18" s="588" t="s">
        <v>388</v>
      </c>
      <c r="I18" s="596">
        <f>I16-I17</f>
        <v>3448020.5263157897</v>
      </c>
      <c r="N18" s="598" t="s">
        <v>29</v>
      </c>
      <c r="O18" s="720" t="s">
        <v>389</v>
      </c>
      <c r="P18" s="720"/>
      <c r="Q18" s="720"/>
    </row>
    <row r="19" spans="1:17">
      <c r="B19" s="599" t="s">
        <v>388</v>
      </c>
      <c r="C19" s="580">
        <f>C16-C18</f>
        <v>-137258.54297113989</v>
      </c>
      <c r="E19" s="586" t="s">
        <v>390</v>
      </c>
      <c r="F19" s="600" cm="1">
        <f t="array" ref="F19">(SUMPRODUCT((目標_2025R7!F21:F385&gt;=B15)*(目標_2025R7!E21:E385=C2)*(目標_2025R7!D21:D385=1)))-1</f>
        <v>13</v>
      </c>
      <c r="H19" s="588" t="s">
        <v>390</v>
      </c>
      <c r="I19" s="601">
        <f>F19</f>
        <v>13</v>
      </c>
      <c r="N19" s="598" t="s">
        <v>107</v>
      </c>
      <c r="O19" s="720" t="s">
        <v>391</v>
      </c>
      <c r="P19" s="720"/>
      <c r="Q19" s="720"/>
    </row>
    <row r="20" spans="1:17">
      <c r="B20" s="599" t="s">
        <v>70</v>
      </c>
      <c r="C20" s="602">
        <f>IFERROR(C16/C18,0)</f>
        <v>0.36559684176904061</v>
      </c>
      <c r="E20" s="586" t="s">
        <v>392</v>
      </c>
      <c r="F20" s="580">
        <f>IFERROR(F18/F19,0)</f>
        <v>265232.34817813768</v>
      </c>
      <c r="H20" s="588" t="s">
        <v>392</v>
      </c>
      <c r="I20" s="596">
        <f>I18/I19</f>
        <v>265232.34817813768</v>
      </c>
      <c r="N20" s="598" t="s">
        <v>31</v>
      </c>
      <c r="O20" s="720" t="s">
        <v>393</v>
      </c>
      <c r="P20" s="720"/>
      <c r="Q20" s="720"/>
    </row>
    <row r="21" spans="1:17" ht="6" customHeight="1">
      <c r="E21" s="573"/>
      <c r="N21" s="598" t="s">
        <v>32</v>
      </c>
      <c r="O21" s="720" t="s">
        <v>394</v>
      </c>
      <c r="P21" s="720"/>
      <c r="Q21" s="720"/>
    </row>
    <row r="22" spans="1:17" ht="21" thickBot="1">
      <c r="A22" s="603" t="s">
        <v>395</v>
      </c>
      <c r="B22" s="599" t="s">
        <v>396</v>
      </c>
      <c r="C22" s="604">
        <f>_xlfn.XLOOKUP(B15, 目標_2025R7!F21:F385,目標_2025R7!Q21:Q385,"該当なし")</f>
        <v>1636190</v>
      </c>
      <c r="N22" s="605" t="s">
        <v>33</v>
      </c>
      <c r="O22" s="722" t="s">
        <v>397</v>
      </c>
      <c r="P22" s="722"/>
      <c r="Q22" s="722"/>
    </row>
    <row r="23" spans="1:17" ht="21" thickTop="1">
      <c r="B23" s="599" t="s">
        <v>398</v>
      </c>
      <c r="C23" s="604">
        <f>_xlfn.XLOOKUP(B15, 目標_2025R7!F21:F385,目標_2025R7!P21:P385,"該当なし")</f>
        <v>2122300.9398450111</v>
      </c>
      <c r="E23" s="603" t="s">
        <v>399</v>
      </c>
      <c r="F23" s="573">
        <f>目標_2025R7!E3</f>
        <v>285</v>
      </c>
      <c r="N23" s="606" t="s">
        <v>400</v>
      </c>
      <c r="O23" s="719" t="s">
        <v>401</v>
      </c>
      <c r="P23" s="719"/>
      <c r="Q23" s="719"/>
    </row>
    <row r="24" spans="1:17">
      <c r="B24" s="599" t="s">
        <v>388</v>
      </c>
      <c r="C24" s="580">
        <f>C22-C23</f>
        <v>-486110.9398450111</v>
      </c>
      <c r="E24" s="603" t="str">
        <f>B34</f>
        <v>今年の残営業日数</v>
      </c>
      <c r="F24" s="573">
        <f>C34</f>
        <v>37</v>
      </c>
      <c r="N24" s="594" t="s">
        <v>402</v>
      </c>
      <c r="O24" s="720" t="s">
        <v>403</v>
      </c>
      <c r="P24" s="720"/>
      <c r="Q24" s="720"/>
    </row>
    <row r="25" spans="1:17">
      <c r="B25" s="599" t="s">
        <v>70</v>
      </c>
      <c r="C25" s="602">
        <f>IFERROR(C22/C23,0)</f>
        <v>0.7709509849811822</v>
      </c>
      <c r="E25" s="603" t="s">
        <v>404</v>
      </c>
      <c r="F25" s="573">
        <f>F23-F24</f>
        <v>248</v>
      </c>
      <c r="N25" s="594" t="s">
        <v>397</v>
      </c>
      <c r="O25" s="720" t="s">
        <v>405</v>
      </c>
      <c r="P25" s="720"/>
      <c r="Q25" s="720"/>
    </row>
    <row r="26" spans="1:17" ht="6" customHeight="1">
      <c r="E26" s="603"/>
      <c r="N26" s="594" t="s">
        <v>406</v>
      </c>
      <c r="O26" s="720" t="s">
        <v>407</v>
      </c>
      <c r="P26" s="720"/>
      <c r="Q26" s="720"/>
    </row>
    <row r="27" spans="1:17">
      <c r="A27" s="603" t="s">
        <v>408</v>
      </c>
      <c r="B27" s="599" t="s">
        <v>396</v>
      </c>
      <c r="C27" s="604">
        <f>_xlfn.XLOOKUP(B15, 目標_2025R7!F21:F385,目標_2025R7!V21:V385,"該当なし")</f>
        <v>54634150</v>
      </c>
      <c r="E27" s="603" t="s">
        <v>409</v>
      </c>
      <c r="F27" s="578">
        <f>C27/F25</f>
        <v>220298.99193548388</v>
      </c>
    </row>
    <row r="28" spans="1:17">
      <c r="B28" s="599" t="s">
        <v>398</v>
      </c>
      <c r="C28" s="604">
        <f>_xlfn.XLOOKUP(B15, 目標_2025R7!F21:F385,目標_2025R7!U21:U385,"該当なし")</f>
        <v>54710721.992476553</v>
      </c>
      <c r="E28" s="603" t="s">
        <v>410</v>
      </c>
      <c r="F28" s="578">
        <f>F27*F24</f>
        <v>8151062.7016129037</v>
      </c>
    </row>
    <row r="29" spans="1:17">
      <c r="B29" s="599" t="s">
        <v>388</v>
      </c>
      <c r="C29" s="580">
        <f>C27-C28</f>
        <v>-76571.992476552725</v>
      </c>
      <c r="E29" s="603" t="s">
        <v>211</v>
      </c>
      <c r="F29" s="578">
        <v>63000000</v>
      </c>
    </row>
    <row r="30" spans="1:17">
      <c r="B30" s="599" t="s">
        <v>70</v>
      </c>
      <c r="C30" s="602">
        <f>IFERROR(C27/C28,0)</f>
        <v>0.99860042072763944</v>
      </c>
    </row>
    <row r="31" spans="1:17" ht="6" customHeight="1"/>
    <row r="32" spans="1:17">
      <c r="B32" s="599" t="s">
        <v>411</v>
      </c>
      <c r="C32" s="604">
        <f>目標_2025R7!G3</f>
        <v>63000000</v>
      </c>
    </row>
    <row r="33" spans="2:10">
      <c r="B33" s="599" t="s">
        <v>412</v>
      </c>
      <c r="C33" s="580">
        <f>C32-C27</f>
        <v>8365850</v>
      </c>
    </row>
    <row r="34" spans="2:10">
      <c r="B34" s="599" t="s">
        <v>413</v>
      </c>
      <c r="C34" s="600" cm="1">
        <f t="array" ref="C34">(SUMPRODUCT((目標_2025R7!F21:F385&gt;=B15)*(目標_2025R7!D21:D385=1)))-1</f>
        <v>37</v>
      </c>
    </row>
    <row r="35" spans="2:10">
      <c r="B35" s="607" t="s">
        <v>414</v>
      </c>
      <c r="C35" s="608">
        <f>IFERROR(C33/C34,0)</f>
        <v>226104.05405405405</v>
      </c>
      <c r="F35" s="609"/>
      <c r="G35" s="609"/>
    </row>
    <row r="36" spans="2:10">
      <c r="B36" s="599" t="s">
        <v>415</v>
      </c>
      <c r="C36" s="610">
        <f>1-(C33/C32)</f>
        <v>0.86720873015873012</v>
      </c>
      <c r="G36" s="609"/>
    </row>
    <row r="38" spans="2:10" hidden="1" outlineLevel="1">
      <c r="B38" s="611" t="s">
        <v>416</v>
      </c>
      <c r="C38" s="612"/>
      <c r="D38" s="612"/>
      <c r="E38" s="612"/>
      <c r="F38" s="613"/>
    </row>
    <row r="39" spans="2:10" hidden="1" outlineLevel="1">
      <c r="B39" s="614" t="s">
        <v>42</v>
      </c>
      <c r="C39" s="614" t="s">
        <v>417</v>
      </c>
      <c r="D39" s="614" t="s">
        <v>418</v>
      </c>
      <c r="E39" s="614" t="s">
        <v>419</v>
      </c>
      <c r="F39" s="614" t="s">
        <v>420</v>
      </c>
    </row>
    <row r="40" spans="2:10" hidden="1" outlineLevel="1">
      <c r="B40" s="615" t="s">
        <v>355</v>
      </c>
      <c r="C40" s="615">
        <v>4</v>
      </c>
      <c r="D40" s="616">
        <v>0.1193</v>
      </c>
      <c r="E40" s="617">
        <v>894636</v>
      </c>
      <c r="F40" s="617">
        <v>223659</v>
      </c>
    </row>
    <row r="41" spans="2:10" hidden="1" outlineLevel="1">
      <c r="B41" s="615" t="s">
        <v>356</v>
      </c>
      <c r="C41" s="615">
        <v>5</v>
      </c>
      <c r="D41" s="616">
        <v>0.1404</v>
      </c>
      <c r="E41" s="617">
        <v>1053371</v>
      </c>
      <c r="F41" s="617">
        <v>210674</v>
      </c>
    </row>
    <row r="42" spans="2:10" hidden="1" outlineLevel="1">
      <c r="B42" s="615" t="s">
        <v>357</v>
      </c>
      <c r="C42" s="615">
        <v>5</v>
      </c>
      <c r="D42" s="616">
        <v>0.20349999999999999</v>
      </c>
      <c r="E42" s="617">
        <v>1526394</v>
      </c>
      <c r="F42" s="617">
        <v>305279</v>
      </c>
    </row>
    <row r="43" spans="2:10" hidden="1" outlineLevel="1">
      <c r="B43" s="615" t="s">
        <v>358</v>
      </c>
      <c r="C43" s="615">
        <v>5</v>
      </c>
      <c r="D43" s="616">
        <v>0.2281</v>
      </c>
      <c r="E43" s="617">
        <v>1710568</v>
      </c>
      <c r="F43" s="617">
        <v>342114</v>
      </c>
    </row>
    <row r="44" spans="2:10" hidden="1" outlineLevel="1">
      <c r="B44" s="615" t="s">
        <v>359</v>
      </c>
      <c r="C44" s="615">
        <v>4</v>
      </c>
      <c r="D44" s="616">
        <v>0.21890000000000001</v>
      </c>
      <c r="E44" s="617">
        <v>1641933</v>
      </c>
      <c r="F44" s="617">
        <v>410483</v>
      </c>
      <c r="J44" s="578"/>
    </row>
    <row r="45" spans="2:10" hidden="1" outlineLevel="1">
      <c r="B45" s="615" t="s">
        <v>360</v>
      </c>
      <c r="C45" s="615">
        <v>4</v>
      </c>
      <c r="D45" s="616">
        <v>8.9700000000000002E-2</v>
      </c>
      <c r="E45" s="617">
        <v>673097</v>
      </c>
      <c r="F45" s="617">
        <v>168274</v>
      </c>
    </row>
    <row r="46" spans="2:10" hidden="1" outlineLevel="1">
      <c r="B46" s="615" t="s">
        <v>361</v>
      </c>
      <c r="C46" s="615"/>
      <c r="D46" s="616">
        <v>0</v>
      </c>
      <c r="E46" s="617">
        <v>0</v>
      </c>
      <c r="F46" s="617">
        <v>0</v>
      </c>
    </row>
    <row r="47" spans="2:10" hidden="1" outlineLevel="1">
      <c r="B47" s="614" t="s">
        <v>421</v>
      </c>
      <c r="C47" s="615">
        <f>SUM(C40:C46)</f>
        <v>27</v>
      </c>
      <c r="D47" s="616">
        <v>1</v>
      </c>
      <c r="E47" s="594" t="s">
        <v>422</v>
      </c>
      <c r="F47" s="618" t="s">
        <v>423</v>
      </c>
      <c r="H47" s="619"/>
    </row>
    <row r="48" spans="2:10" collapsed="1"/>
    <row r="49" spans="1:11" hidden="1" outlineLevel="1">
      <c r="A49" s="570" t="s">
        <v>363</v>
      </c>
      <c r="B49" s="599" t="s">
        <v>309</v>
      </c>
      <c r="C49" s="600" t="s">
        <v>383</v>
      </c>
      <c r="D49" s="600" t="s">
        <v>386</v>
      </c>
      <c r="E49" s="599" t="s">
        <v>424</v>
      </c>
      <c r="F49" s="600" t="s">
        <v>388</v>
      </c>
      <c r="G49" s="600" t="s">
        <v>70</v>
      </c>
      <c r="H49" s="600" t="s">
        <v>425</v>
      </c>
      <c r="I49" s="600" t="s">
        <v>426</v>
      </c>
      <c r="J49" s="600" t="s">
        <v>388</v>
      </c>
      <c r="K49" s="600" t="s">
        <v>70</v>
      </c>
    </row>
    <row r="50" spans="1:11" hidden="1" outlineLevel="1">
      <c r="B50" s="620">
        <f>B2</f>
        <v>45962</v>
      </c>
      <c r="C50" s="621">
        <v>316470</v>
      </c>
      <c r="D50" s="622">
        <f>$C$17</f>
        <v>221052.63157894739</v>
      </c>
      <c r="E50" s="623">
        <f>$C$8</f>
        <v>192620.47078790865</v>
      </c>
      <c r="F50" s="624">
        <f>C50-E50</f>
        <v>123849.52921209135</v>
      </c>
      <c r="G50" s="625">
        <f>IFERROR(C50/E50,0)</f>
        <v>1.6429717916558313</v>
      </c>
      <c r="H50" s="580">
        <f>IF(C50=0,0,C50)</f>
        <v>316470</v>
      </c>
      <c r="I50" s="624">
        <f>IF(C50=0,0,E50)</f>
        <v>192620.47078790865</v>
      </c>
      <c r="J50" s="580">
        <f>H50-I50</f>
        <v>123849.52921209135</v>
      </c>
      <c r="K50" s="626">
        <f>IFERROR(H50/I50,0)</f>
        <v>1.6429717916558313</v>
      </c>
    </row>
    <row r="51" spans="1:11" hidden="1" outlineLevel="1">
      <c r="B51" s="620">
        <f>B50+1</f>
        <v>45963</v>
      </c>
      <c r="C51" s="621">
        <v>347600</v>
      </c>
      <c r="D51" s="622">
        <f t="shared" ref="D51:D54" si="0">$C$17</f>
        <v>221052.63157894739</v>
      </c>
      <c r="E51" s="623">
        <f>$C$9</f>
        <v>222098.10313108019</v>
      </c>
      <c r="F51" s="624">
        <f t="shared" ref="F51:F80" si="1">C51-E51</f>
        <v>125501.89686891981</v>
      </c>
      <c r="G51" s="625">
        <f t="shared" ref="G51:G80" si="2">IFERROR(C51/E51,0)</f>
        <v>1.5650741501148697</v>
      </c>
      <c r="H51" s="580">
        <f t="shared" ref="H51:H80" si="3">IF(C51=0,0,(H50+C51))</f>
        <v>664070</v>
      </c>
      <c r="I51" s="624">
        <f t="shared" ref="I51:I80" si="4">IF(C51=0,0,(I50+E51))</f>
        <v>414718.57391898881</v>
      </c>
      <c r="J51" s="580">
        <f t="shared" ref="J51:J80" si="5">H51-I51</f>
        <v>249351.42608101119</v>
      </c>
      <c r="K51" s="626">
        <f t="shared" ref="K51:K80" si="6">IFERROR(H51/I51,0)</f>
        <v>1.6012545416635222</v>
      </c>
    </row>
    <row r="52" spans="1:11" hidden="1" outlineLevel="1">
      <c r="B52" s="620">
        <f t="shared" ref="B52:B80" si="7">B51+1</f>
        <v>45964</v>
      </c>
      <c r="C52" s="621">
        <v>221970</v>
      </c>
      <c r="D52" s="622">
        <f t="shared" si="0"/>
        <v>221052.63157894739</v>
      </c>
      <c r="E52" s="623">
        <f>$C$10</f>
        <v>216358.54297113989</v>
      </c>
      <c r="F52" s="624">
        <f t="shared" si="1"/>
        <v>5611.4570288601099</v>
      </c>
      <c r="G52" s="625">
        <f t="shared" si="2"/>
        <v>1.0259359161501129</v>
      </c>
      <c r="H52" s="580">
        <f t="shared" si="3"/>
        <v>886040</v>
      </c>
      <c r="I52" s="624">
        <f t="shared" si="4"/>
        <v>631077.1168901287</v>
      </c>
      <c r="J52" s="580">
        <f t="shared" si="5"/>
        <v>254962.8831098713</v>
      </c>
      <c r="K52" s="626">
        <f t="shared" si="6"/>
        <v>1.404012245549795</v>
      </c>
    </row>
    <row r="53" spans="1:11" hidden="1" outlineLevel="1">
      <c r="B53" s="620">
        <f t="shared" si="7"/>
        <v>45965</v>
      </c>
      <c r="C53" s="621">
        <v>329910</v>
      </c>
      <c r="D53" s="622">
        <f t="shared" si="0"/>
        <v>221052.63157894739</v>
      </c>
      <c r="E53" s="623">
        <f>$C$11</f>
        <v>346355.42149222188</v>
      </c>
      <c r="F53" s="624">
        <f t="shared" si="1"/>
        <v>-16445.421492221882</v>
      </c>
      <c r="G53" s="625">
        <f t="shared" si="2"/>
        <v>0.95251865433094951</v>
      </c>
      <c r="H53" s="580">
        <f t="shared" si="3"/>
        <v>1215950</v>
      </c>
      <c r="I53" s="624">
        <f t="shared" si="4"/>
        <v>977432.53838235058</v>
      </c>
      <c r="J53" s="580">
        <f t="shared" si="5"/>
        <v>238517.46161764942</v>
      </c>
      <c r="K53" s="626">
        <f t="shared" si="6"/>
        <v>1.2440244745815352</v>
      </c>
    </row>
    <row r="54" spans="1:11" hidden="1" outlineLevel="1">
      <c r="B54" s="620">
        <f t="shared" si="7"/>
        <v>45966</v>
      </c>
      <c r="C54" s="621">
        <v>76330</v>
      </c>
      <c r="D54" s="622">
        <f t="shared" si="0"/>
        <v>221052.63157894739</v>
      </c>
      <c r="E54" s="623">
        <f>$C$12</f>
        <v>146897.80364132358</v>
      </c>
      <c r="F54" s="624">
        <f t="shared" si="1"/>
        <v>-70567.803641323582</v>
      </c>
      <c r="G54" s="625">
        <f t="shared" si="2"/>
        <v>0.519612942521407</v>
      </c>
      <c r="H54" s="580">
        <f t="shared" si="3"/>
        <v>1292280</v>
      </c>
      <c r="I54" s="624">
        <f t="shared" si="4"/>
        <v>1124330.3420236742</v>
      </c>
      <c r="J54" s="580">
        <f t="shared" si="5"/>
        <v>167949.65797632583</v>
      </c>
      <c r="K54" s="626">
        <f t="shared" si="6"/>
        <v>1.1493775020551651</v>
      </c>
    </row>
    <row r="55" spans="1:11" hidden="1" outlineLevel="1">
      <c r="B55" s="620">
        <f t="shared" si="7"/>
        <v>45967</v>
      </c>
      <c r="C55" s="621"/>
      <c r="D55" s="622">
        <v>0</v>
      </c>
      <c r="E55" s="623"/>
      <c r="F55" s="624">
        <f t="shared" si="1"/>
        <v>0</v>
      </c>
      <c r="G55" s="625">
        <f t="shared" si="2"/>
        <v>0</v>
      </c>
      <c r="H55" s="580">
        <f t="shared" si="3"/>
        <v>0</v>
      </c>
      <c r="I55" s="624">
        <f t="shared" si="4"/>
        <v>0</v>
      </c>
      <c r="J55" s="580">
        <f t="shared" si="5"/>
        <v>0</v>
      </c>
      <c r="K55" s="626">
        <f t="shared" si="6"/>
        <v>0</v>
      </c>
    </row>
    <row r="56" spans="1:11" hidden="1" outlineLevel="1">
      <c r="B56" s="620">
        <f t="shared" si="7"/>
        <v>45968</v>
      </c>
      <c r="C56" s="621">
        <v>94600</v>
      </c>
      <c r="D56" s="622">
        <f t="shared" ref="D56:D61" si="8">$C$17</f>
        <v>221052.63157894739</v>
      </c>
      <c r="E56" s="623">
        <f>$C$7</f>
        <v>219995.67728988465</v>
      </c>
      <c r="F56" s="624">
        <f t="shared" si="1"/>
        <v>-125395.67728988465</v>
      </c>
      <c r="G56" s="625">
        <f>IFERROR(C56/E56,0)</f>
        <v>0.43000844909942093</v>
      </c>
      <c r="H56" s="580">
        <f t="shared" si="3"/>
        <v>94600</v>
      </c>
      <c r="I56" s="624">
        <f t="shared" si="4"/>
        <v>219995.67728988465</v>
      </c>
      <c r="J56" s="580">
        <f t="shared" si="5"/>
        <v>-125395.67728988465</v>
      </c>
      <c r="K56" s="626">
        <f t="shared" si="6"/>
        <v>0.43000844909942093</v>
      </c>
    </row>
    <row r="57" spans="1:11" hidden="1" outlineLevel="1">
      <c r="B57" s="620">
        <f t="shared" si="7"/>
        <v>45969</v>
      </c>
      <c r="C57" s="621">
        <v>283650</v>
      </c>
      <c r="D57" s="622">
        <f t="shared" si="8"/>
        <v>221052.63157894739</v>
      </c>
      <c r="E57" s="623">
        <f>$C$8</f>
        <v>192620.47078790865</v>
      </c>
      <c r="F57" s="624">
        <f t="shared" si="1"/>
        <v>91029.529212091351</v>
      </c>
      <c r="G57" s="625">
        <f t="shared" si="2"/>
        <v>1.4725849170637866</v>
      </c>
      <c r="H57" s="580">
        <f t="shared" si="3"/>
        <v>378250</v>
      </c>
      <c r="I57" s="624">
        <f t="shared" si="4"/>
        <v>412616.1480777933</v>
      </c>
      <c r="J57" s="580">
        <f t="shared" si="5"/>
        <v>-34366.148077793303</v>
      </c>
      <c r="K57" s="626">
        <f t="shared" si="6"/>
        <v>0.916711577484568</v>
      </c>
    </row>
    <row r="58" spans="1:11" hidden="1" outlineLevel="1">
      <c r="B58" s="620">
        <f t="shared" si="7"/>
        <v>45970</v>
      </c>
      <c r="C58" s="621">
        <v>221610</v>
      </c>
      <c r="D58" s="622">
        <f t="shared" si="8"/>
        <v>221052.63157894739</v>
      </c>
      <c r="E58" s="623">
        <f>$C$9</f>
        <v>222098.10313108019</v>
      </c>
      <c r="F58" s="624">
        <f t="shared" si="1"/>
        <v>-488.10313108019182</v>
      </c>
      <c r="G58" s="625">
        <f t="shared" si="2"/>
        <v>0.99780230842047257</v>
      </c>
      <c r="H58" s="580">
        <f t="shared" si="3"/>
        <v>599860</v>
      </c>
      <c r="I58" s="624">
        <f t="shared" si="4"/>
        <v>634714.25120887347</v>
      </c>
      <c r="J58" s="580">
        <f t="shared" si="5"/>
        <v>-34854.251208873466</v>
      </c>
      <c r="K58" s="626">
        <f t="shared" si="6"/>
        <v>0.94508670454068078</v>
      </c>
    </row>
    <row r="59" spans="1:11" hidden="1" outlineLevel="1">
      <c r="B59" s="620">
        <f t="shared" si="7"/>
        <v>45971</v>
      </c>
      <c r="C59" s="621"/>
      <c r="D59" s="622">
        <f t="shared" si="8"/>
        <v>221052.63157894739</v>
      </c>
      <c r="E59" s="623">
        <f>$C$10</f>
        <v>216358.54297113989</v>
      </c>
      <c r="F59" s="624">
        <f t="shared" si="1"/>
        <v>-216358.54297113989</v>
      </c>
      <c r="G59" s="625">
        <f t="shared" si="2"/>
        <v>0</v>
      </c>
      <c r="H59" s="580">
        <f t="shared" si="3"/>
        <v>0</v>
      </c>
      <c r="I59" s="624">
        <f t="shared" si="4"/>
        <v>0</v>
      </c>
      <c r="J59" s="580">
        <f t="shared" si="5"/>
        <v>0</v>
      </c>
      <c r="K59" s="626">
        <f t="shared" si="6"/>
        <v>0</v>
      </c>
    </row>
    <row r="60" spans="1:11" hidden="1" outlineLevel="1">
      <c r="B60" s="620">
        <f t="shared" si="7"/>
        <v>45972</v>
      </c>
      <c r="C60" s="621"/>
      <c r="D60" s="622">
        <f t="shared" si="8"/>
        <v>221052.63157894739</v>
      </c>
      <c r="E60" s="623">
        <f>$C$11</f>
        <v>346355.42149222188</v>
      </c>
      <c r="F60" s="624">
        <f t="shared" si="1"/>
        <v>-346355.42149222188</v>
      </c>
      <c r="G60" s="625">
        <f t="shared" si="2"/>
        <v>0</v>
      </c>
      <c r="H60" s="580">
        <f t="shared" si="3"/>
        <v>0</v>
      </c>
      <c r="I60" s="624">
        <f t="shared" si="4"/>
        <v>0</v>
      </c>
      <c r="J60" s="580">
        <f t="shared" si="5"/>
        <v>0</v>
      </c>
      <c r="K60" s="626">
        <f t="shared" si="6"/>
        <v>0</v>
      </c>
    </row>
    <row r="61" spans="1:11" hidden="1" outlineLevel="1">
      <c r="B61" s="620">
        <f t="shared" si="7"/>
        <v>45973</v>
      </c>
      <c r="C61" s="621"/>
      <c r="D61" s="622">
        <f t="shared" si="8"/>
        <v>221052.63157894739</v>
      </c>
      <c r="E61" s="623">
        <f>$C$12</f>
        <v>146897.80364132358</v>
      </c>
      <c r="F61" s="624">
        <f t="shared" si="1"/>
        <v>-146897.80364132358</v>
      </c>
      <c r="G61" s="625">
        <f t="shared" si="2"/>
        <v>0</v>
      </c>
      <c r="H61" s="580">
        <f t="shared" si="3"/>
        <v>0</v>
      </c>
      <c r="I61" s="624">
        <f t="shared" si="4"/>
        <v>0</v>
      </c>
      <c r="J61" s="580">
        <f t="shared" si="5"/>
        <v>0</v>
      </c>
      <c r="K61" s="626">
        <f>IFERROR(H61/I61,0)</f>
        <v>0</v>
      </c>
    </row>
    <row r="62" spans="1:11" hidden="1" outlineLevel="1">
      <c r="B62" s="620">
        <f t="shared" si="7"/>
        <v>45974</v>
      </c>
      <c r="C62" s="621"/>
      <c r="D62" s="622">
        <v>0</v>
      </c>
      <c r="E62" s="623"/>
      <c r="F62" s="624">
        <f t="shared" si="1"/>
        <v>0</v>
      </c>
      <c r="G62" s="625">
        <f t="shared" si="2"/>
        <v>0</v>
      </c>
      <c r="H62" s="580">
        <f t="shared" si="3"/>
        <v>0</v>
      </c>
      <c r="I62" s="624">
        <f t="shared" si="4"/>
        <v>0</v>
      </c>
      <c r="J62" s="580">
        <f t="shared" si="5"/>
        <v>0</v>
      </c>
      <c r="K62" s="626">
        <f t="shared" si="6"/>
        <v>0</v>
      </c>
    </row>
    <row r="63" spans="1:11" hidden="1" outlineLevel="1">
      <c r="B63" s="620">
        <f t="shared" si="7"/>
        <v>45975</v>
      </c>
      <c r="C63" s="621"/>
      <c r="D63" s="622">
        <f t="shared" ref="D63:D68" si="9">$C$17</f>
        <v>221052.63157894739</v>
      </c>
      <c r="E63" s="623">
        <f>$C$7</f>
        <v>219995.67728988465</v>
      </c>
      <c r="F63" s="624">
        <f t="shared" si="1"/>
        <v>-219995.67728988465</v>
      </c>
      <c r="G63" s="625">
        <f t="shared" si="2"/>
        <v>0</v>
      </c>
      <c r="H63" s="580">
        <f t="shared" si="3"/>
        <v>0</v>
      </c>
      <c r="I63" s="624">
        <f t="shared" si="4"/>
        <v>0</v>
      </c>
      <c r="J63" s="580">
        <f t="shared" si="5"/>
        <v>0</v>
      </c>
      <c r="K63" s="626">
        <f t="shared" si="6"/>
        <v>0</v>
      </c>
    </row>
    <row r="64" spans="1:11" hidden="1" outlineLevel="1">
      <c r="B64" s="620">
        <f t="shared" si="7"/>
        <v>45976</v>
      </c>
      <c r="C64" s="621"/>
      <c r="D64" s="622">
        <f t="shared" si="9"/>
        <v>221052.63157894739</v>
      </c>
      <c r="E64" s="623">
        <f>$C$8</f>
        <v>192620.47078790865</v>
      </c>
      <c r="F64" s="624">
        <f t="shared" si="1"/>
        <v>-192620.47078790865</v>
      </c>
      <c r="G64" s="625">
        <f t="shared" si="2"/>
        <v>0</v>
      </c>
      <c r="H64" s="580">
        <f t="shared" si="3"/>
        <v>0</v>
      </c>
      <c r="I64" s="624">
        <f t="shared" si="4"/>
        <v>0</v>
      </c>
      <c r="J64" s="580">
        <f t="shared" si="5"/>
        <v>0</v>
      </c>
      <c r="K64" s="626">
        <f t="shared" si="6"/>
        <v>0</v>
      </c>
    </row>
    <row r="65" spans="2:11" hidden="1" outlineLevel="1">
      <c r="B65" s="620">
        <f t="shared" si="7"/>
        <v>45977</v>
      </c>
      <c r="C65" s="621"/>
      <c r="D65" s="622">
        <f t="shared" si="9"/>
        <v>221052.63157894739</v>
      </c>
      <c r="E65" s="623">
        <f>$C$9</f>
        <v>222098.10313108019</v>
      </c>
      <c r="F65" s="624">
        <f t="shared" si="1"/>
        <v>-222098.10313108019</v>
      </c>
      <c r="G65" s="625">
        <f t="shared" si="2"/>
        <v>0</v>
      </c>
      <c r="H65" s="580">
        <f t="shared" si="3"/>
        <v>0</v>
      </c>
      <c r="I65" s="624">
        <f t="shared" si="4"/>
        <v>0</v>
      </c>
      <c r="J65" s="580">
        <f t="shared" si="5"/>
        <v>0</v>
      </c>
      <c r="K65" s="626">
        <f t="shared" si="6"/>
        <v>0</v>
      </c>
    </row>
    <row r="66" spans="2:11" hidden="1" outlineLevel="1">
      <c r="B66" s="620">
        <f t="shared" si="7"/>
        <v>45978</v>
      </c>
      <c r="C66" s="621"/>
      <c r="D66" s="622">
        <f t="shared" si="9"/>
        <v>221052.63157894739</v>
      </c>
      <c r="E66" s="623">
        <f>$C$10</f>
        <v>216358.54297113989</v>
      </c>
      <c r="F66" s="624">
        <f t="shared" si="1"/>
        <v>-216358.54297113989</v>
      </c>
      <c r="G66" s="625">
        <f t="shared" si="2"/>
        <v>0</v>
      </c>
      <c r="H66" s="580">
        <f t="shared" si="3"/>
        <v>0</v>
      </c>
      <c r="I66" s="624">
        <f t="shared" si="4"/>
        <v>0</v>
      </c>
      <c r="J66" s="580">
        <f t="shared" si="5"/>
        <v>0</v>
      </c>
      <c r="K66" s="626">
        <f t="shared" si="6"/>
        <v>0</v>
      </c>
    </row>
    <row r="67" spans="2:11" hidden="1" outlineLevel="1">
      <c r="B67" s="620">
        <f t="shared" si="7"/>
        <v>45979</v>
      </c>
      <c r="C67" s="621"/>
      <c r="D67" s="622">
        <f t="shared" si="9"/>
        <v>221052.63157894739</v>
      </c>
      <c r="E67" s="623">
        <f>$C$11</f>
        <v>346355.42149222188</v>
      </c>
      <c r="F67" s="624">
        <f t="shared" si="1"/>
        <v>-346355.42149222188</v>
      </c>
      <c r="G67" s="625">
        <f t="shared" si="2"/>
        <v>0</v>
      </c>
      <c r="H67" s="580">
        <f t="shared" si="3"/>
        <v>0</v>
      </c>
      <c r="I67" s="624">
        <f t="shared" si="4"/>
        <v>0</v>
      </c>
      <c r="J67" s="580">
        <f t="shared" si="5"/>
        <v>0</v>
      </c>
      <c r="K67" s="626">
        <f t="shared" si="6"/>
        <v>0</v>
      </c>
    </row>
    <row r="68" spans="2:11" hidden="1" outlineLevel="1">
      <c r="B68" s="620">
        <f t="shared" si="7"/>
        <v>45980</v>
      </c>
      <c r="C68" s="621"/>
      <c r="D68" s="622">
        <f t="shared" si="9"/>
        <v>221052.63157894739</v>
      </c>
      <c r="E68" s="623">
        <f>$C$12</f>
        <v>146897.80364132358</v>
      </c>
      <c r="F68" s="624">
        <f t="shared" si="1"/>
        <v>-146897.80364132358</v>
      </c>
      <c r="G68" s="625">
        <f t="shared" si="2"/>
        <v>0</v>
      </c>
      <c r="H68" s="580">
        <f t="shared" si="3"/>
        <v>0</v>
      </c>
      <c r="I68" s="624">
        <f t="shared" si="4"/>
        <v>0</v>
      </c>
      <c r="J68" s="580">
        <f t="shared" si="5"/>
        <v>0</v>
      </c>
      <c r="K68" s="626">
        <f t="shared" si="6"/>
        <v>0</v>
      </c>
    </row>
    <row r="69" spans="2:11" hidden="1" outlineLevel="1">
      <c r="B69" s="620">
        <f t="shared" si="7"/>
        <v>45981</v>
      </c>
      <c r="C69" s="621"/>
      <c r="D69" s="622">
        <v>0</v>
      </c>
      <c r="E69" s="623"/>
      <c r="F69" s="624">
        <f t="shared" si="1"/>
        <v>0</v>
      </c>
      <c r="G69" s="625">
        <f t="shared" si="2"/>
        <v>0</v>
      </c>
      <c r="H69" s="580">
        <f t="shared" si="3"/>
        <v>0</v>
      </c>
      <c r="I69" s="624">
        <f t="shared" si="4"/>
        <v>0</v>
      </c>
      <c r="J69" s="580">
        <f t="shared" si="5"/>
        <v>0</v>
      </c>
      <c r="K69" s="626">
        <f t="shared" si="6"/>
        <v>0</v>
      </c>
    </row>
    <row r="70" spans="2:11" hidden="1" outlineLevel="1">
      <c r="B70" s="620">
        <f t="shared" si="7"/>
        <v>45982</v>
      </c>
      <c r="C70" s="621"/>
      <c r="D70" s="622">
        <v>0</v>
      </c>
      <c r="E70" s="623"/>
      <c r="F70" s="624">
        <f>C70-E70</f>
        <v>0</v>
      </c>
      <c r="G70" s="625">
        <f t="shared" si="2"/>
        <v>0</v>
      </c>
      <c r="H70" s="580">
        <f t="shared" si="3"/>
        <v>0</v>
      </c>
      <c r="I70" s="624">
        <f t="shared" si="4"/>
        <v>0</v>
      </c>
      <c r="J70" s="580">
        <f t="shared" si="5"/>
        <v>0</v>
      </c>
      <c r="K70" s="626">
        <f t="shared" si="6"/>
        <v>0</v>
      </c>
    </row>
    <row r="71" spans="2:11" hidden="1" outlineLevel="1">
      <c r="B71" s="620">
        <f t="shared" si="7"/>
        <v>45983</v>
      </c>
      <c r="C71" s="621"/>
      <c r="D71" s="622">
        <f t="shared" ref="D71:D75" si="10">$C$17</f>
        <v>221052.63157894739</v>
      </c>
      <c r="E71" s="623">
        <f>$C$8</f>
        <v>192620.47078790865</v>
      </c>
      <c r="F71" s="624">
        <f t="shared" si="1"/>
        <v>-192620.47078790865</v>
      </c>
      <c r="G71" s="625">
        <f t="shared" si="2"/>
        <v>0</v>
      </c>
      <c r="H71" s="580">
        <f t="shared" si="3"/>
        <v>0</v>
      </c>
      <c r="I71" s="624">
        <f t="shared" si="4"/>
        <v>0</v>
      </c>
      <c r="J71" s="580">
        <f t="shared" si="5"/>
        <v>0</v>
      </c>
      <c r="K71" s="626">
        <f>IFERROR(H71/I71,0)</f>
        <v>0</v>
      </c>
    </row>
    <row r="72" spans="2:11" hidden="1" outlineLevel="1">
      <c r="B72" s="620">
        <f t="shared" si="7"/>
        <v>45984</v>
      </c>
      <c r="C72" s="621"/>
      <c r="D72" s="622">
        <f t="shared" si="10"/>
        <v>221052.63157894739</v>
      </c>
      <c r="E72" s="623">
        <f>$C$9</f>
        <v>222098.10313108019</v>
      </c>
      <c r="F72" s="624">
        <f t="shared" si="1"/>
        <v>-222098.10313108019</v>
      </c>
      <c r="G72" s="625">
        <f t="shared" si="2"/>
        <v>0</v>
      </c>
      <c r="H72" s="580">
        <f t="shared" si="3"/>
        <v>0</v>
      </c>
      <c r="I72" s="624">
        <f t="shared" si="4"/>
        <v>0</v>
      </c>
      <c r="J72" s="580">
        <f t="shared" si="5"/>
        <v>0</v>
      </c>
      <c r="K72" s="626">
        <f t="shared" si="6"/>
        <v>0</v>
      </c>
    </row>
    <row r="73" spans="2:11" hidden="1" outlineLevel="1">
      <c r="B73" s="620">
        <f t="shared" si="7"/>
        <v>45985</v>
      </c>
      <c r="C73" s="621"/>
      <c r="D73" s="622">
        <f t="shared" si="10"/>
        <v>221052.63157894739</v>
      </c>
      <c r="E73" s="623">
        <f>$C$10</f>
        <v>216358.54297113989</v>
      </c>
      <c r="F73" s="624">
        <f t="shared" si="1"/>
        <v>-216358.54297113989</v>
      </c>
      <c r="G73" s="625">
        <f t="shared" si="2"/>
        <v>0</v>
      </c>
      <c r="H73" s="580">
        <f t="shared" si="3"/>
        <v>0</v>
      </c>
      <c r="I73" s="624">
        <f t="shared" si="4"/>
        <v>0</v>
      </c>
      <c r="J73" s="580">
        <f t="shared" si="5"/>
        <v>0</v>
      </c>
      <c r="K73" s="626">
        <f t="shared" si="6"/>
        <v>0</v>
      </c>
    </row>
    <row r="74" spans="2:11" hidden="1" outlineLevel="1">
      <c r="B74" s="620">
        <f t="shared" si="7"/>
        <v>45986</v>
      </c>
      <c r="C74" s="621"/>
      <c r="D74" s="622">
        <f t="shared" si="10"/>
        <v>221052.63157894739</v>
      </c>
      <c r="E74" s="623">
        <f>$C$11</f>
        <v>346355.42149222188</v>
      </c>
      <c r="F74" s="624">
        <f t="shared" si="1"/>
        <v>-346355.42149222188</v>
      </c>
      <c r="G74" s="625">
        <f t="shared" si="2"/>
        <v>0</v>
      </c>
      <c r="H74" s="580">
        <f t="shared" si="3"/>
        <v>0</v>
      </c>
      <c r="I74" s="624">
        <f t="shared" si="4"/>
        <v>0</v>
      </c>
      <c r="J74" s="580">
        <f t="shared" si="5"/>
        <v>0</v>
      </c>
      <c r="K74" s="626">
        <f t="shared" si="6"/>
        <v>0</v>
      </c>
    </row>
    <row r="75" spans="2:11" hidden="1" outlineLevel="1">
      <c r="B75" s="620">
        <f t="shared" si="7"/>
        <v>45987</v>
      </c>
      <c r="C75" s="621"/>
      <c r="D75" s="622">
        <f t="shared" si="10"/>
        <v>221052.63157894739</v>
      </c>
      <c r="E75" s="623">
        <f>$C$12</f>
        <v>146897.80364132358</v>
      </c>
      <c r="F75" s="624">
        <f t="shared" si="1"/>
        <v>-146897.80364132358</v>
      </c>
      <c r="G75" s="625">
        <f t="shared" si="2"/>
        <v>0</v>
      </c>
      <c r="H75" s="580">
        <f t="shared" si="3"/>
        <v>0</v>
      </c>
      <c r="I75" s="624">
        <f t="shared" si="4"/>
        <v>0</v>
      </c>
      <c r="J75" s="580">
        <f t="shared" si="5"/>
        <v>0</v>
      </c>
      <c r="K75" s="626">
        <f t="shared" si="6"/>
        <v>0</v>
      </c>
    </row>
    <row r="76" spans="2:11" hidden="1" outlineLevel="1">
      <c r="B76" s="620">
        <f t="shared" si="7"/>
        <v>45988</v>
      </c>
      <c r="C76" s="621"/>
      <c r="D76" s="622">
        <v>0</v>
      </c>
      <c r="E76" s="623"/>
      <c r="F76" s="624">
        <f t="shared" si="1"/>
        <v>0</v>
      </c>
      <c r="G76" s="625">
        <f t="shared" si="2"/>
        <v>0</v>
      </c>
      <c r="H76" s="580">
        <f t="shared" si="3"/>
        <v>0</v>
      </c>
      <c r="I76" s="624">
        <f t="shared" si="4"/>
        <v>0</v>
      </c>
      <c r="J76" s="580">
        <f t="shared" si="5"/>
        <v>0</v>
      </c>
      <c r="K76" s="626">
        <f t="shared" si="6"/>
        <v>0</v>
      </c>
    </row>
    <row r="77" spans="2:11" hidden="1" outlineLevel="1">
      <c r="B77" s="620">
        <f t="shared" si="7"/>
        <v>45989</v>
      </c>
      <c r="C77" s="621"/>
      <c r="D77" s="622">
        <f t="shared" ref="D77:D80" si="11">$C$17</f>
        <v>221052.63157894739</v>
      </c>
      <c r="E77" s="623">
        <f>$C$7</f>
        <v>219995.67728988465</v>
      </c>
      <c r="F77" s="624">
        <f t="shared" si="1"/>
        <v>-219995.67728988465</v>
      </c>
      <c r="G77" s="625">
        <f t="shared" si="2"/>
        <v>0</v>
      </c>
      <c r="H77" s="580">
        <f t="shared" si="3"/>
        <v>0</v>
      </c>
      <c r="I77" s="624">
        <f t="shared" si="4"/>
        <v>0</v>
      </c>
      <c r="J77" s="580">
        <f t="shared" si="5"/>
        <v>0</v>
      </c>
      <c r="K77" s="626">
        <f t="shared" si="6"/>
        <v>0</v>
      </c>
    </row>
    <row r="78" spans="2:11" hidden="1" outlineLevel="1">
      <c r="B78" s="620">
        <f t="shared" si="7"/>
        <v>45990</v>
      </c>
      <c r="C78" s="621"/>
      <c r="D78" s="622">
        <f t="shared" si="11"/>
        <v>221052.63157894739</v>
      </c>
      <c r="E78" s="623">
        <f>$C$8</f>
        <v>192620.47078790865</v>
      </c>
      <c r="F78" s="624">
        <f t="shared" si="1"/>
        <v>-192620.47078790865</v>
      </c>
      <c r="G78" s="625">
        <f t="shared" si="2"/>
        <v>0</v>
      </c>
      <c r="H78" s="580">
        <f t="shared" si="3"/>
        <v>0</v>
      </c>
      <c r="I78" s="624">
        <f t="shared" si="4"/>
        <v>0</v>
      </c>
      <c r="J78" s="580">
        <f t="shared" si="5"/>
        <v>0</v>
      </c>
      <c r="K78" s="626">
        <f t="shared" si="6"/>
        <v>0</v>
      </c>
    </row>
    <row r="79" spans="2:11" hidden="1" outlineLevel="1">
      <c r="B79" s="620">
        <f t="shared" si="7"/>
        <v>45991</v>
      </c>
      <c r="C79" s="621"/>
      <c r="D79" s="622">
        <f t="shared" si="11"/>
        <v>221052.63157894739</v>
      </c>
      <c r="E79" s="623">
        <f>$C$9</f>
        <v>222098.10313108019</v>
      </c>
      <c r="F79" s="624">
        <f t="shared" si="1"/>
        <v>-222098.10313108019</v>
      </c>
      <c r="G79" s="625">
        <f t="shared" si="2"/>
        <v>0</v>
      </c>
      <c r="H79" s="580">
        <f t="shared" si="3"/>
        <v>0</v>
      </c>
      <c r="I79" s="624">
        <f t="shared" si="4"/>
        <v>0</v>
      </c>
      <c r="J79" s="580">
        <f t="shared" si="5"/>
        <v>0</v>
      </c>
      <c r="K79" s="626">
        <f t="shared" si="6"/>
        <v>0</v>
      </c>
    </row>
    <row r="80" spans="2:11" hidden="1" outlineLevel="1">
      <c r="B80" s="620">
        <f t="shared" si="7"/>
        <v>45992</v>
      </c>
      <c r="C80" s="621"/>
      <c r="D80" s="622">
        <f t="shared" si="11"/>
        <v>221052.63157894739</v>
      </c>
      <c r="E80" s="623">
        <f>$C$10</f>
        <v>216358.54297113989</v>
      </c>
      <c r="F80" s="624">
        <f t="shared" si="1"/>
        <v>-216358.54297113989</v>
      </c>
      <c r="G80" s="625">
        <f t="shared" si="2"/>
        <v>0</v>
      </c>
      <c r="H80" s="580">
        <f t="shared" si="3"/>
        <v>0</v>
      </c>
      <c r="I80" s="624">
        <f t="shared" si="4"/>
        <v>0</v>
      </c>
      <c r="J80" s="580">
        <f t="shared" si="5"/>
        <v>0</v>
      </c>
      <c r="K80" s="626">
        <f t="shared" si="6"/>
        <v>0</v>
      </c>
    </row>
    <row r="81" spans="3:5" hidden="1" outlineLevel="1">
      <c r="C81" s="627">
        <f>SUM(C50:C80)</f>
        <v>1892140</v>
      </c>
      <c r="D81" s="628">
        <f>SUM(D50:D80)</f>
        <v>5747368.4210526319</v>
      </c>
      <c r="E81" s="627">
        <f>SUM(E50:E80)</f>
        <v>5788385.516854478</v>
      </c>
    </row>
    <row r="82" spans="3:5" hidden="1" outlineLevel="1">
      <c r="C82" s="626">
        <f>IFERROR(C81/D81,0)</f>
        <v>0.32921849816849813</v>
      </c>
      <c r="E82" s="627">
        <f>E81-F16</f>
        <v>704174.99053868838</v>
      </c>
    </row>
    <row r="83" spans="3:5" collapsed="1"/>
  </sheetData>
  <mergeCells count="28">
    <mergeCell ref="O23:Q23"/>
    <mergeCell ref="O24:Q24"/>
    <mergeCell ref="O25:Q25"/>
    <mergeCell ref="O26:Q26"/>
    <mergeCell ref="O16:Q16"/>
    <mergeCell ref="O18:Q18"/>
    <mergeCell ref="O19:Q19"/>
    <mergeCell ref="O20:Q20"/>
    <mergeCell ref="O21:Q21"/>
    <mergeCell ref="O22:Q22"/>
    <mergeCell ref="D11:F11"/>
    <mergeCell ref="G11:J11"/>
    <mergeCell ref="D12:F12"/>
    <mergeCell ref="G12:J12"/>
    <mergeCell ref="E14:F14"/>
    <mergeCell ref="H14:I14"/>
    <mergeCell ref="D8:F8"/>
    <mergeCell ref="G8:J8"/>
    <mergeCell ref="D9:F9"/>
    <mergeCell ref="G9:J9"/>
    <mergeCell ref="D10:F10"/>
    <mergeCell ref="G10:J10"/>
    <mergeCell ref="B3:C3"/>
    <mergeCell ref="B6:C6"/>
    <mergeCell ref="D6:F6"/>
    <mergeCell ref="G6:J6"/>
    <mergeCell ref="D7:F7"/>
    <mergeCell ref="G7:J7"/>
  </mergeCells>
  <phoneticPr fontId="2"/>
  <printOptions horizontalCentered="1" verticalCentered="1"/>
  <pageMargins left="0" right="0" top="0" bottom="0" header="0" footer="0"/>
  <pageSetup paperSize="9" scale="54"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21"/>
  <sheetViews>
    <sheetView workbookViewId="0">
      <selection activeCell="C20" sqref="C20"/>
    </sheetView>
  </sheetViews>
  <sheetFormatPr baseColWidth="10" defaultColWidth="10.7109375" defaultRowHeight="20"/>
  <cols>
    <col min="1" max="2" width="10.7109375" style="630"/>
    <col min="3" max="3" width="12.5703125" style="630" bestFit="1" customWidth="1"/>
    <col min="4" max="4" width="12.140625" style="630" bestFit="1" customWidth="1"/>
    <col min="5" max="5" width="12" style="630" bestFit="1" customWidth="1"/>
    <col min="6" max="6" width="8.140625" style="630" customWidth="1"/>
    <col min="7" max="7" width="11.140625" style="630" bestFit="1" customWidth="1"/>
    <col min="8" max="8" width="3.85546875" style="630" customWidth="1"/>
    <col min="9" max="16384" width="10.7109375" style="630"/>
  </cols>
  <sheetData>
    <row r="2" spans="2:10">
      <c r="B2" s="629"/>
      <c r="C2" s="629" t="s">
        <v>428</v>
      </c>
      <c r="D2" s="629" t="s">
        <v>429</v>
      </c>
      <c r="E2" s="629" t="s">
        <v>70</v>
      </c>
      <c r="F2" s="629" t="s">
        <v>184</v>
      </c>
      <c r="G2" s="629" t="s">
        <v>430</v>
      </c>
      <c r="H2" s="629"/>
      <c r="I2" s="629"/>
    </row>
    <row r="3" spans="2:10">
      <c r="B3" s="631" t="s">
        <v>201</v>
      </c>
      <c r="C3" s="632">
        <v>6112150</v>
      </c>
      <c r="D3" s="633">
        <v>5538461.538461539</v>
      </c>
      <c r="E3" s="634">
        <f t="shared" ref="E3:E10" si="0">C3/D3</f>
        <v>1.1035826388888887</v>
      </c>
      <c r="F3" s="635">
        <v>22</v>
      </c>
      <c r="G3" s="636">
        <f t="shared" ref="G3:G10" si="1">C3/F3</f>
        <v>277825</v>
      </c>
      <c r="H3" s="637"/>
      <c r="I3" s="638" t="str">
        <f t="shared" ref="I3:I10" si="2">IF(H3=1,G3,"")</f>
        <v/>
      </c>
    </row>
    <row r="4" spans="2:10">
      <c r="B4" s="631" t="s">
        <v>107</v>
      </c>
      <c r="C4" s="632">
        <v>5368670</v>
      </c>
      <c r="D4" s="633">
        <v>4923076.923076923</v>
      </c>
      <c r="E4" s="634">
        <f t="shared" si="0"/>
        <v>1.09051109375</v>
      </c>
      <c r="F4" s="635">
        <v>22</v>
      </c>
      <c r="G4" s="636">
        <f t="shared" si="1"/>
        <v>244030.45454545456</v>
      </c>
      <c r="H4" s="637"/>
      <c r="I4" s="638" t="str">
        <f t="shared" si="2"/>
        <v/>
      </c>
    </row>
    <row r="5" spans="2:10">
      <c r="B5" s="631" t="s">
        <v>31</v>
      </c>
      <c r="C5" s="632">
        <v>7189290</v>
      </c>
      <c r="D5" s="633">
        <v>7692307.692307693</v>
      </c>
      <c r="E5" s="634">
        <f t="shared" si="0"/>
        <v>0.93460769999999993</v>
      </c>
      <c r="F5" s="635">
        <v>25</v>
      </c>
      <c r="G5" s="636">
        <f t="shared" si="1"/>
        <v>287571.59999999998</v>
      </c>
      <c r="H5" s="637"/>
      <c r="I5" s="638" t="str">
        <f t="shared" si="2"/>
        <v/>
      </c>
    </row>
    <row r="6" spans="2:10">
      <c r="B6" s="631" t="s">
        <v>32</v>
      </c>
      <c r="C6" s="632">
        <v>7232940</v>
      </c>
      <c r="D6" s="633">
        <v>7692307.692307693</v>
      </c>
      <c r="E6" s="634">
        <f t="shared" si="0"/>
        <v>0.94028219999999996</v>
      </c>
      <c r="F6" s="635">
        <v>25</v>
      </c>
      <c r="G6" s="636">
        <f t="shared" si="1"/>
        <v>289317.59999999998</v>
      </c>
      <c r="H6" s="637"/>
      <c r="I6" s="638" t="str">
        <f t="shared" si="2"/>
        <v/>
      </c>
    </row>
    <row r="7" spans="2:10">
      <c r="B7" s="631" t="s">
        <v>33</v>
      </c>
      <c r="C7" s="632">
        <v>5931330</v>
      </c>
      <c r="D7" s="633">
        <v>5370629.3706293711</v>
      </c>
      <c r="E7" s="634">
        <f t="shared" si="0"/>
        <v>1.1044012890624999</v>
      </c>
      <c r="F7" s="635">
        <v>24</v>
      </c>
      <c r="G7" s="636">
        <f t="shared" si="1"/>
        <v>247138.75</v>
      </c>
      <c r="H7" s="637"/>
      <c r="I7" s="638" t="str">
        <f t="shared" si="2"/>
        <v/>
      </c>
    </row>
    <row r="8" spans="2:10">
      <c r="B8" s="631" t="s">
        <v>34</v>
      </c>
      <c r="C8" s="632">
        <v>5714340</v>
      </c>
      <c r="D8" s="633">
        <v>5944055.9440559437</v>
      </c>
      <c r="E8" s="634">
        <f t="shared" si="0"/>
        <v>0.9613536705882354</v>
      </c>
      <c r="F8" s="635">
        <v>25</v>
      </c>
      <c r="G8" s="636">
        <f t="shared" si="1"/>
        <v>228573.6</v>
      </c>
      <c r="H8" s="637">
        <v>1</v>
      </c>
      <c r="I8" s="638">
        <f t="shared" si="2"/>
        <v>228573.6</v>
      </c>
    </row>
    <row r="9" spans="2:10">
      <c r="B9" s="631" t="s">
        <v>35</v>
      </c>
      <c r="C9" s="632">
        <v>5338530</v>
      </c>
      <c r="D9" s="633">
        <v>6545454.5454545459</v>
      </c>
      <c r="E9" s="634">
        <f t="shared" si="0"/>
        <v>0.81560874999999999</v>
      </c>
      <c r="F9" s="635">
        <v>26</v>
      </c>
      <c r="G9" s="636">
        <f t="shared" si="1"/>
        <v>205328.07692307694</v>
      </c>
      <c r="H9" s="637">
        <v>1</v>
      </c>
      <c r="I9" s="638">
        <f t="shared" si="2"/>
        <v>205328.07692307694</v>
      </c>
    </row>
    <row r="10" spans="2:10">
      <c r="B10" s="631" t="s">
        <v>36</v>
      </c>
      <c r="C10" s="632">
        <v>2414310</v>
      </c>
      <c r="D10" s="633">
        <v>5594405.5944055952</v>
      </c>
      <c r="E10" s="634">
        <f t="shared" si="0"/>
        <v>0.43155791249999992</v>
      </c>
      <c r="F10" s="635">
        <v>20</v>
      </c>
      <c r="G10" s="636">
        <f t="shared" si="1"/>
        <v>120715.5</v>
      </c>
      <c r="H10" s="637">
        <v>1</v>
      </c>
      <c r="I10" s="638">
        <f t="shared" si="2"/>
        <v>120715.5</v>
      </c>
      <c r="J10" s="639"/>
    </row>
    <row r="11" spans="2:10">
      <c r="C11" s="636">
        <f>SUM(C3:C10)</f>
        <v>45301560</v>
      </c>
      <c r="F11" s="640">
        <f>SUM(F3:F10)</f>
        <v>189</v>
      </c>
      <c r="H11" s="641" t="s">
        <v>431</v>
      </c>
      <c r="I11" s="642">
        <f>AVERAGE(I3:I10)</f>
        <v>184872.39230769232</v>
      </c>
    </row>
    <row r="12" spans="2:10">
      <c r="C12" s="643"/>
      <c r="F12" s="640"/>
      <c r="G12" s="644"/>
      <c r="H12" s="645"/>
      <c r="I12" s="646"/>
    </row>
    <row r="13" spans="2:10">
      <c r="B13" s="631" t="s">
        <v>37</v>
      </c>
      <c r="C13" s="636">
        <f>$I$11*F13</f>
        <v>4436937.4153846158</v>
      </c>
      <c r="D13" s="633">
        <v>5663505.230769231</v>
      </c>
      <c r="E13" s="634">
        <f>C13/D13</f>
        <v>0.78342602939239803</v>
      </c>
      <c r="F13" s="635">
        <v>24</v>
      </c>
      <c r="G13" s="636">
        <f>C13/F13</f>
        <v>184872.39230769232</v>
      </c>
    </row>
    <row r="14" spans="2:10">
      <c r="B14" s="631" t="s">
        <v>38</v>
      </c>
      <c r="C14" s="636">
        <f>$I$11*F14</f>
        <v>4806682.2</v>
      </c>
      <c r="D14" s="633">
        <v>6749010.4000000004</v>
      </c>
      <c r="E14" s="634">
        <f>C14/D14</f>
        <v>0.7122054812658164</v>
      </c>
      <c r="F14" s="635">
        <v>26</v>
      </c>
      <c r="G14" s="636">
        <f>C14/F14</f>
        <v>184872.39230769232</v>
      </c>
    </row>
    <row r="15" spans="2:10">
      <c r="B15" s="631" t="s">
        <v>39</v>
      </c>
      <c r="C15" s="636">
        <f>$I$11*F15</f>
        <v>4252065.0230769236</v>
      </c>
      <c r="D15" s="633">
        <v>6513031.0153846154</v>
      </c>
      <c r="E15" s="634">
        <f>C15/D15</f>
        <v>0.65285502449366506</v>
      </c>
      <c r="F15" s="635">
        <v>23</v>
      </c>
      <c r="G15" s="636">
        <f>C15/F15</f>
        <v>184872.39230769232</v>
      </c>
    </row>
    <row r="16" spans="2:10">
      <c r="B16" s="631" t="s">
        <v>40</v>
      </c>
      <c r="C16" s="636">
        <f>$I$11*F16</f>
        <v>4436937.4153846158</v>
      </c>
      <c r="D16" s="633">
        <v>7079381.538461539</v>
      </c>
      <c r="E16" s="634">
        <f>C16/D16</f>
        <v>0.62674082351391847</v>
      </c>
      <c r="F16" s="635">
        <v>24</v>
      </c>
      <c r="G16" s="636">
        <f>C16/F16</f>
        <v>184872.39230769232</v>
      </c>
    </row>
    <row r="17" spans="2:7">
      <c r="B17" s="647"/>
      <c r="C17" s="636">
        <f>SUM(C13:C16)</f>
        <v>17932622.053846154</v>
      </c>
      <c r="D17" s="648"/>
      <c r="E17" s="649"/>
      <c r="F17" s="640">
        <f>SUM(F13:F16)</f>
        <v>97</v>
      </c>
      <c r="G17" s="643"/>
    </row>
    <row r="18" spans="2:7">
      <c r="D18" s="643"/>
      <c r="F18" s="640">
        <f>F11+F17</f>
        <v>286</v>
      </c>
    </row>
    <row r="19" spans="2:7">
      <c r="B19" s="631" t="s">
        <v>432</v>
      </c>
      <c r="C19" s="723">
        <f>SUM(C3:C10,SUM(C13:C16))</f>
        <v>63234182.053846151</v>
      </c>
      <c r="D19" s="723"/>
      <c r="E19" s="723"/>
    </row>
    <row r="20" spans="2:7">
      <c r="B20" s="629"/>
      <c r="C20" s="633">
        <f>[2]★プラナバルカ戦略表!F29</f>
        <v>63000000</v>
      </c>
      <c r="D20" s="638">
        <v>75000000</v>
      </c>
      <c r="E20" s="638">
        <v>80000000</v>
      </c>
    </row>
    <row r="21" spans="2:7">
      <c r="B21" s="629"/>
      <c r="C21" s="650">
        <f>C19-C20</f>
        <v>234182.05384615064</v>
      </c>
      <c r="D21" s="650">
        <f>C19-D20</f>
        <v>-11765817.946153849</v>
      </c>
      <c r="E21" s="650">
        <f>C19-E20</f>
        <v>-16765817.946153849</v>
      </c>
    </row>
  </sheetData>
  <mergeCells count="1">
    <mergeCell ref="C19:E19"/>
  </mergeCells>
  <phoneticPr fontId="2"/>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A1:AG386"/>
  <sheetViews>
    <sheetView zoomScaleNormal="114" workbookViewId="0">
      <pane xSplit="6" ySplit="20" topLeftCell="G21" activePane="bottomRight" state="frozen"/>
      <selection pane="topRight" activeCell="G1" sqref="G1"/>
      <selection pane="bottomLeft" activeCell="A20" sqref="A20"/>
      <selection pane="bottomRight" activeCell="U20" sqref="U20:V337"/>
    </sheetView>
  </sheetViews>
  <sheetFormatPr baseColWidth="10" defaultColWidth="9.5703125" defaultRowHeight="17" outlineLevelRow="1" outlineLevelCol="1"/>
  <cols>
    <col min="1" max="1" width="2.140625" style="4" customWidth="1"/>
    <col min="2" max="2" width="10" style="4" customWidth="1"/>
    <col min="3" max="3" width="4.42578125" style="4" customWidth="1"/>
    <col min="4" max="4" width="5.5703125" style="110" customWidth="1"/>
    <col min="5" max="5" width="6.140625" style="4" customWidth="1"/>
    <col min="6" max="6" width="9.5703125" style="4"/>
    <col min="7" max="7" width="18" style="4" customWidth="1"/>
    <col min="8" max="8" width="13.42578125" style="4" customWidth="1"/>
    <col min="9" max="9" width="1.140625" style="14" customWidth="1"/>
    <col min="10" max="10" width="17" style="4" customWidth="1"/>
    <col min="11" max="11" width="1" style="4" customWidth="1"/>
    <col min="12" max="13" width="15" style="4" customWidth="1"/>
    <col min="14" max="14" width="12" style="4" customWidth="1"/>
    <col min="15" max="15" width="1.140625" style="4" customWidth="1"/>
    <col min="16" max="16" width="15" style="4" customWidth="1"/>
    <col min="17" max="18" width="13.140625" style="4" customWidth="1"/>
    <col min="19" max="19" width="12.140625" style="4" customWidth="1"/>
    <col min="20" max="20" width="1.140625" style="4" customWidth="1"/>
    <col min="21" max="21" width="14.85546875" style="4" customWidth="1"/>
    <col min="22" max="23" width="14.140625" style="4" customWidth="1"/>
    <col min="24" max="24" width="10.140625" style="4" customWidth="1"/>
    <col min="25" max="25" width="3.42578125" style="4" customWidth="1" outlineLevel="1"/>
    <col min="26" max="26" width="4.85546875" style="4" customWidth="1" outlineLevel="1"/>
    <col min="27" max="27" width="6.85546875" style="4" customWidth="1" outlineLevel="1"/>
    <col min="28" max="28" width="5.140625" style="4" customWidth="1" outlineLevel="1"/>
    <col min="29" max="29" width="11.28515625" style="4" customWidth="1" outlineLevel="1" collapsed="1"/>
    <col min="30" max="30" width="9.5703125" style="4" customWidth="1" outlineLevel="1"/>
    <col min="31" max="32" width="12.7109375" style="4" customWidth="1" outlineLevel="1"/>
    <col min="33" max="33" width="13.28515625" style="4" customWidth="1" outlineLevel="1"/>
    <col min="34" max="16384" width="9.5703125" style="4"/>
  </cols>
  <sheetData>
    <row r="1" spans="1:33" ht="10.5" customHeight="1">
      <c r="A1" s="1"/>
      <c r="B1" s="1"/>
      <c r="C1" s="1"/>
      <c r="D1" s="2"/>
      <c r="E1" s="1"/>
      <c r="F1" s="1"/>
      <c r="G1" s="1"/>
      <c r="H1" s="1"/>
      <c r="I1" s="3"/>
      <c r="J1" s="1"/>
      <c r="K1" s="1"/>
      <c r="L1" s="1"/>
      <c r="M1" s="1"/>
      <c r="N1" s="1"/>
      <c r="O1" s="1"/>
      <c r="P1" s="1"/>
      <c r="Q1" s="1"/>
      <c r="R1" s="1"/>
      <c r="S1" s="1"/>
      <c r="T1" s="1"/>
      <c r="U1" s="1"/>
      <c r="V1" s="1"/>
      <c r="W1" s="1"/>
      <c r="X1" s="1"/>
      <c r="Y1" s="1"/>
      <c r="Z1" s="1"/>
      <c r="AA1" s="1"/>
      <c r="AB1" s="1"/>
      <c r="AC1" s="1"/>
      <c r="AD1" s="1"/>
      <c r="AE1" s="1"/>
      <c r="AF1" s="1"/>
      <c r="AG1" s="1"/>
    </row>
    <row r="2" spans="1:33" ht="22">
      <c r="A2" s="1"/>
      <c r="B2" s="739">
        <v>45658</v>
      </c>
      <c r="C2" s="740"/>
      <c r="D2" s="741"/>
      <c r="E2" s="742" t="s">
        <v>0</v>
      </c>
      <c r="F2" s="743"/>
      <c r="G2" s="5" t="s">
        <v>1</v>
      </c>
      <c r="H2" s="744" t="s">
        <v>2</v>
      </c>
      <c r="I2" s="744"/>
      <c r="J2" s="744"/>
      <c r="K2" s="745" t="s">
        <v>3</v>
      </c>
      <c r="L2" s="745"/>
      <c r="M2" s="6" t="s">
        <v>4</v>
      </c>
      <c r="P2" s="497" t="s">
        <v>5</v>
      </c>
      <c r="Q2" s="497" t="s">
        <v>6</v>
      </c>
      <c r="R2" s="497" t="s">
        <v>7</v>
      </c>
      <c r="S2" s="497" t="s">
        <v>8</v>
      </c>
      <c r="T2" s="4" t="s">
        <v>9</v>
      </c>
      <c r="AC2" s="1"/>
      <c r="AD2" s="1"/>
      <c r="AE2" s="1"/>
      <c r="AF2" s="1"/>
      <c r="AG2" s="1"/>
    </row>
    <row r="3" spans="1:33" ht="23">
      <c r="A3" s="1"/>
      <c r="B3" s="740"/>
      <c r="C3" s="740"/>
      <c r="D3" s="741"/>
      <c r="E3" s="746">
        <f>SUM(F7:F18)</f>
        <v>285</v>
      </c>
      <c r="F3" s="737"/>
      <c r="G3" s="7">
        <f>★プラナバルカ戦略表!F29</f>
        <v>63000000</v>
      </c>
      <c r="H3" s="8">
        <f>SUM(AD7:AD18)*100</f>
        <v>0.999996</v>
      </c>
      <c r="I3" s="747">
        <f>G3*H3</f>
        <v>62999748</v>
      </c>
      <c r="J3" s="747"/>
      <c r="K3" s="748">
        <f>SUM(J21:J385)</f>
        <v>56787100</v>
      </c>
      <c r="L3" s="748"/>
      <c r="M3" s="9">
        <f>K3-G3</f>
        <v>-6212900</v>
      </c>
      <c r="P3" s="497" t="s">
        <v>10</v>
      </c>
      <c r="Q3" s="497" t="s">
        <v>11</v>
      </c>
      <c r="R3" s="497" t="s">
        <v>12</v>
      </c>
      <c r="S3" s="497" t="s">
        <v>13</v>
      </c>
      <c r="AC3" s="10"/>
      <c r="AD3" s="1"/>
      <c r="AE3" s="1"/>
      <c r="AF3" s="1"/>
      <c r="AG3" s="1"/>
    </row>
    <row r="4" spans="1:33" ht="21">
      <c r="A4" s="1"/>
      <c r="B4" s="11"/>
      <c r="C4" s="11"/>
      <c r="D4" s="12"/>
      <c r="E4" s="11"/>
      <c r="F4" s="11"/>
      <c r="G4" s="13"/>
      <c r="L4" s="11"/>
      <c r="M4" s="111">
        <f>AVERAGE(M7:M13)</f>
        <v>6111675.7142857146</v>
      </c>
      <c r="N4" s="1"/>
      <c r="P4" s="498" t="s">
        <v>14</v>
      </c>
      <c r="Q4" s="497" t="s">
        <v>15</v>
      </c>
      <c r="R4" s="497" t="s">
        <v>16</v>
      </c>
      <c r="S4" s="497" t="s">
        <v>17</v>
      </c>
      <c r="AC4" s="1"/>
      <c r="AD4" s="1"/>
      <c r="AE4" s="1"/>
      <c r="AF4" s="1"/>
    </row>
    <row r="5" spans="1:33" ht="8" customHeight="1">
      <c r="A5" s="1"/>
      <c r="B5" s="11"/>
      <c r="C5" s="11"/>
      <c r="D5" s="12"/>
      <c r="E5" s="11"/>
      <c r="F5" s="11"/>
      <c r="G5" s="13"/>
      <c r="L5" s="11"/>
      <c r="N5" s="1"/>
      <c r="P5" s="15"/>
      <c r="Q5" s="16"/>
      <c r="R5" s="16"/>
      <c r="S5" s="16"/>
      <c r="AC5" s="1"/>
      <c r="AD5" s="1"/>
      <c r="AE5" s="1"/>
      <c r="AF5" s="1"/>
    </row>
    <row r="6" spans="1:33" ht="20" customHeight="1" outlineLevel="1">
      <c r="A6" s="1"/>
      <c r="B6" s="731" t="s">
        <v>18</v>
      </c>
      <c r="C6" s="732"/>
      <c r="D6" s="12"/>
      <c r="E6" s="17" t="s">
        <v>19</v>
      </c>
      <c r="F6" s="17" t="s">
        <v>20</v>
      </c>
      <c r="G6" s="18" t="s">
        <v>21</v>
      </c>
      <c r="H6" s="17" t="s">
        <v>22</v>
      </c>
      <c r="I6" s="733" t="s">
        <v>23</v>
      </c>
      <c r="J6" s="734"/>
      <c r="K6" s="735" t="s">
        <v>24</v>
      </c>
      <c r="L6" s="736"/>
      <c r="M6" s="19" t="s">
        <v>25</v>
      </c>
      <c r="N6" s="735" t="s">
        <v>26</v>
      </c>
      <c r="O6" s="737"/>
      <c r="P6" s="530" t="s">
        <v>307</v>
      </c>
      <c r="Q6" s="532" t="s">
        <v>27</v>
      </c>
      <c r="AC6" s="1"/>
      <c r="AD6" s="1"/>
      <c r="AE6" s="1"/>
      <c r="AF6" s="1"/>
    </row>
    <row r="7" spans="1:33" ht="23" outlineLevel="1">
      <c r="A7" s="1"/>
      <c r="B7" s="738" t="s">
        <v>28</v>
      </c>
      <c r="C7" s="729"/>
      <c r="D7" s="12"/>
      <c r="E7" s="20" t="s">
        <v>29</v>
      </c>
      <c r="F7" s="21">
        <f>COUNTIF(D21:D51,1)</f>
        <v>22</v>
      </c>
      <c r="G7" s="22">
        <f>$B$8*F7</f>
        <v>4863157.8947368423</v>
      </c>
      <c r="H7" s="23">
        <v>1.2</v>
      </c>
      <c r="I7" s="724">
        <f>G7*H7</f>
        <v>5835789.4736842103</v>
      </c>
      <c r="J7" s="725"/>
      <c r="K7" s="726">
        <f>I7/F7</f>
        <v>265263.15789473685</v>
      </c>
      <c r="L7" s="727"/>
      <c r="M7" s="24">
        <f>SUM(J21:J51)</f>
        <v>6006630</v>
      </c>
      <c r="N7" s="728">
        <f>M7-I7</f>
        <v>170840.52631578967</v>
      </c>
      <c r="O7" s="729"/>
      <c r="P7" s="531">
        <f t="shared" ref="P7:P18" si="0">M7/G7</f>
        <v>1.2351295454545455</v>
      </c>
      <c r="Q7" s="533">
        <f>M7/I7</f>
        <v>1.0292746212121213</v>
      </c>
      <c r="R7" s="653">
        <v>0.9</v>
      </c>
      <c r="AA7" s="26" t="str">
        <f>TEXT(K7,"¥0")</f>
        <v>¥265263</v>
      </c>
      <c r="AC7" s="651">
        <v>1</v>
      </c>
      <c r="AD7" s="27">
        <f>(H7/100)*AE7</f>
        <v>9.9999600000000017E-4</v>
      </c>
      <c r="AE7" s="28">
        <v>8.3333000000000004E-2</v>
      </c>
      <c r="AF7" s="29"/>
    </row>
    <row r="8" spans="1:33" ht="23" outlineLevel="1">
      <c r="A8" s="1"/>
      <c r="B8" s="730">
        <f>G3/E3</f>
        <v>221052.63157894736</v>
      </c>
      <c r="C8" s="729"/>
      <c r="D8" s="12"/>
      <c r="E8" s="20" t="s">
        <v>30</v>
      </c>
      <c r="F8" s="21">
        <f>COUNTIF(D52:D79,1)</f>
        <v>22</v>
      </c>
      <c r="G8" s="22">
        <f t="shared" ref="G8:G18" si="1">$B$8*F8</f>
        <v>4863157.8947368423</v>
      </c>
      <c r="H8" s="23">
        <v>1</v>
      </c>
      <c r="I8" s="724">
        <f t="shared" ref="I8:I18" si="2">G8*H8</f>
        <v>4863157.8947368423</v>
      </c>
      <c r="J8" s="725"/>
      <c r="K8" s="726">
        <f t="shared" ref="K8:K18" si="3">I8/F8</f>
        <v>221052.63157894739</v>
      </c>
      <c r="L8" s="727"/>
      <c r="M8" s="30">
        <f>SUM(J52:J79)</f>
        <v>5368670</v>
      </c>
      <c r="N8" s="728">
        <f t="shared" ref="N8:N18" si="4">M8-I8</f>
        <v>505512.10526315775</v>
      </c>
      <c r="O8" s="729"/>
      <c r="P8" s="531">
        <f>M8/G8</f>
        <v>1.1039472943722943</v>
      </c>
      <c r="Q8" s="533">
        <f t="shared" ref="Q8:Q18" si="5">M8/I8</f>
        <v>1.1039472943722943</v>
      </c>
      <c r="R8" s="653">
        <v>0.8</v>
      </c>
      <c r="AA8" s="26" t="str">
        <f>TEXT(K8,"¥0")</f>
        <v>¥221053</v>
      </c>
      <c r="AC8" s="651">
        <v>2</v>
      </c>
      <c r="AD8" s="27">
        <f t="shared" ref="AD8:AD18" si="6">(H8/100)*AE8</f>
        <v>8.3333000000000007E-4</v>
      </c>
      <c r="AE8" s="28">
        <v>8.3333000000000004E-2</v>
      </c>
    </row>
    <row r="9" spans="1:33" ht="23" outlineLevel="1">
      <c r="A9" s="1"/>
      <c r="D9" s="12"/>
      <c r="E9" s="20" t="s">
        <v>31</v>
      </c>
      <c r="F9" s="21">
        <f>COUNTIF(D80:D110,1)</f>
        <v>25</v>
      </c>
      <c r="G9" s="22">
        <f t="shared" si="1"/>
        <v>5526315.7894736836</v>
      </c>
      <c r="H9" s="23">
        <v>1.3</v>
      </c>
      <c r="I9" s="724">
        <f t="shared" si="2"/>
        <v>7184210.5263157887</v>
      </c>
      <c r="J9" s="725"/>
      <c r="K9" s="726">
        <f t="shared" si="3"/>
        <v>287368.42105263157</v>
      </c>
      <c r="L9" s="727"/>
      <c r="M9" s="30">
        <f>SUM(J80:J110)</f>
        <v>7189290</v>
      </c>
      <c r="N9" s="728">
        <f t="shared" si="4"/>
        <v>5079.4736842112616</v>
      </c>
      <c r="O9" s="729"/>
      <c r="P9" s="531">
        <f>M9/G9</f>
        <v>1.3009191428571429</v>
      </c>
      <c r="Q9" s="533">
        <f t="shared" si="5"/>
        <v>1.0007070329670331</v>
      </c>
      <c r="R9" s="653">
        <v>1.1000000000000001</v>
      </c>
      <c r="AA9" s="26" t="str">
        <f t="shared" ref="AA9:AA18" si="7">TEXT(K9,"¥0")</f>
        <v>¥287368</v>
      </c>
      <c r="AC9" s="651">
        <v>3</v>
      </c>
      <c r="AD9" s="27">
        <f t="shared" si="6"/>
        <v>1.0833290000000001E-3</v>
      </c>
      <c r="AE9" s="28">
        <v>8.3333000000000004E-2</v>
      </c>
      <c r="AF9" s="31"/>
    </row>
    <row r="10" spans="1:33" ht="23" outlineLevel="1">
      <c r="A10" s="1"/>
      <c r="B10" s="32"/>
      <c r="C10" s="11"/>
      <c r="D10" s="12"/>
      <c r="E10" s="20" t="s">
        <v>32</v>
      </c>
      <c r="F10" s="21">
        <f>COUNTIF(D111:D140,1)</f>
        <v>25</v>
      </c>
      <c r="G10" s="22">
        <f t="shared" si="1"/>
        <v>5526315.7894736836</v>
      </c>
      <c r="H10" s="23">
        <v>1.3</v>
      </c>
      <c r="I10" s="724">
        <f t="shared" si="2"/>
        <v>7184210.5263157887</v>
      </c>
      <c r="J10" s="725"/>
      <c r="K10" s="726">
        <f t="shared" si="3"/>
        <v>287368.42105263157</v>
      </c>
      <c r="L10" s="727"/>
      <c r="M10" s="30">
        <f>SUM(J111:J140)</f>
        <v>7232940</v>
      </c>
      <c r="N10" s="728">
        <f t="shared" si="4"/>
        <v>48729.473684211262</v>
      </c>
      <c r="O10" s="729"/>
      <c r="P10" s="531">
        <f t="shared" si="0"/>
        <v>1.3088177142857145</v>
      </c>
      <c r="Q10" s="533">
        <f t="shared" si="5"/>
        <v>1.0067828571428572</v>
      </c>
      <c r="R10" s="653">
        <v>1.1000000000000001</v>
      </c>
      <c r="AA10" s="26" t="str">
        <f t="shared" si="7"/>
        <v>¥287368</v>
      </c>
      <c r="AC10" s="651">
        <v>4</v>
      </c>
      <c r="AD10" s="27">
        <f t="shared" si="6"/>
        <v>1.0833290000000001E-3</v>
      </c>
      <c r="AE10" s="28">
        <v>8.3333000000000004E-2</v>
      </c>
      <c r="AF10" s="31"/>
    </row>
    <row r="11" spans="1:33" ht="23" outlineLevel="1">
      <c r="A11" s="1"/>
      <c r="B11" s="32"/>
      <c r="C11" s="11"/>
      <c r="D11" s="12"/>
      <c r="E11" s="20" t="s">
        <v>33</v>
      </c>
      <c r="F11" s="21">
        <f>COUNTIF(D141:D171,1)</f>
        <v>24</v>
      </c>
      <c r="G11" s="22">
        <f t="shared" si="1"/>
        <v>5305263.1578947362</v>
      </c>
      <c r="H11" s="23">
        <v>1.1000000000000001</v>
      </c>
      <c r="I11" s="724">
        <f t="shared" si="2"/>
        <v>5835789.4736842103</v>
      </c>
      <c r="J11" s="725"/>
      <c r="K11" s="726">
        <f t="shared" si="3"/>
        <v>243157.89473684211</v>
      </c>
      <c r="L11" s="727"/>
      <c r="M11" s="30">
        <f>SUM(J141:J171)</f>
        <v>5931330</v>
      </c>
      <c r="N11" s="728">
        <f t="shared" si="4"/>
        <v>95540.52631578967</v>
      </c>
      <c r="O11" s="729"/>
      <c r="P11" s="531">
        <f t="shared" si="0"/>
        <v>1.1180086309523811</v>
      </c>
      <c r="Q11" s="533">
        <f t="shared" si="5"/>
        <v>1.0163714826839827</v>
      </c>
      <c r="R11" s="653">
        <v>0.8</v>
      </c>
      <c r="AA11" s="26" t="str">
        <f t="shared" si="7"/>
        <v>¥243158</v>
      </c>
      <c r="AC11" s="652">
        <v>5</v>
      </c>
      <c r="AD11" s="27">
        <f t="shared" si="6"/>
        <v>9.1666300000000018E-4</v>
      </c>
      <c r="AE11" s="28">
        <v>8.3333000000000004E-2</v>
      </c>
    </row>
    <row r="12" spans="1:33" ht="23" outlineLevel="1">
      <c r="A12" s="1"/>
      <c r="B12" s="32"/>
      <c r="C12" s="11"/>
      <c r="D12" s="12"/>
      <c r="E12" s="20" t="s">
        <v>34</v>
      </c>
      <c r="F12" s="21">
        <f>COUNTIF(D172:D201,1)</f>
        <v>25</v>
      </c>
      <c r="G12" s="22">
        <f t="shared" si="1"/>
        <v>5526315.7894736836</v>
      </c>
      <c r="H12" s="23">
        <v>1.1000000000000001</v>
      </c>
      <c r="I12" s="724">
        <f t="shared" si="2"/>
        <v>6078947.3684210526</v>
      </c>
      <c r="J12" s="725"/>
      <c r="K12" s="726">
        <f t="shared" si="3"/>
        <v>243157.89473684211</v>
      </c>
      <c r="L12" s="727"/>
      <c r="M12" s="30">
        <f>SUM(J172:J201)</f>
        <v>5714340</v>
      </c>
      <c r="N12" s="728">
        <f t="shared" si="4"/>
        <v>-364607.36842105258</v>
      </c>
      <c r="O12" s="729"/>
      <c r="P12" s="531">
        <f t="shared" si="0"/>
        <v>1.0340234285714287</v>
      </c>
      <c r="Q12" s="533">
        <f t="shared" si="5"/>
        <v>0.94002129870129869</v>
      </c>
      <c r="R12" s="653">
        <v>0.85</v>
      </c>
      <c r="AA12" s="26" t="str">
        <f t="shared" si="7"/>
        <v>¥243158</v>
      </c>
      <c r="AC12" s="651">
        <v>6</v>
      </c>
      <c r="AD12" s="27">
        <f t="shared" si="6"/>
        <v>9.1666300000000018E-4</v>
      </c>
      <c r="AE12" s="28">
        <v>8.3333000000000004E-2</v>
      </c>
    </row>
    <row r="13" spans="1:33" ht="23" outlineLevel="1">
      <c r="A13" s="1"/>
      <c r="B13" s="11"/>
      <c r="C13" s="11"/>
      <c r="D13" s="12"/>
      <c r="E13" s="20" t="s">
        <v>35</v>
      </c>
      <c r="F13" s="21">
        <f>COUNTIF(D202:D232,1)</f>
        <v>26</v>
      </c>
      <c r="G13" s="22">
        <f t="shared" si="1"/>
        <v>5747368.421052631</v>
      </c>
      <c r="H13" s="23">
        <v>0.9</v>
      </c>
      <c r="I13" s="724">
        <f t="shared" si="2"/>
        <v>5172631.5789473681</v>
      </c>
      <c r="J13" s="725"/>
      <c r="K13" s="726">
        <f t="shared" si="3"/>
        <v>198947.36842105261</v>
      </c>
      <c r="L13" s="727"/>
      <c r="M13" s="30">
        <f>SUM(J202:J232)</f>
        <v>5338530</v>
      </c>
      <c r="N13" s="728">
        <f t="shared" si="4"/>
        <v>165898.42105263192</v>
      </c>
      <c r="O13" s="729"/>
      <c r="P13" s="531">
        <f t="shared" si="0"/>
        <v>0.92886510989010995</v>
      </c>
      <c r="Q13" s="533">
        <f t="shared" si="5"/>
        <v>1.0320723443223443</v>
      </c>
      <c r="R13" s="653">
        <v>0.9</v>
      </c>
      <c r="AA13" s="26" t="str">
        <f t="shared" si="7"/>
        <v>¥198947</v>
      </c>
      <c r="AC13" s="651">
        <v>7</v>
      </c>
      <c r="AD13" s="27">
        <f t="shared" si="6"/>
        <v>7.4999700000000008E-4</v>
      </c>
      <c r="AE13" s="28">
        <v>8.3333000000000004E-2</v>
      </c>
      <c r="AF13" s="1"/>
    </row>
    <row r="14" spans="1:33" ht="23" outlineLevel="1">
      <c r="A14" s="1"/>
      <c r="B14" s="11"/>
      <c r="C14" s="11"/>
      <c r="D14" s="12"/>
      <c r="E14" s="20" t="s">
        <v>36</v>
      </c>
      <c r="F14" s="21">
        <f>COUNTIF(D233:D263,1)</f>
        <v>20</v>
      </c>
      <c r="G14" s="22">
        <f t="shared" si="1"/>
        <v>4421052.6315789474</v>
      </c>
      <c r="H14" s="23">
        <v>0.5</v>
      </c>
      <c r="I14" s="724">
        <f t="shared" si="2"/>
        <v>2210526.3157894737</v>
      </c>
      <c r="J14" s="725"/>
      <c r="K14" s="726">
        <f t="shared" si="3"/>
        <v>110526.31578947368</v>
      </c>
      <c r="L14" s="727"/>
      <c r="M14" s="30">
        <f>SUM(J233:J263)</f>
        <v>2414310</v>
      </c>
      <c r="N14" s="728">
        <f t="shared" si="4"/>
        <v>203783.68421052629</v>
      </c>
      <c r="O14" s="729"/>
      <c r="P14" s="531">
        <f t="shared" si="0"/>
        <v>0.54609392857142858</v>
      </c>
      <c r="Q14" s="533">
        <f t="shared" si="5"/>
        <v>1.0921878571428572</v>
      </c>
      <c r="R14" s="653">
        <v>1</v>
      </c>
      <c r="Y14" s="1"/>
      <c r="Z14" s="1"/>
      <c r="AA14" s="26" t="str">
        <f t="shared" si="7"/>
        <v>¥110526</v>
      </c>
      <c r="AB14" s="1"/>
      <c r="AC14" s="651">
        <v>8</v>
      </c>
      <c r="AD14" s="27">
        <f t="shared" si="6"/>
        <v>4.1666500000000004E-4</v>
      </c>
      <c r="AE14" s="28">
        <v>8.3333000000000004E-2</v>
      </c>
      <c r="AF14" s="1"/>
    </row>
    <row r="15" spans="1:33" ht="23" outlineLevel="1">
      <c r="A15" s="1"/>
      <c r="B15" s="11"/>
      <c r="C15" s="11"/>
      <c r="D15" s="12"/>
      <c r="E15" s="20" t="s">
        <v>37</v>
      </c>
      <c r="F15" s="21">
        <f>COUNTIF(D264:D293,1)</f>
        <v>23</v>
      </c>
      <c r="G15" s="22">
        <f t="shared" si="1"/>
        <v>5084210.5263157897</v>
      </c>
      <c r="H15" s="23">
        <v>0.6</v>
      </c>
      <c r="I15" s="724">
        <f t="shared" si="2"/>
        <v>3050526.3157894737</v>
      </c>
      <c r="J15" s="725"/>
      <c r="K15" s="726">
        <f t="shared" si="3"/>
        <v>132631.57894736843</v>
      </c>
      <c r="L15" s="727"/>
      <c r="M15" s="30">
        <f>SUM(J264:J293)</f>
        <v>3957920</v>
      </c>
      <c r="N15" s="728">
        <f t="shared" si="4"/>
        <v>907393.68421052629</v>
      </c>
      <c r="O15" s="729"/>
      <c r="P15" s="531">
        <f t="shared" si="0"/>
        <v>0.77847287784679087</v>
      </c>
      <c r="Q15" s="533">
        <f t="shared" si="5"/>
        <v>1.2974547964113181</v>
      </c>
      <c r="R15" s="653">
        <v>1</v>
      </c>
      <c r="Y15" s="1"/>
      <c r="Z15" s="1"/>
      <c r="AA15" s="26" t="str">
        <f t="shared" si="7"/>
        <v>¥132632</v>
      </c>
      <c r="AB15" s="1"/>
      <c r="AC15" s="651">
        <v>9</v>
      </c>
      <c r="AD15" s="27">
        <f t="shared" si="6"/>
        <v>4.9999800000000009E-4</v>
      </c>
      <c r="AE15" s="28">
        <v>8.3333000000000004E-2</v>
      </c>
      <c r="AF15" s="1"/>
    </row>
    <row r="16" spans="1:33" ht="23" outlineLevel="1">
      <c r="A16" s="1"/>
      <c r="B16" s="11"/>
      <c r="C16" s="11"/>
      <c r="D16" s="12"/>
      <c r="E16" s="20" t="s">
        <v>38</v>
      </c>
      <c r="F16" s="21">
        <f>COUNTIF(D294:D324,1)</f>
        <v>26</v>
      </c>
      <c r="G16" s="22">
        <f t="shared" si="1"/>
        <v>5747368.421052631</v>
      </c>
      <c r="H16" s="23">
        <v>0.9</v>
      </c>
      <c r="I16" s="724">
        <f t="shared" si="2"/>
        <v>5172631.5789473681</v>
      </c>
      <c r="J16" s="725"/>
      <c r="K16" s="726">
        <f t="shared" si="3"/>
        <v>198947.36842105261</v>
      </c>
      <c r="L16" s="727"/>
      <c r="M16" s="30">
        <f>SUM(J294:J324)</f>
        <v>3844000</v>
      </c>
      <c r="N16" s="728">
        <f t="shared" si="4"/>
        <v>-1328631.5789473681</v>
      </c>
      <c r="O16" s="729"/>
      <c r="P16" s="531">
        <f t="shared" si="0"/>
        <v>0.66882783882783892</v>
      </c>
      <c r="Q16" s="533">
        <f t="shared" si="5"/>
        <v>0.74314204314204324</v>
      </c>
      <c r="R16" s="653">
        <v>1.1000000000000001</v>
      </c>
      <c r="Y16" s="1"/>
      <c r="Z16" s="1"/>
      <c r="AA16" s="26" t="str">
        <f t="shared" si="7"/>
        <v>¥198947</v>
      </c>
      <c r="AB16" s="1"/>
      <c r="AC16" s="651">
        <v>10</v>
      </c>
      <c r="AD16" s="27">
        <f t="shared" si="6"/>
        <v>7.4999700000000008E-4</v>
      </c>
      <c r="AE16" s="28">
        <v>8.3333000000000004E-2</v>
      </c>
      <c r="AF16" s="1"/>
      <c r="AG16" s="31"/>
    </row>
    <row r="17" spans="1:33" ht="23" outlineLevel="1">
      <c r="A17" s="1"/>
      <c r="B17" s="11"/>
      <c r="C17" s="11"/>
      <c r="D17" s="12"/>
      <c r="E17" s="20" t="s">
        <v>39</v>
      </c>
      <c r="F17" s="21">
        <f>COUNTIF(D325:D354,1)</f>
        <v>23</v>
      </c>
      <c r="G17" s="22">
        <f t="shared" si="1"/>
        <v>5084210.5263157897</v>
      </c>
      <c r="H17" s="23">
        <v>1</v>
      </c>
      <c r="I17" s="724">
        <f t="shared" si="2"/>
        <v>5084210.5263157897</v>
      </c>
      <c r="J17" s="725"/>
      <c r="K17" s="726">
        <f t="shared" si="3"/>
        <v>221052.63157894739</v>
      </c>
      <c r="L17" s="727"/>
      <c r="M17" s="30">
        <f>SUM(J325:J354)</f>
        <v>3789140</v>
      </c>
      <c r="N17" s="728">
        <f t="shared" si="4"/>
        <v>-1295070.5263157897</v>
      </c>
      <c r="O17" s="729"/>
      <c r="P17" s="531">
        <f t="shared" si="0"/>
        <v>0.74527598343685297</v>
      </c>
      <c r="Q17" s="533">
        <f t="shared" si="5"/>
        <v>0.74527598343685297</v>
      </c>
      <c r="R17" s="653">
        <v>1.2</v>
      </c>
      <c r="X17" s="1"/>
      <c r="Y17" s="1"/>
      <c r="Z17" s="1"/>
      <c r="AA17" s="26" t="str">
        <f t="shared" si="7"/>
        <v>¥221053</v>
      </c>
      <c r="AB17" s="1"/>
      <c r="AC17" s="651">
        <v>11</v>
      </c>
      <c r="AD17" s="27">
        <f t="shared" si="6"/>
        <v>8.3333000000000007E-4</v>
      </c>
      <c r="AE17" s="28">
        <v>8.3333000000000004E-2</v>
      </c>
      <c r="AF17" s="1"/>
      <c r="AG17" s="31"/>
    </row>
    <row r="18" spans="1:33" ht="23" outlineLevel="1">
      <c r="A18" s="1"/>
      <c r="B18" s="11"/>
      <c r="C18" s="11"/>
      <c r="D18" s="12"/>
      <c r="E18" s="20" t="s">
        <v>40</v>
      </c>
      <c r="F18" s="21">
        <f>COUNTIF(D355:D385,1)</f>
        <v>24</v>
      </c>
      <c r="G18" s="22">
        <f t="shared" si="1"/>
        <v>5305263.1578947362</v>
      </c>
      <c r="H18" s="23">
        <v>1.1000000000000001</v>
      </c>
      <c r="I18" s="724">
        <f t="shared" si="2"/>
        <v>5835789.4736842103</v>
      </c>
      <c r="J18" s="725"/>
      <c r="K18" s="726">
        <f t="shared" si="3"/>
        <v>243157.89473684211</v>
      </c>
      <c r="L18" s="727"/>
      <c r="M18" s="30">
        <f>SUM(J355:J385)</f>
        <v>0</v>
      </c>
      <c r="N18" s="728">
        <f t="shared" si="4"/>
        <v>-5835789.4736842103</v>
      </c>
      <c r="O18" s="729"/>
      <c r="P18" s="531">
        <f t="shared" si="0"/>
        <v>0</v>
      </c>
      <c r="Q18" s="533">
        <f t="shared" si="5"/>
        <v>0</v>
      </c>
      <c r="R18" s="653">
        <v>1.25</v>
      </c>
      <c r="T18" s="1"/>
      <c r="V18" s="11"/>
      <c r="W18" s="11"/>
      <c r="X18" s="1"/>
      <c r="Y18" s="1"/>
      <c r="Z18" s="1"/>
      <c r="AA18" s="26" t="str">
        <f t="shared" si="7"/>
        <v>¥243158</v>
      </c>
      <c r="AB18" s="1"/>
      <c r="AC18" s="651">
        <v>12</v>
      </c>
      <c r="AD18" s="27">
        <f t="shared" si="6"/>
        <v>9.1666300000000018E-4</v>
      </c>
      <c r="AE18" s="28">
        <v>8.3333000000000004E-2</v>
      </c>
      <c r="AF18" s="1"/>
      <c r="AG18" s="31"/>
    </row>
    <row r="19" spans="1:33" ht="10.25" customHeight="1">
      <c r="A19" s="1"/>
      <c r="B19" s="11"/>
      <c r="C19" s="11"/>
      <c r="D19" s="12"/>
      <c r="E19" s="11"/>
      <c r="F19" s="33"/>
      <c r="G19" s="11"/>
      <c r="H19" s="11"/>
      <c r="I19" s="34"/>
      <c r="J19" s="11"/>
      <c r="K19" s="11"/>
      <c r="L19" s="11"/>
      <c r="M19" s="11"/>
      <c r="N19" s="11"/>
      <c r="O19" s="11"/>
      <c r="P19" s="11"/>
      <c r="Q19" s="11"/>
      <c r="R19" s="11"/>
      <c r="S19" s="11"/>
      <c r="T19" s="11"/>
      <c r="U19" s="11"/>
      <c r="V19" s="11"/>
      <c r="W19" s="11"/>
      <c r="X19" s="1"/>
      <c r="Y19" s="1"/>
      <c r="Z19" s="1"/>
      <c r="AB19" s="1"/>
      <c r="AC19" s="1"/>
      <c r="AD19" s="1"/>
      <c r="AE19" s="1"/>
      <c r="AF19" s="1"/>
      <c r="AG19" s="1"/>
    </row>
    <row r="20" spans="1:33" ht="20">
      <c r="A20" s="1"/>
      <c r="B20" s="11"/>
      <c r="C20" s="35"/>
      <c r="D20" s="36"/>
      <c r="E20" s="37" t="s">
        <v>19</v>
      </c>
      <c r="F20" s="37" t="s">
        <v>41</v>
      </c>
      <c r="G20" s="38" t="s">
        <v>42</v>
      </c>
      <c r="H20" s="39" t="s">
        <v>43</v>
      </c>
      <c r="I20" s="40"/>
      <c r="J20" s="41" t="s">
        <v>44</v>
      </c>
      <c r="K20" s="40"/>
      <c r="L20" s="42" t="s">
        <v>45</v>
      </c>
      <c r="M20" s="43" t="s">
        <v>4</v>
      </c>
      <c r="N20" s="35" t="s">
        <v>46</v>
      </c>
      <c r="O20" s="44"/>
      <c r="P20" s="45" t="s">
        <v>47</v>
      </c>
      <c r="Q20" s="37" t="s">
        <v>48</v>
      </c>
      <c r="R20" s="39" t="s">
        <v>49</v>
      </c>
      <c r="S20" s="46" t="s">
        <v>50</v>
      </c>
      <c r="T20" s="47"/>
      <c r="U20" s="45" t="s">
        <v>51</v>
      </c>
      <c r="V20" s="37" t="s">
        <v>52</v>
      </c>
      <c r="W20" s="48" t="s">
        <v>53</v>
      </c>
      <c r="X20" s="49" t="s">
        <v>54</v>
      </c>
      <c r="Y20" s="1"/>
      <c r="Z20" s="1"/>
      <c r="AA20" s="548" t="s">
        <v>308</v>
      </c>
      <c r="AB20" s="548" t="s">
        <v>309</v>
      </c>
      <c r="AC20" s="548" t="s">
        <v>310</v>
      </c>
      <c r="AD20" s="549" t="s">
        <v>311</v>
      </c>
      <c r="AE20" s="550" t="s">
        <v>312</v>
      </c>
      <c r="AF20" s="550" t="s">
        <v>313</v>
      </c>
      <c r="AG20" s="1"/>
    </row>
    <row r="21" spans="1:33" ht="20">
      <c r="A21" s="1"/>
      <c r="B21" s="12"/>
      <c r="C21" s="50">
        <v>1</v>
      </c>
      <c r="D21" s="51">
        <v>0</v>
      </c>
      <c r="E21" s="52">
        <f>MONTH(Y21)</f>
        <v>1</v>
      </c>
      <c r="F21" s="53">
        <f>B2</f>
        <v>45658</v>
      </c>
      <c r="G21" s="54" t="str">
        <f>TEXT(Z21,"ddd")</f>
        <v>Wed</v>
      </c>
      <c r="H21" s="55" t="s">
        <v>55</v>
      </c>
      <c r="I21" s="56"/>
      <c r="J21" s="57"/>
      <c r="K21" s="58"/>
      <c r="L21" s="59">
        <f>IF(D21=0,0,IFERROR(SUMIFS($AE$21:$AE$104,$AA$21:$AA$104,$E21,$AB$21:$AB$104,$G21),0))</f>
        <v>0</v>
      </c>
      <c r="M21" s="60">
        <f t="shared" ref="M21:M84" si="8">IF(D21=0,0,J21-L21)</f>
        <v>0</v>
      </c>
      <c r="N21" s="61" t="str">
        <f t="shared" ref="N21:N275" si="9">IFERROR(J21/L21,"¥0")</f>
        <v>¥0</v>
      </c>
      <c r="O21" s="62"/>
      <c r="P21" s="59">
        <f>IF(D21=0,0,$K$7)</f>
        <v>0</v>
      </c>
      <c r="Q21" s="59">
        <f>IF(D21=0,0,$J$21)</f>
        <v>0</v>
      </c>
      <c r="R21" s="63">
        <f t="shared" ref="R21:R84" si="10">IF(D21=0,0,Q21-P21)</f>
        <v>0</v>
      </c>
      <c r="S21" s="64">
        <f>IF(D21=0,0,Q21/P21)</f>
        <v>0</v>
      </c>
      <c r="T21" s="65"/>
      <c r="U21" s="59">
        <f>IF(D21=0,0,$L$21)</f>
        <v>0</v>
      </c>
      <c r="V21" s="59">
        <f>IF(D21=0,0,$J$21)</f>
        <v>0</v>
      </c>
      <c r="W21" s="66">
        <f t="shared" ref="W21:W84" si="11">IF(D21=0,0,V21-U21)</f>
        <v>0</v>
      </c>
      <c r="X21" s="67">
        <f>IF(D21=0,0,V21/U21)</f>
        <v>0</v>
      </c>
      <c r="Y21" s="68">
        <f>B2</f>
        <v>45658</v>
      </c>
      <c r="Z21" s="69">
        <f>B2</f>
        <v>45658</v>
      </c>
      <c r="AA21" s="551">
        <v>1</v>
      </c>
      <c r="AB21" s="552" t="s">
        <v>314</v>
      </c>
      <c r="AC21" s="553">
        <f>IFERROR(AVERAGEIFS(J21:J51,D21:D51,1,G21:G51,"mon"),0)</f>
        <v>299840</v>
      </c>
      <c r="AD21" s="554">
        <f>COUNTIFS(D21:D51,1,G21:G51,"Mon")</f>
        <v>3</v>
      </c>
      <c r="AE21" s="553">
        <f>($I$7*実績_2024R6!AI20)/AD21</f>
        <v>395153.16234896518</v>
      </c>
      <c r="AF21" s="553">
        <f>AD21*AE21</f>
        <v>1185459.4870468955</v>
      </c>
      <c r="AG21" s="555" t="s">
        <v>315</v>
      </c>
    </row>
    <row r="22" spans="1:33" ht="20">
      <c r="A22" s="1"/>
      <c r="B22" s="12"/>
      <c r="C22" s="50">
        <v>2</v>
      </c>
      <c r="D22" s="51">
        <v>0</v>
      </c>
      <c r="E22" s="52">
        <f t="shared" ref="E22:E85" si="12">MONTH(Y22)</f>
        <v>1</v>
      </c>
      <c r="F22" s="53">
        <f t="shared" ref="F22:F85" si="13">F21+1</f>
        <v>45659</v>
      </c>
      <c r="G22" s="54" t="str">
        <f t="shared" ref="G22:G85" si="14">TEXT(Z22,"ddd")</f>
        <v>Thu</v>
      </c>
      <c r="H22" s="55" t="s">
        <v>56</v>
      </c>
      <c r="I22" s="56"/>
      <c r="J22" s="57"/>
      <c r="K22" s="58"/>
      <c r="L22" s="59">
        <f t="shared" ref="L22:L85" si="15">IF(D22=0,0,IFERROR(SUMIFS($AE$21:$AE$104,$AA$21:$AA$104,$E22,$AB$21:$AB$104,$G22),0))</f>
        <v>0</v>
      </c>
      <c r="M22" s="60">
        <f t="shared" si="8"/>
        <v>0</v>
      </c>
      <c r="N22" s="61" t="str">
        <f t="shared" si="9"/>
        <v>¥0</v>
      </c>
      <c r="O22" s="62"/>
      <c r="P22" s="59">
        <f>IF(D22=0,0,SUM($L$21:L22))</f>
        <v>0</v>
      </c>
      <c r="Q22" s="59">
        <f>IF(D22=0,0,SUM($J$21:J22))</f>
        <v>0</v>
      </c>
      <c r="R22" s="63">
        <f t="shared" si="10"/>
        <v>0</v>
      </c>
      <c r="S22" s="64">
        <f t="shared" ref="S22:S85" si="16">IF(D22=0,0,Q22/P22)</f>
        <v>0</v>
      </c>
      <c r="T22" s="65"/>
      <c r="U22" s="59">
        <f>IF(D22=0,0,SUM($L$21:L22))</f>
        <v>0</v>
      </c>
      <c r="V22" s="59">
        <f>IF(D22=0,0,SUM($J$21:J22))</f>
        <v>0</v>
      </c>
      <c r="W22" s="66">
        <f t="shared" si="11"/>
        <v>0</v>
      </c>
      <c r="X22" s="67">
        <f t="shared" ref="X22:X85" si="17">IF(D22=0,0,V22/U22)</f>
        <v>0</v>
      </c>
      <c r="Y22" s="68">
        <f>Y21+1</f>
        <v>45659</v>
      </c>
      <c r="Z22" s="69">
        <f>Z21+1</f>
        <v>45659</v>
      </c>
      <c r="AA22" s="551">
        <v>1</v>
      </c>
      <c r="AB22" s="556" t="s">
        <v>316</v>
      </c>
      <c r="AC22" s="557">
        <f>IFERROR(AVERAGEIFS(J21:J51,D21:D51,1,G21:G51,"tue"),0)</f>
        <v>241427.5</v>
      </c>
      <c r="AD22" s="558">
        <f>COUNTIFS(D21:D51,1,G21:G51,"tue")</f>
        <v>4</v>
      </c>
      <c r="AE22" s="553">
        <f>($I$7*実績_2024R6!AI21)/AD22</f>
        <v>251136.79881159167</v>
      </c>
      <c r="AF22" s="553">
        <f t="shared" ref="AF22:AF26" si="18">AD22*AE22</f>
        <v>1004547.1952463667</v>
      </c>
      <c r="AG22" s="559"/>
    </row>
    <row r="23" spans="1:33" ht="20">
      <c r="A23" s="1"/>
      <c r="B23" s="12"/>
      <c r="C23" s="50">
        <v>3</v>
      </c>
      <c r="D23" s="51">
        <v>0</v>
      </c>
      <c r="E23" s="52">
        <f t="shared" si="12"/>
        <v>1</v>
      </c>
      <c r="F23" s="53">
        <f t="shared" si="13"/>
        <v>45660</v>
      </c>
      <c r="G23" s="54" t="str">
        <f t="shared" si="14"/>
        <v>Fri</v>
      </c>
      <c r="H23" s="55" t="s">
        <v>56</v>
      </c>
      <c r="I23" s="56"/>
      <c r="J23" s="57"/>
      <c r="K23" s="58"/>
      <c r="L23" s="59">
        <f t="shared" si="15"/>
        <v>0</v>
      </c>
      <c r="M23" s="60">
        <f t="shared" si="8"/>
        <v>0</v>
      </c>
      <c r="N23" s="61" t="str">
        <f t="shared" si="9"/>
        <v>¥0</v>
      </c>
      <c r="O23" s="62"/>
      <c r="P23" s="59">
        <f>IF(D23=0,0,SUM($L$21:L23))</f>
        <v>0</v>
      </c>
      <c r="Q23" s="59">
        <f>IF(D23=0,0,SUM($J$21:J23))</f>
        <v>0</v>
      </c>
      <c r="R23" s="63">
        <f t="shared" si="10"/>
        <v>0</v>
      </c>
      <c r="S23" s="64">
        <f t="shared" si="16"/>
        <v>0</v>
      </c>
      <c r="T23" s="65"/>
      <c r="U23" s="59">
        <f>IF(D23=0,0,SUM($L$21:L23))</f>
        <v>0</v>
      </c>
      <c r="V23" s="59">
        <f>IF(D23=0,0,SUM($J$21:J23))</f>
        <v>0</v>
      </c>
      <c r="W23" s="66">
        <f t="shared" si="11"/>
        <v>0</v>
      </c>
      <c r="X23" s="67">
        <f t="shared" si="17"/>
        <v>0</v>
      </c>
      <c r="Y23" s="68">
        <f t="shared" ref="Y23:Z38" si="19">Y22+1</f>
        <v>45660</v>
      </c>
      <c r="Z23" s="69">
        <f t="shared" si="19"/>
        <v>45660</v>
      </c>
      <c r="AA23" s="551">
        <v>1</v>
      </c>
      <c r="AB23" s="556" t="s">
        <v>317</v>
      </c>
      <c r="AC23" s="560">
        <f>IFERROR(AVERAGEIFS(J21:J51,D21:D51,1,G21:G51,"wed"),0)</f>
        <v>230592.5</v>
      </c>
      <c r="AD23" s="558">
        <f>COUNTIFS(D21:D51,1,G21:G51,"wed")</f>
        <v>4</v>
      </c>
      <c r="AE23" s="553">
        <f>IFERROR(($I$7*実績_2024R6!AI22)/AD23,0)</f>
        <v>282865.7900620742</v>
      </c>
      <c r="AF23" s="553">
        <f t="shared" si="18"/>
        <v>1131463.1602482968</v>
      </c>
      <c r="AG23" s="555"/>
    </row>
    <row r="24" spans="1:33" ht="20">
      <c r="A24" s="1"/>
      <c r="B24" s="12"/>
      <c r="C24" s="50">
        <v>4</v>
      </c>
      <c r="D24" s="51">
        <v>0</v>
      </c>
      <c r="E24" s="52">
        <f t="shared" si="12"/>
        <v>1</v>
      </c>
      <c r="F24" s="53">
        <f t="shared" si="13"/>
        <v>45661</v>
      </c>
      <c r="G24" s="54" t="str">
        <f t="shared" si="14"/>
        <v>Sat</v>
      </c>
      <c r="H24" s="55" t="s">
        <v>57</v>
      </c>
      <c r="I24" s="56"/>
      <c r="J24" s="57"/>
      <c r="K24" s="58"/>
      <c r="L24" s="59">
        <f t="shared" si="15"/>
        <v>0</v>
      </c>
      <c r="M24" s="60">
        <f t="shared" si="8"/>
        <v>0</v>
      </c>
      <c r="N24" s="61" t="str">
        <f t="shared" si="9"/>
        <v>¥0</v>
      </c>
      <c r="O24" s="62"/>
      <c r="P24" s="59">
        <f>IF(D24=0,0,SUM($L$21:L24))</f>
        <v>0</v>
      </c>
      <c r="Q24" s="59">
        <f>IF(D24=0,0,SUM($J$21:J24))</f>
        <v>0</v>
      </c>
      <c r="R24" s="63">
        <f t="shared" si="10"/>
        <v>0</v>
      </c>
      <c r="S24" s="64">
        <f t="shared" si="16"/>
        <v>0</v>
      </c>
      <c r="T24" s="70"/>
      <c r="U24" s="59">
        <f>IF(D24=0,0,SUM($L$21:L24))</f>
        <v>0</v>
      </c>
      <c r="V24" s="59">
        <f>IF(D24=0,0,SUM($J$21:J24))</f>
        <v>0</v>
      </c>
      <c r="W24" s="66">
        <f t="shared" si="11"/>
        <v>0</v>
      </c>
      <c r="X24" s="67">
        <f t="shared" si="17"/>
        <v>0</v>
      </c>
      <c r="Y24" s="68">
        <f t="shared" si="19"/>
        <v>45661</v>
      </c>
      <c r="Z24" s="69">
        <f t="shared" si="19"/>
        <v>45661</v>
      </c>
      <c r="AA24" s="551">
        <v>1</v>
      </c>
      <c r="AB24" s="556" t="s">
        <v>318</v>
      </c>
      <c r="AC24" s="560">
        <f>IFERROR(AVERAGEIFS(J21:J51,D21:D51,1,G21:G51,"thu"),0)</f>
        <v>392675</v>
      </c>
      <c r="AD24" s="558">
        <f>COUNTIFS(D21:D51,1,G21:G51,"thu")</f>
        <v>4</v>
      </c>
      <c r="AE24" s="553">
        <f>($I$7*実績_2024R6!AI23)/AD24</f>
        <v>196518.51866093089</v>
      </c>
      <c r="AF24" s="553">
        <f t="shared" si="18"/>
        <v>786074.07464372355</v>
      </c>
      <c r="AG24" s="555"/>
    </row>
    <row r="25" spans="1:33" ht="20">
      <c r="A25" s="1"/>
      <c r="B25" s="12"/>
      <c r="C25" s="50">
        <v>5</v>
      </c>
      <c r="D25" s="51">
        <v>0</v>
      </c>
      <c r="E25" s="52">
        <f t="shared" si="12"/>
        <v>1</v>
      </c>
      <c r="F25" s="53">
        <f t="shared" si="13"/>
        <v>45662</v>
      </c>
      <c r="G25" s="54" t="str">
        <f t="shared" si="14"/>
        <v>Sun</v>
      </c>
      <c r="H25" s="55" t="s">
        <v>58</v>
      </c>
      <c r="I25" s="56"/>
      <c r="J25" s="57"/>
      <c r="K25" s="58"/>
      <c r="L25" s="59">
        <f t="shared" si="15"/>
        <v>0</v>
      </c>
      <c r="M25" s="60">
        <f t="shared" si="8"/>
        <v>0</v>
      </c>
      <c r="N25" s="61" t="str">
        <f t="shared" si="9"/>
        <v>¥0</v>
      </c>
      <c r="O25" s="62"/>
      <c r="P25" s="59">
        <f>IF(D25=0,0,SUM($L$21:L25))</f>
        <v>0</v>
      </c>
      <c r="Q25" s="59">
        <f>IF(D25=0,0,SUM($J$21:J25))</f>
        <v>0</v>
      </c>
      <c r="R25" s="63">
        <f t="shared" si="10"/>
        <v>0</v>
      </c>
      <c r="S25" s="64">
        <f t="shared" si="16"/>
        <v>0</v>
      </c>
      <c r="T25" s="65"/>
      <c r="U25" s="59">
        <f>IF(D25=0,0,SUM($L$21:L25))</f>
        <v>0</v>
      </c>
      <c r="V25" s="59">
        <f>IF(D25=0,0,SUM($J$21:J25))</f>
        <v>0</v>
      </c>
      <c r="W25" s="66">
        <f t="shared" si="11"/>
        <v>0</v>
      </c>
      <c r="X25" s="67">
        <f t="shared" si="17"/>
        <v>0</v>
      </c>
      <c r="Y25" s="68">
        <f t="shared" si="19"/>
        <v>45662</v>
      </c>
      <c r="Z25" s="69">
        <f t="shared" si="19"/>
        <v>45662</v>
      </c>
      <c r="AA25" s="551">
        <v>1</v>
      </c>
      <c r="AB25" s="556" t="s">
        <v>319</v>
      </c>
      <c r="AC25" s="560">
        <f>IFERROR(AVERAGEIFS(J21:J51,D21:D51,1,G21:G51,"fri"),0)</f>
        <v>330490</v>
      </c>
      <c r="AD25" s="558">
        <f>COUNTIFS(D21:D51,1,G21:G51,"fri")</f>
        <v>4</v>
      </c>
      <c r="AE25" s="553">
        <f>($I$7*実績_2024R6!AI24)/AD25</f>
        <v>343102.14790231152</v>
      </c>
      <c r="AF25" s="553">
        <f t="shared" si="18"/>
        <v>1372408.5916092461</v>
      </c>
      <c r="AG25" s="555"/>
    </row>
    <row r="26" spans="1:33" ht="20">
      <c r="A26" s="1"/>
      <c r="B26" s="12"/>
      <c r="C26" s="50">
        <v>6</v>
      </c>
      <c r="D26" s="51">
        <v>1</v>
      </c>
      <c r="E26" s="52">
        <f t="shared" si="12"/>
        <v>1</v>
      </c>
      <c r="F26" s="53">
        <f t="shared" si="13"/>
        <v>45663</v>
      </c>
      <c r="G26" s="54" t="str">
        <f t="shared" si="14"/>
        <v>Mon</v>
      </c>
      <c r="H26" s="55"/>
      <c r="I26" s="56"/>
      <c r="J26" s="71">
        <v>349800</v>
      </c>
      <c r="K26" s="72"/>
      <c r="L26" s="59">
        <f t="shared" si="15"/>
        <v>395153.16234896518</v>
      </c>
      <c r="M26" s="60">
        <f t="shared" si="8"/>
        <v>-45353.162348965183</v>
      </c>
      <c r="N26" s="61">
        <f>IFERROR(J26/L26,"¥0")</f>
        <v>0.88522637126483839</v>
      </c>
      <c r="O26" s="62"/>
      <c r="P26" s="59">
        <f>IF(D26=0,0,SUM($L$21:L26))</f>
        <v>395153.16234896518</v>
      </c>
      <c r="Q26" s="59">
        <f>IF(D26=0,0,SUM($J$21:J26))</f>
        <v>349800</v>
      </c>
      <c r="R26" s="63">
        <f t="shared" si="10"/>
        <v>-45353.162348965183</v>
      </c>
      <c r="S26" s="64">
        <f t="shared" si="16"/>
        <v>0.88522637126483839</v>
      </c>
      <c r="T26" s="73"/>
      <c r="U26" s="59">
        <f>IF(D26=0,0,SUM($L$21:L26))</f>
        <v>395153.16234896518</v>
      </c>
      <c r="V26" s="59">
        <f>IF(D26=0,0,SUM($J$21:J26))</f>
        <v>349800</v>
      </c>
      <c r="W26" s="66">
        <f t="shared" si="11"/>
        <v>-45353.162348965183</v>
      </c>
      <c r="X26" s="67">
        <f t="shared" si="17"/>
        <v>0.88522637126483839</v>
      </c>
      <c r="Y26" s="68">
        <f t="shared" si="19"/>
        <v>45663</v>
      </c>
      <c r="Z26" s="69">
        <f t="shared" si="19"/>
        <v>45663</v>
      </c>
      <c r="AA26" s="551">
        <v>1</v>
      </c>
      <c r="AB26" s="556" t="s">
        <v>320</v>
      </c>
      <c r="AC26" s="560">
        <f>IFERROR(AVERAGEIFS(J21:J51,D21:D51,1,G21:G51,"sat"),0)</f>
        <v>108790</v>
      </c>
      <c r="AD26" s="558">
        <f>COUNTIFS(D21:D51,1,G21:G51,"sat")</f>
        <v>3</v>
      </c>
      <c r="AE26" s="553">
        <f>($I$7*実績_2024R6!AI25)/AD26</f>
        <v>118612.32162989391</v>
      </c>
      <c r="AF26" s="553">
        <f t="shared" si="18"/>
        <v>355836.96488968172</v>
      </c>
      <c r="AG26" s="561" t="s">
        <v>321</v>
      </c>
    </row>
    <row r="27" spans="1:33" ht="20">
      <c r="A27" s="1"/>
      <c r="B27" s="12"/>
      <c r="C27" s="50">
        <v>7</v>
      </c>
      <c r="D27" s="51">
        <v>1</v>
      </c>
      <c r="E27" s="52">
        <f t="shared" si="12"/>
        <v>1</v>
      </c>
      <c r="F27" s="53">
        <f t="shared" si="13"/>
        <v>45664</v>
      </c>
      <c r="G27" s="54" t="str">
        <f t="shared" si="14"/>
        <v>Tue</v>
      </c>
      <c r="H27" s="55"/>
      <c r="I27" s="56"/>
      <c r="J27" s="71">
        <v>88530</v>
      </c>
      <c r="K27" s="72"/>
      <c r="L27" s="59">
        <f t="shared" si="15"/>
        <v>251136.79881159167</v>
      </c>
      <c r="M27" s="60">
        <f t="shared" si="8"/>
        <v>-162606.79881159167</v>
      </c>
      <c r="N27" s="61">
        <f t="shared" si="9"/>
        <v>0.35251703620868857</v>
      </c>
      <c r="O27" s="62"/>
      <c r="P27" s="59">
        <f>IF(D27=0,0,SUM($L$21:L27))</f>
        <v>646289.96116055688</v>
      </c>
      <c r="Q27" s="59">
        <f>IF(D27=0,0,SUM($J$21:J27))</f>
        <v>438330</v>
      </c>
      <c r="R27" s="63">
        <f t="shared" si="10"/>
        <v>-207959.96116055688</v>
      </c>
      <c r="S27" s="64">
        <f t="shared" si="16"/>
        <v>0.67822498621652938</v>
      </c>
      <c r="T27" s="73"/>
      <c r="U27" s="59">
        <f>IF(D27=0,0,SUM($L$21:L27))</f>
        <v>646289.96116055688</v>
      </c>
      <c r="V27" s="59">
        <f>IF(D27=0,0,SUM($J$21:J27))</f>
        <v>438330</v>
      </c>
      <c r="W27" s="66">
        <f t="shared" si="11"/>
        <v>-207959.96116055688</v>
      </c>
      <c r="X27" s="67">
        <f t="shared" si="17"/>
        <v>0.67822498621652938</v>
      </c>
      <c r="Y27" s="68">
        <f t="shared" si="19"/>
        <v>45664</v>
      </c>
      <c r="Z27" s="69">
        <f t="shared" si="19"/>
        <v>45664</v>
      </c>
      <c r="AA27" s="551">
        <v>1</v>
      </c>
      <c r="AB27" s="556" t="s">
        <v>322</v>
      </c>
      <c r="AC27" s="560">
        <f>IFERROR(AVERAGEIFS(J21:J51,D21:D51,1,G21:G51,"sun"),0)</f>
        <v>0</v>
      </c>
      <c r="AD27" s="558">
        <f>IFERROR(COUNTIFS(D21:D51,1,G21:G51,"sun"),0)</f>
        <v>0</v>
      </c>
      <c r="AE27" s="553">
        <f>IFERROR(($I$7*実績_2024R6!AI26)/AD27,0)</f>
        <v>0</v>
      </c>
      <c r="AF27" s="562">
        <f>SUM(AF21:AF26)</f>
        <v>5835789.4736842113</v>
      </c>
      <c r="AG27" s="563">
        <f>I7</f>
        <v>5835789.4736842103</v>
      </c>
    </row>
    <row r="28" spans="1:33" ht="20">
      <c r="A28" s="1"/>
      <c r="B28" s="12"/>
      <c r="C28" s="50">
        <v>8</v>
      </c>
      <c r="D28" s="51">
        <v>1</v>
      </c>
      <c r="E28" s="52">
        <f t="shared" si="12"/>
        <v>1</v>
      </c>
      <c r="F28" s="53">
        <f t="shared" si="13"/>
        <v>45665</v>
      </c>
      <c r="G28" s="54" t="str">
        <f t="shared" si="14"/>
        <v>Wed</v>
      </c>
      <c r="H28" s="55"/>
      <c r="I28" s="56"/>
      <c r="J28" s="71">
        <v>177630</v>
      </c>
      <c r="K28" s="72"/>
      <c r="L28" s="59">
        <f t="shared" si="15"/>
        <v>282865.7900620742</v>
      </c>
      <c r="M28" s="60">
        <f t="shared" si="8"/>
        <v>-105235.7900620742</v>
      </c>
      <c r="N28" s="61">
        <f t="shared" si="9"/>
        <v>0.62796565099307178</v>
      </c>
      <c r="O28" s="62"/>
      <c r="P28" s="59">
        <f>IF(D28=0,0,SUM($L$21:L28))</f>
        <v>929155.75122263108</v>
      </c>
      <c r="Q28" s="59">
        <f>IF(D28=0,0,SUM($J$21:J28))</f>
        <v>615960</v>
      </c>
      <c r="R28" s="63">
        <f t="shared" si="10"/>
        <v>-313195.75122263108</v>
      </c>
      <c r="S28" s="64">
        <f t="shared" si="16"/>
        <v>0.66292437967422368</v>
      </c>
      <c r="T28" s="73"/>
      <c r="U28" s="59">
        <f>IF(D28=0,0,SUM($L$21:L28))</f>
        <v>929155.75122263108</v>
      </c>
      <c r="V28" s="59">
        <f>IF(D28=0,0,SUM($J$21:J28))</f>
        <v>615960</v>
      </c>
      <c r="W28" s="66">
        <f t="shared" si="11"/>
        <v>-313195.75122263108</v>
      </c>
      <c r="X28" s="67">
        <f t="shared" si="17"/>
        <v>0.66292437967422368</v>
      </c>
      <c r="Y28" s="68">
        <f t="shared" si="19"/>
        <v>45665</v>
      </c>
      <c r="Z28" s="69">
        <f t="shared" si="19"/>
        <v>45665</v>
      </c>
      <c r="AA28" s="564">
        <v>2</v>
      </c>
      <c r="AB28" s="552" t="s">
        <v>323</v>
      </c>
      <c r="AC28" s="560">
        <f>IFERROR(AVERAGEIFS(J52:J79,D52:D79,1,G52:G79,"mon"),0)</f>
        <v>136670</v>
      </c>
      <c r="AD28" s="558">
        <f>COUNTIFS(D52:D79,1,G52:G79,"Mon")</f>
        <v>3</v>
      </c>
      <c r="AE28" s="557">
        <f>($I$8*実績_2024R6!AI27)/AD28</f>
        <v>224838.76164481696</v>
      </c>
      <c r="AF28" s="553">
        <f>AD28*AE28</f>
        <v>674516.28493445087</v>
      </c>
      <c r="AG28" s="555" t="s">
        <v>324</v>
      </c>
    </row>
    <row r="29" spans="1:33" ht="20">
      <c r="A29" s="1"/>
      <c r="B29" s="12"/>
      <c r="C29" s="50">
        <v>9</v>
      </c>
      <c r="D29" s="51">
        <v>1</v>
      </c>
      <c r="E29" s="52">
        <f t="shared" si="12"/>
        <v>1</v>
      </c>
      <c r="F29" s="53">
        <f t="shared" si="13"/>
        <v>45666</v>
      </c>
      <c r="G29" s="54" t="str">
        <f t="shared" si="14"/>
        <v>Thu</v>
      </c>
      <c r="H29" s="55"/>
      <c r="I29" s="56"/>
      <c r="J29" s="71">
        <v>376670</v>
      </c>
      <c r="K29" s="72"/>
      <c r="L29" s="59">
        <f t="shared" si="15"/>
        <v>196518.51866093089</v>
      </c>
      <c r="M29" s="60">
        <f t="shared" si="8"/>
        <v>180151.48133906911</v>
      </c>
      <c r="N29" s="61">
        <f t="shared" si="9"/>
        <v>1.9167150381888378</v>
      </c>
      <c r="O29" s="62"/>
      <c r="P29" s="59">
        <f>IF(D29=0,0,SUM($L$21:L29))</f>
        <v>1125674.2698835619</v>
      </c>
      <c r="Q29" s="59">
        <f>IF(D29=0,0,SUM($J$21:J29))</f>
        <v>992630</v>
      </c>
      <c r="R29" s="63">
        <f t="shared" si="10"/>
        <v>-133044.26988356188</v>
      </c>
      <c r="S29" s="64">
        <f t="shared" si="16"/>
        <v>0.88180926450657549</v>
      </c>
      <c r="T29" s="73"/>
      <c r="U29" s="59">
        <f>IF(D29=0,0,SUM($L$21:L29))</f>
        <v>1125674.2698835619</v>
      </c>
      <c r="V29" s="59">
        <f>IF(D29=0,0,SUM($J$21:J29))</f>
        <v>992630</v>
      </c>
      <c r="W29" s="66">
        <f t="shared" si="11"/>
        <v>-133044.26988356188</v>
      </c>
      <c r="X29" s="67">
        <f t="shared" si="17"/>
        <v>0.88180926450657549</v>
      </c>
      <c r="Y29" s="68">
        <f t="shared" si="19"/>
        <v>45666</v>
      </c>
      <c r="Z29" s="69">
        <f t="shared" si="19"/>
        <v>45666</v>
      </c>
      <c r="AA29" s="564">
        <v>2</v>
      </c>
      <c r="AB29" s="556" t="s">
        <v>325</v>
      </c>
      <c r="AC29" s="560">
        <f>IFERROR(AVERAGEIFS(J53:J80,D53:D80,1,G53:G80,"tue"),0)</f>
        <v>198143.33333333334</v>
      </c>
      <c r="AD29" s="558">
        <f>COUNTIFS(D52:D79,1,G52:G79,"tue")</f>
        <v>3</v>
      </c>
      <c r="AE29" s="557">
        <f>($I$8*実績_2024R6!AI28)/AD29</f>
        <v>277740.28389819851</v>
      </c>
      <c r="AF29" s="553">
        <f t="shared" ref="AF29:AF33" si="20">AD29*AE29</f>
        <v>833220.85169459553</v>
      </c>
      <c r="AG29" s="555"/>
    </row>
    <row r="30" spans="1:33" ht="20">
      <c r="A30" s="1"/>
      <c r="B30" s="12"/>
      <c r="C30" s="50">
        <v>10</v>
      </c>
      <c r="D30" s="51">
        <v>1</v>
      </c>
      <c r="E30" s="52">
        <f t="shared" si="12"/>
        <v>1</v>
      </c>
      <c r="F30" s="53">
        <f t="shared" si="13"/>
        <v>45667</v>
      </c>
      <c r="G30" s="54" t="str">
        <f t="shared" si="14"/>
        <v>Fri</v>
      </c>
      <c r="H30" s="55"/>
      <c r="I30" s="56"/>
      <c r="J30" s="71">
        <v>377100</v>
      </c>
      <c r="K30" s="72"/>
      <c r="L30" s="59">
        <f t="shared" si="15"/>
        <v>343102.14790231152</v>
      </c>
      <c r="M30" s="60">
        <f t="shared" si="8"/>
        <v>33997.852097688476</v>
      </c>
      <c r="N30" s="61">
        <f t="shared" si="9"/>
        <v>1.0990895927220146</v>
      </c>
      <c r="O30" s="62"/>
      <c r="P30" s="59">
        <f>IF(D30=0,0,SUM($L$21:L30))</f>
        <v>1468776.4177858734</v>
      </c>
      <c r="Q30" s="59">
        <f>IF(D30=0,0,SUM($J$21:J30))</f>
        <v>1369730</v>
      </c>
      <c r="R30" s="63">
        <f t="shared" si="10"/>
        <v>-99046.417785873404</v>
      </c>
      <c r="S30" s="64">
        <f t="shared" si="16"/>
        <v>0.93256535400045282</v>
      </c>
      <c r="T30" s="73"/>
      <c r="U30" s="59">
        <f>IF(D30=0,0,SUM($L$21:L30))</f>
        <v>1468776.4177858734</v>
      </c>
      <c r="V30" s="59">
        <f>IF(D30=0,0,SUM($J$21:J30))</f>
        <v>1369730</v>
      </c>
      <c r="W30" s="66">
        <f t="shared" si="11"/>
        <v>-99046.417785873404</v>
      </c>
      <c r="X30" s="67">
        <f t="shared" si="17"/>
        <v>0.93256535400045282</v>
      </c>
      <c r="Y30" s="68">
        <f t="shared" si="19"/>
        <v>45667</v>
      </c>
      <c r="Z30" s="69">
        <f t="shared" si="19"/>
        <v>45667</v>
      </c>
      <c r="AA30" s="564">
        <v>2</v>
      </c>
      <c r="AB30" s="556" t="s">
        <v>326</v>
      </c>
      <c r="AC30" s="560">
        <f>IFERROR(AVERAGEIFS(J52:J79,D52:D79,1,G52:G79,"wed"),0)</f>
        <v>268685</v>
      </c>
      <c r="AD30" s="558">
        <f>COUNTIFS(D52:D79,1,G52:G79,"wed")</f>
        <v>4</v>
      </c>
      <c r="AE30" s="557">
        <f>($I$8*実績_2024R6!AI29)/AD30</f>
        <v>215570.54328642032</v>
      </c>
      <c r="AF30" s="553">
        <f t="shared" si="20"/>
        <v>862282.17314568127</v>
      </c>
      <c r="AG30" s="555"/>
    </row>
    <row r="31" spans="1:33" ht="20">
      <c r="A31" s="1"/>
      <c r="B31" s="12"/>
      <c r="C31" s="50">
        <v>11</v>
      </c>
      <c r="D31" s="51">
        <v>1</v>
      </c>
      <c r="E31" s="52">
        <f t="shared" si="12"/>
        <v>1</v>
      </c>
      <c r="F31" s="53">
        <f t="shared" si="13"/>
        <v>45668</v>
      </c>
      <c r="G31" s="54" t="str">
        <f t="shared" si="14"/>
        <v>Sat</v>
      </c>
      <c r="H31" s="55"/>
      <c r="I31" s="56"/>
      <c r="J31" s="74">
        <v>66550</v>
      </c>
      <c r="K31" s="75"/>
      <c r="L31" s="59">
        <f t="shared" si="15"/>
        <v>118612.32162989391</v>
      </c>
      <c r="M31" s="60">
        <f t="shared" si="8"/>
        <v>-52062.321629893908</v>
      </c>
      <c r="N31" s="61">
        <f t="shared" si="9"/>
        <v>0.56107155720006896</v>
      </c>
      <c r="O31" s="62"/>
      <c r="P31" s="59">
        <f>IF(D31=0,0,SUM($L$21:L31))</f>
        <v>1587388.7394157674</v>
      </c>
      <c r="Q31" s="59">
        <f>IF(D31=0,0,SUM($J$21:J31))</f>
        <v>1436280</v>
      </c>
      <c r="R31" s="63">
        <f t="shared" si="10"/>
        <v>-151108.73941576737</v>
      </c>
      <c r="S31" s="64">
        <f t="shared" si="16"/>
        <v>0.90480672083425362</v>
      </c>
      <c r="T31" s="73"/>
      <c r="U31" s="59">
        <f>IF(D31=0,0,SUM($L$21:L31))</f>
        <v>1587388.7394157674</v>
      </c>
      <c r="V31" s="59">
        <f>IF(D31=0,0,SUM($J$21:J31))</f>
        <v>1436280</v>
      </c>
      <c r="W31" s="66">
        <f t="shared" si="11"/>
        <v>-151108.73941576737</v>
      </c>
      <c r="X31" s="67">
        <f t="shared" si="17"/>
        <v>0.90480672083425362</v>
      </c>
      <c r="Y31" s="68">
        <f t="shared" si="19"/>
        <v>45668</v>
      </c>
      <c r="Z31" s="69">
        <f t="shared" si="19"/>
        <v>45668</v>
      </c>
      <c r="AA31" s="564">
        <v>2</v>
      </c>
      <c r="AB31" s="556" t="s">
        <v>327</v>
      </c>
      <c r="AC31" s="560">
        <f>IFERROR(AVERAGEIFS(J52:J79,D52:D79,1,G52:G79,"thu"),0)</f>
        <v>369147.5</v>
      </c>
      <c r="AD31" s="558">
        <f>COUNTIFS(D52:D79,1,G52:G79,"thu")</f>
        <v>4</v>
      </c>
      <c r="AE31" s="557">
        <f>($I$8*実績_2024R6!AI30)/AD31</f>
        <v>283656.58169110108</v>
      </c>
      <c r="AF31" s="553">
        <f t="shared" si="20"/>
        <v>1134626.3267644043</v>
      </c>
      <c r="AG31" s="555"/>
    </row>
    <row r="32" spans="1:33" ht="20">
      <c r="A32" s="1"/>
      <c r="B32" s="12"/>
      <c r="C32" s="50">
        <v>12</v>
      </c>
      <c r="D32" s="51">
        <v>0</v>
      </c>
      <c r="E32" s="52">
        <f t="shared" si="12"/>
        <v>1</v>
      </c>
      <c r="F32" s="53">
        <f t="shared" si="13"/>
        <v>45669</v>
      </c>
      <c r="G32" s="54" t="str">
        <f t="shared" si="14"/>
        <v>Sun</v>
      </c>
      <c r="H32" s="55" t="s">
        <v>58</v>
      </c>
      <c r="I32" s="56"/>
      <c r="J32" s="76"/>
      <c r="K32" s="77"/>
      <c r="L32" s="59">
        <f t="shared" si="15"/>
        <v>0</v>
      </c>
      <c r="M32" s="60">
        <f t="shared" si="8"/>
        <v>0</v>
      </c>
      <c r="N32" s="61" t="str">
        <f t="shared" si="9"/>
        <v>¥0</v>
      </c>
      <c r="O32" s="62"/>
      <c r="P32" s="59">
        <f>IF(D32=0,0,SUM($L$21:L32))</f>
        <v>0</v>
      </c>
      <c r="Q32" s="59">
        <f>IF(D32=0,0,SUM($J$21:J32))</f>
        <v>0</v>
      </c>
      <c r="R32" s="63">
        <f t="shared" si="10"/>
        <v>0</v>
      </c>
      <c r="S32" s="64">
        <f t="shared" si="16"/>
        <v>0</v>
      </c>
      <c r="T32" s="78"/>
      <c r="U32" s="59">
        <f>IF(D32=0,0,SUM($L$21:L32))</f>
        <v>0</v>
      </c>
      <c r="V32" s="59">
        <f>IF(D32=0,0,SUM($J$21:J32))</f>
        <v>0</v>
      </c>
      <c r="W32" s="66">
        <f t="shared" si="11"/>
        <v>0</v>
      </c>
      <c r="X32" s="67">
        <f t="shared" si="17"/>
        <v>0</v>
      </c>
      <c r="Y32" s="68">
        <f t="shared" si="19"/>
        <v>45669</v>
      </c>
      <c r="Z32" s="69">
        <f t="shared" si="19"/>
        <v>45669</v>
      </c>
      <c r="AA32" s="564">
        <v>2</v>
      </c>
      <c r="AB32" s="556" t="s">
        <v>328</v>
      </c>
      <c r="AC32" s="560">
        <f>IFERROR(AVERAGEIFS(J52:J79,D52:D79,1,G52:G79,"fri"),0)</f>
        <v>310005</v>
      </c>
      <c r="AD32" s="558">
        <f>COUNTIFS(D52:D79,1,G52:G79,"fri")</f>
        <v>4</v>
      </c>
      <c r="AE32" s="557">
        <f>($I$8*実績_2024R6!AI31)/AD32</f>
        <v>207016.94758665698</v>
      </c>
      <c r="AF32" s="553">
        <f t="shared" si="20"/>
        <v>828067.79034662794</v>
      </c>
      <c r="AG32" s="555"/>
    </row>
    <row r="33" spans="1:33" ht="20">
      <c r="A33" s="1"/>
      <c r="B33" s="11"/>
      <c r="C33" s="50">
        <v>13</v>
      </c>
      <c r="D33" s="51">
        <v>0</v>
      </c>
      <c r="E33" s="52">
        <f t="shared" si="12"/>
        <v>1</v>
      </c>
      <c r="F33" s="53">
        <f t="shared" si="13"/>
        <v>45670</v>
      </c>
      <c r="G33" s="54" t="str">
        <f t="shared" si="14"/>
        <v>Mon</v>
      </c>
      <c r="H33" s="55" t="s">
        <v>59</v>
      </c>
      <c r="I33" s="56"/>
      <c r="J33" s="76"/>
      <c r="K33" s="77"/>
      <c r="L33" s="59">
        <f t="shared" si="15"/>
        <v>0</v>
      </c>
      <c r="M33" s="60">
        <f t="shared" si="8"/>
        <v>0</v>
      </c>
      <c r="N33" s="61" t="str">
        <f t="shared" si="9"/>
        <v>¥0</v>
      </c>
      <c r="O33" s="62"/>
      <c r="P33" s="59">
        <f>IF(D33=0,0,SUM($L$21:L33))</f>
        <v>0</v>
      </c>
      <c r="Q33" s="59">
        <f>IF(D33=0,0,SUM($J$21:J33))</f>
        <v>0</v>
      </c>
      <c r="R33" s="63">
        <f t="shared" si="10"/>
        <v>0</v>
      </c>
      <c r="S33" s="64">
        <f t="shared" si="16"/>
        <v>0</v>
      </c>
      <c r="T33" s="78"/>
      <c r="U33" s="59">
        <f>IF(D33=0,0,SUM($L$21:L33))</f>
        <v>0</v>
      </c>
      <c r="V33" s="59">
        <f>IF(D33=0,0,SUM($J$21:J33))</f>
        <v>0</v>
      </c>
      <c r="W33" s="66">
        <f t="shared" si="11"/>
        <v>0</v>
      </c>
      <c r="X33" s="67">
        <f t="shared" si="17"/>
        <v>0</v>
      </c>
      <c r="Y33" s="68">
        <f t="shared" si="19"/>
        <v>45670</v>
      </c>
      <c r="Z33" s="69">
        <f t="shared" si="19"/>
        <v>45670</v>
      </c>
      <c r="AA33" s="564">
        <v>2</v>
      </c>
      <c r="AB33" s="556" t="s">
        <v>329</v>
      </c>
      <c r="AC33" s="560">
        <f>IFERROR(AVERAGEIFS(J52:J79,D52:D79,1,G52:G79,"sat"),0)</f>
        <v>143220</v>
      </c>
      <c r="AD33" s="558">
        <f>COUNTIFS(D52:D79,1,G52:G79,"sat")</f>
        <v>4</v>
      </c>
      <c r="AE33" s="557">
        <f>($I$8*実績_2024R6!AI32)/AD33</f>
        <v>132611.11696277058</v>
      </c>
      <c r="AF33" s="553">
        <f t="shared" si="20"/>
        <v>530444.46785108233</v>
      </c>
      <c r="AG33" s="561" t="s">
        <v>330</v>
      </c>
    </row>
    <row r="34" spans="1:33" ht="20">
      <c r="A34" s="1"/>
      <c r="B34" s="11"/>
      <c r="C34" s="50">
        <v>14</v>
      </c>
      <c r="D34" s="51">
        <v>1</v>
      </c>
      <c r="E34" s="52">
        <f t="shared" si="12"/>
        <v>1</v>
      </c>
      <c r="F34" s="53">
        <f t="shared" si="13"/>
        <v>45671</v>
      </c>
      <c r="G34" s="54" t="str">
        <f t="shared" si="14"/>
        <v>Tue</v>
      </c>
      <c r="H34" s="55"/>
      <c r="I34" s="56"/>
      <c r="J34" s="71">
        <v>372310</v>
      </c>
      <c r="K34" s="72"/>
      <c r="L34" s="59">
        <f t="shared" si="15"/>
        <v>251136.79881159167</v>
      </c>
      <c r="M34" s="60">
        <f t="shared" si="8"/>
        <v>121173.20118840833</v>
      </c>
      <c r="N34" s="61">
        <f t="shared" si="9"/>
        <v>1.4824987885559342</v>
      </c>
      <c r="O34" s="62"/>
      <c r="P34" s="59">
        <f>IF(D34=0,0,SUM($L$21:L34))</f>
        <v>1838525.5382273591</v>
      </c>
      <c r="Q34" s="59">
        <f>IF(D34=0,0,SUM($J$21:J34))</f>
        <v>1808590</v>
      </c>
      <c r="R34" s="63">
        <f t="shared" si="10"/>
        <v>-29935.538227359066</v>
      </c>
      <c r="S34" s="64">
        <f t="shared" si="16"/>
        <v>0.98371763807196178</v>
      </c>
      <c r="T34" s="73"/>
      <c r="U34" s="59">
        <f>IF(D34=0,0,SUM($L$21:L34))</f>
        <v>1838525.5382273591</v>
      </c>
      <c r="V34" s="59">
        <f>IF(D34=0,0,SUM($J$21:J34))</f>
        <v>1808590</v>
      </c>
      <c r="W34" s="66">
        <f t="shared" si="11"/>
        <v>-29935.538227359066</v>
      </c>
      <c r="X34" s="67">
        <f t="shared" si="17"/>
        <v>0.98371763807196178</v>
      </c>
      <c r="Y34" s="68">
        <f t="shared" si="19"/>
        <v>45671</v>
      </c>
      <c r="Z34" s="69">
        <f t="shared" si="19"/>
        <v>45671</v>
      </c>
      <c r="AA34" s="564">
        <v>2</v>
      </c>
      <c r="AB34" s="556" t="s">
        <v>331</v>
      </c>
      <c r="AC34" s="560">
        <f>IFERROR(AVERAGEIFS(J52:J79,D52:D79,1,G52:G79,"sun"),0)</f>
        <v>0</v>
      </c>
      <c r="AD34" s="558">
        <f>IFERROR(COUNTIFS(D52:D79,1,G52:G79,"sun"),0)</f>
        <v>0</v>
      </c>
      <c r="AE34" s="557">
        <f>IFERROR(($I$8*実績_2024R6!AI33)/AD34,0)</f>
        <v>0</v>
      </c>
      <c r="AF34" s="562">
        <f>SUM(AF28:AF33)</f>
        <v>4863157.8947368413</v>
      </c>
      <c r="AG34" s="563">
        <f>I8</f>
        <v>4863157.8947368423</v>
      </c>
    </row>
    <row r="35" spans="1:33" ht="20">
      <c r="A35" s="1"/>
      <c r="B35" s="11"/>
      <c r="C35" s="50">
        <v>15</v>
      </c>
      <c r="D35" s="51">
        <v>1</v>
      </c>
      <c r="E35" s="52">
        <f t="shared" si="12"/>
        <v>1</v>
      </c>
      <c r="F35" s="53">
        <f t="shared" si="13"/>
        <v>45672</v>
      </c>
      <c r="G35" s="54" t="str">
        <f t="shared" si="14"/>
        <v>Wed</v>
      </c>
      <c r="H35" s="55"/>
      <c r="I35" s="56"/>
      <c r="J35" s="71">
        <v>246200</v>
      </c>
      <c r="K35" s="72"/>
      <c r="L35" s="59">
        <f t="shared" si="15"/>
        <v>282865.7900620742</v>
      </c>
      <c r="M35" s="60">
        <f t="shared" si="8"/>
        <v>-36665.7900620742</v>
      </c>
      <c r="N35" s="61">
        <f t="shared" si="9"/>
        <v>0.87037743215951291</v>
      </c>
      <c r="O35" s="62"/>
      <c r="P35" s="59">
        <f>IF(D35=0,0,SUM($L$21:L35))</f>
        <v>2121391.3282894334</v>
      </c>
      <c r="Q35" s="59">
        <f>IF(D35=0,0,SUM($J$21:J35))</f>
        <v>2054790</v>
      </c>
      <c r="R35" s="63">
        <f t="shared" si="10"/>
        <v>-66601.328289433382</v>
      </c>
      <c r="S35" s="64">
        <f t="shared" si="16"/>
        <v>0.96860488331347294</v>
      </c>
      <c r="T35" s="73"/>
      <c r="U35" s="59">
        <f>IF(D35=0,0,SUM($L$21:L35))</f>
        <v>2121391.3282894334</v>
      </c>
      <c r="V35" s="59">
        <f>IF(D35=0,0,SUM($J$21:J35))</f>
        <v>2054790</v>
      </c>
      <c r="W35" s="66">
        <f t="shared" si="11"/>
        <v>-66601.328289433382</v>
      </c>
      <c r="X35" s="67">
        <f t="shared" si="17"/>
        <v>0.96860488331347294</v>
      </c>
      <c r="Y35" s="68">
        <f t="shared" si="19"/>
        <v>45672</v>
      </c>
      <c r="Z35" s="69">
        <f t="shared" si="19"/>
        <v>45672</v>
      </c>
      <c r="AA35" s="564">
        <v>3</v>
      </c>
      <c r="AB35" s="552" t="s">
        <v>323</v>
      </c>
      <c r="AC35" s="560">
        <f>IFERROR(AVERAGEIFS(J80:J110,D80:D110,1,G80:G110,"mon"),0)</f>
        <v>199934</v>
      </c>
      <c r="AD35" s="558">
        <f>COUNTIFS(D80:D110,1,G80:G110,"Mon")</f>
        <v>5</v>
      </c>
      <c r="AE35" s="557">
        <f>($I$9*実績_2024R6!AI34)/AD35</f>
        <v>203685.44912572671</v>
      </c>
      <c r="AF35" s="553">
        <f>AD35*AE35</f>
        <v>1018427.2456286335</v>
      </c>
      <c r="AG35" s="555" t="s">
        <v>332</v>
      </c>
    </row>
    <row r="36" spans="1:33" ht="20">
      <c r="A36" s="1"/>
      <c r="B36" s="11"/>
      <c r="C36" s="50">
        <v>16</v>
      </c>
      <c r="D36" s="51">
        <v>1</v>
      </c>
      <c r="E36" s="52">
        <f t="shared" si="12"/>
        <v>1</v>
      </c>
      <c r="F36" s="53">
        <f t="shared" si="13"/>
        <v>45673</v>
      </c>
      <c r="G36" s="54" t="str">
        <f t="shared" si="14"/>
        <v>Thu</v>
      </c>
      <c r="H36" s="55"/>
      <c r="I36" s="56"/>
      <c r="J36" s="71">
        <v>400950</v>
      </c>
      <c r="K36" s="72"/>
      <c r="L36" s="59">
        <f t="shared" si="15"/>
        <v>196518.51866093089</v>
      </c>
      <c r="M36" s="60">
        <f t="shared" si="8"/>
        <v>204431.48133906911</v>
      </c>
      <c r="N36" s="61">
        <f t="shared" si="9"/>
        <v>2.040265735423088</v>
      </c>
      <c r="O36" s="62"/>
      <c r="P36" s="59">
        <f>IF(D36=0,0,SUM($L$21:L36))</f>
        <v>2317909.8469503643</v>
      </c>
      <c r="Q36" s="59">
        <f>IF(D36=0,0,SUM($J$21:J36))</f>
        <v>2455740</v>
      </c>
      <c r="R36" s="63">
        <f t="shared" si="10"/>
        <v>137830.1530496357</v>
      </c>
      <c r="S36" s="64">
        <f t="shared" si="16"/>
        <v>1.0594631207210137</v>
      </c>
      <c r="T36" s="73"/>
      <c r="U36" s="59">
        <f>IF(D36=0,0,SUM($L$21:L36))</f>
        <v>2317909.8469503643</v>
      </c>
      <c r="V36" s="59">
        <f>IF(D36=0,0,SUM($J$21:J36))</f>
        <v>2455740</v>
      </c>
      <c r="W36" s="66">
        <f t="shared" si="11"/>
        <v>137830.1530496357</v>
      </c>
      <c r="X36" s="67">
        <f t="shared" si="17"/>
        <v>1.0594631207210137</v>
      </c>
      <c r="Y36" s="68">
        <f t="shared" si="19"/>
        <v>45673</v>
      </c>
      <c r="Z36" s="69">
        <f t="shared" si="19"/>
        <v>45673</v>
      </c>
      <c r="AA36" s="564">
        <v>3</v>
      </c>
      <c r="AB36" s="556" t="s">
        <v>325</v>
      </c>
      <c r="AC36" s="560">
        <f>IFERROR(AVERAGEIFS(J80:J110,D80:D110,1,G80:G110,"tue"),0)</f>
        <v>314582.5</v>
      </c>
      <c r="AD36" s="558">
        <f>COUNTIFS(D80:D110,1,G80:G110,"tue")</f>
        <v>4</v>
      </c>
      <c r="AE36" s="557">
        <f>($I$9*実績_2024R6!AI35)/AD36</f>
        <v>293532.44959379412</v>
      </c>
      <c r="AF36" s="553">
        <f t="shared" ref="AF36:AF40" si="21">AD36*AE36</f>
        <v>1174129.7983751765</v>
      </c>
      <c r="AG36" s="555"/>
    </row>
    <row r="37" spans="1:33" ht="20">
      <c r="A37" s="1"/>
      <c r="B37" s="11"/>
      <c r="C37" s="50">
        <v>17</v>
      </c>
      <c r="D37" s="51">
        <v>1</v>
      </c>
      <c r="E37" s="52">
        <f t="shared" si="12"/>
        <v>1</v>
      </c>
      <c r="F37" s="53">
        <f t="shared" si="13"/>
        <v>45674</v>
      </c>
      <c r="G37" s="54" t="str">
        <f t="shared" si="14"/>
        <v>Fri</v>
      </c>
      <c r="H37" s="55"/>
      <c r="I37" s="56"/>
      <c r="J37" s="71">
        <v>262380</v>
      </c>
      <c r="K37" s="72"/>
      <c r="L37" s="59">
        <f t="shared" si="15"/>
        <v>343102.14790231152</v>
      </c>
      <c r="M37" s="60">
        <f t="shared" si="8"/>
        <v>-80722.147902311524</v>
      </c>
      <c r="N37" s="61">
        <f t="shared" si="9"/>
        <v>0.76472852648740974</v>
      </c>
      <c r="O37" s="62"/>
      <c r="P37" s="59">
        <f>IF(D37=0,0,SUM($L$21:L37))</f>
        <v>2661011.9948526761</v>
      </c>
      <c r="Q37" s="59">
        <f>IF(D37=0,0,SUM($J$21:J37))</f>
        <v>2718120</v>
      </c>
      <c r="R37" s="63">
        <f t="shared" si="10"/>
        <v>57108.005147323944</v>
      </c>
      <c r="S37" s="64">
        <f t="shared" si="16"/>
        <v>1.0214610100434687</v>
      </c>
      <c r="T37" s="73"/>
      <c r="U37" s="59">
        <f>IF(D37=0,0,SUM($L$21:L37))</f>
        <v>2661011.9948526761</v>
      </c>
      <c r="V37" s="59">
        <f>IF(D37=0,0,SUM($J$21:J37))</f>
        <v>2718120</v>
      </c>
      <c r="W37" s="66">
        <f t="shared" si="11"/>
        <v>57108.005147323944</v>
      </c>
      <c r="X37" s="67">
        <f t="shared" si="17"/>
        <v>1.0214610100434687</v>
      </c>
      <c r="Y37" s="68">
        <f t="shared" si="19"/>
        <v>45674</v>
      </c>
      <c r="Z37" s="69">
        <f t="shared" si="19"/>
        <v>45674</v>
      </c>
      <c r="AA37" s="564">
        <v>3</v>
      </c>
      <c r="AB37" s="556" t="s">
        <v>326</v>
      </c>
      <c r="AC37" s="560">
        <f>IFERROR(AVERAGEIFS(J80:J110,D80:D110,1,G80:G110,"wed"),0)</f>
        <v>355035</v>
      </c>
      <c r="AD37" s="558">
        <f>COUNTIFS(D80:D110,1,G80:G110,"wed")</f>
        <v>4</v>
      </c>
      <c r="AE37" s="557">
        <f>($I$9*実績_2024R6!AI36)/AD37</f>
        <v>245154.79242168766</v>
      </c>
      <c r="AF37" s="553">
        <f t="shared" si="21"/>
        <v>980619.16968675063</v>
      </c>
      <c r="AG37" s="555"/>
    </row>
    <row r="38" spans="1:33" ht="20">
      <c r="A38" s="1"/>
      <c r="B38" s="11"/>
      <c r="C38" s="50">
        <v>18</v>
      </c>
      <c r="D38" s="51">
        <v>1</v>
      </c>
      <c r="E38" s="52">
        <f t="shared" si="12"/>
        <v>1</v>
      </c>
      <c r="F38" s="53">
        <f t="shared" si="13"/>
        <v>45675</v>
      </c>
      <c r="G38" s="54" t="str">
        <f t="shared" si="14"/>
        <v>Sat</v>
      </c>
      <c r="H38" s="55"/>
      <c r="I38" s="56"/>
      <c r="J38" s="74">
        <v>137800</v>
      </c>
      <c r="K38" s="75"/>
      <c r="L38" s="59">
        <f t="shared" si="15"/>
        <v>118612.32162989391</v>
      </c>
      <c r="M38" s="60">
        <f t="shared" si="8"/>
        <v>19187.678370106092</v>
      </c>
      <c r="N38" s="61">
        <f t="shared" si="9"/>
        <v>1.1617680027373329</v>
      </c>
      <c r="O38" s="62"/>
      <c r="P38" s="59">
        <f>IF(D38=0,0,SUM($L$21:L38))</f>
        <v>2779624.31648257</v>
      </c>
      <c r="Q38" s="59">
        <f>IF(D38=0,0,SUM($J$21:J38))</f>
        <v>2855920</v>
      </c>
      <c r="R38" s="63">
        <f t="shared" si="10"/>
        <v>76295.683517429978</v>
      </c>
      <c r="S38" s="64">
        <f t="shared" si="16"/>
        <v>1.0274481997675056</v>
      </c>
      <c r="T38" s="73"/>
      <c r="U38" s="59">
        <f>IF(D38=0,0,SUM($L$21:L38))</f>
        <v>2779624.31648257</v>
      </c>
      <c r="V38" s="59">
        <f>IF(D38=0,0,SUM($J$21:J38))</f>
        <v>2855920</v>
      </c>
      <c r="W38" s="66">
        <f t="shared" si="11"/>
        <v>76295.683517429978</v>
      </c>
      <c r="X38" s="67">
        <f t="shared" si="17"/>
        <v>1.0274481997675056</v>
      </c>
      <c r="Y38" s="68">
        <f t="shared" si="19"/>
        <v>45675</v>
      </c>
      <c r="Z38" s="69">
        <f t="shared" si="19"/>
        <v>45675</v>
      </c>
      <c r="AA38" s="564">
        <v>3</v>
      </c>
      <c r="AB38" s="556" t="s">
        <v>327</v>
      </c>
      <c r="AC38" s="560">
        <f>IFERROR(AVERAGEIFS(J80:J110,D80:D110,1,G80:G110,"thu"),0)</f>
        <v>355676.66666666669</v>
      </c>
      <c r="AD38" s="558">
        <f>COUNTIFS(D80:D110,1,G80:G110,"thu")</f>
        <v>3</v>
      </c>
      <c r="AE38" s="557">
        <f>($I$9*実績_2024R6!AI37)/AD38</f>
        <v>457562.97240135906</v>
      </c>
      <c r="AF38" s="553">
        <f t="shared" si="21"/>
        <v>1372688.9172040771</v>
      </c>
      <c r="AG38" s="555"/>
    </row>
    <row r="39" spans="1:33" ht="20">
      <c r="A39" s="1"/>
      <c r="B39" s="11"/>
      <c r="C39" s="50">
        <v>19</v>
      </c>
      <c r="D39" s="51">
        <v>0</v>
      </c>
      <c r="E39" s="52">
        <f t="shared" si="12"/>
        <v>1</v>
      </c>
      <c r="F39" s="53">
        <f t="shared" si="13"/>
        <v>45676</v>
      </c>
      <c r="G39" s="54" t="str">
        <f t="shared" si="14"/>
        <v>Sun</v>
      </c>
      <c r="H39" s="55"/>
      <c r="I39" s="56"/>
      <c r="J39" s="79"/>
      <c r="K39" s="77"/>
      <c r="L39" s="59">
        <f t="shared" si="15"/>
        <v>0</v>
      </c>
      <c r="M39" s="60">
        <f t="shared" si="8"/>
        <v>0</v>
      </c>
      <c r="N39" s="61" t="str">
        <f t="shared" si="9"/>
        <v>¥0</v>
      </c>
      <c r="O39" s="62"/>
      <c r="P39" s="59">
        <f>IF(D39=0,0,SUM($L$21:L39))</f>
        <v>0</v>
      </c>
      <c r="Q39" s="59">
        <f>IF(D39=0,0,SUM($J$21:J39))</f>
        <v>0</v>
      </c>
      <c r="R39" s="63">
        <f t="shared" si="10"/>
        <v>0</v>
      </c>
      <c r="S39" s="64">
        <f t="shared" si="16"/>
        <v>0</v>
      </c>
      <c r="T39" s="78"/>
      <c r="U39" s="59">
        <f>IF(D39=0,0,SUM($L$21:L39))</f>
        <v>0</v>
      </c>
      <c r="V39" s="59">
        <f>IF(D39=0,0,SUM($J$21:J39))</f>
        <v>0</v>
      </c>
      <c r="W39" s="66">
        <f t="shared" si="11"/>
        <v>0</v>
      </c>
      <c r="X39" s="67">
        <f t="shared" si="17"/>
        <v>0</v>
      </c>
      <c r="Y39" s="68">
        <f t="shared" ref="Y39:Z54" si="22">Y38+1</f>
        <v>45676</v>
      </c>
      <c r="Z39" s="69">
        <f t="shared" si="22"/>
        <v>45676</v>
      </c>
      <c r="AA39" s="564">
        <v>3</v>
      </c>
      <c r="AB39" s="556" t="s">
        <v>328</v>
      </c>
      <c r="AC39" s="560">
        <f>IFERROR(AVERAGEIFS(J80:J110,D80:D110,1,G80:G110,"fri"),0)</f>
        <v>406890</v>
      </c>
      <c r="AD39" s="558">
        <f>COUNTIFS(D80:D110,1,G80:G110,"fri")</f>
        <v>4</v>
      </c>
      <c r="AE39" s="557">
        <f>($I$9*実績_2024R6!AI38)/AD39</f>
        <v>448451.04076565971</v>
      </c>
      <c r="AF39" s="553">
        <f t="shared" si="21"/>
        <v>1793804.1630626388</v>
      </c>
      <c r="AG39" s="555"/>
    </row>
    <row r="40" spans="1:33" ht="20">
      <c r="A40" s="1"/>
      <c r="B40" s="11"/>
      <c r="C40" s="50">
        <v>20</v>
      </c>
      <c r="D40" s="51">
        <v>1</v>
      </c>
      <c r="E40" s="52">
        <f t="shared" si="12"/>
        <v>1</v>
      </c>
      <c r="F40" s="53">
        <f t="shared" si="13"/>
        <v>45677</v>
      </c>
      <c r="G40" s="54" t="str">
        <f t="shared" si="14"/>
        <v>Mon</v>
      </c>
      <c r="H40" s="55"/>
      <c r="I40" s="56"/>
      <c r="J40" s="71">
        <v>265910</v>
      </c>
      <c r="K40" s="72"/>
      <c r="L40" s="59">
        <f t="shared" si="15"/>
        <v>395153.16234896518</v>
      </c>
      <c r="M40" s="60">
        <f t="shared" si="8"/>
        <v>-129243.16234896518</v>
      </c>
      <c r="N40" s="61">
        <f t="shared" si="9"/>
        <v>0.67292894334772202</v>
      </c>
      <c r="O40" s="62"/>
      <c r="P40" s="59">
        <f>IF(D40=0,0,SUM($L$21:L40))</f>
        <v>3174777.4788315352</v>
      </c>
      <c r="Q40" s="59">
        <f>IF(D40=0,0,SUM($J$21:J40))</f>
        <v>3121830</v>
      </c>
      <c r="R40" s="63">
        <f t="shared" si="10"/>
        <v>-52947.478831535205</v>
      </c>
      <c r="S40" s="64">
        <f t="shared" si="16"/>
        <v>0.98332245986228228</v>
      </c>
      <c r="T40" s="73"/>
      <c r="U40" s="59">
        <f>IF(D40=0,0,SUM($L$21:L40))</f>
        <v>3174777.4788315352</v>
      </c>
      <c r="V40" s="59">
        <f>IF(D40=0,0,SUM($J$21:J40))</f>
        <v>3121830</v>
      </c>
      <c r="W40" s="66">
        <f t="shared" si="11"/>
        <v>-52947.478831535205</v>
      </c>
      <c r="X40" s="67">
        <f t="shared" si="17"/>
        <v>0.98332245986228228</v>
      </c>
      <c r="Y40" s="68">
        <f t="shared" si="22"/>
        <v>45677</v>
      </c>
      <c r="Z40" s="69">
        <f t="shared" si="22"/>
        <v>45677</v>
      </c>
      <c r="AA40" s="564">
        <v>3</v>
      </c>
      <c r="AB40" s="556" t="s">
        <v>329</v>
      </c>
      <c r="AC40" s="560">
        <f>IFERROR(AVERAGEIFS(J80:J110,D80:D110,1,G80:G110,"sat"),0)</f>
        <v>163312</v>
      </c>
      <c r="AD40" s="558">
        <f>COUNTIFS(D80:D110,1,G80:G110,"sat")</f>
        <v>5</v>
      </c>
      <c r="AE40" s="557">
        <f>($I$9*実績_2024R6!AI39)/AD40</f>
        <v>168908.24647170241</v>
      </c>
      <c r="AF40" s="553">
        <f t="shared" si="21"/>
        <v>844541.232358512</v>
      </c>
      <c r="AG40" s="561" t="s">
        <v>333</v>
      </c>
    </row>
    <row r="41" spans="1:33" ht="20">
      <c r="A41" s="1"/>
      <c r="B41" s="11"/>
      <c r="C41" s="50">
        <v>21</v>
      </c>
      <c r="D41" s="51">
        <v>1</v>
      </c>
      <c r="E41" s="52">
        <f t="shared" si="12"/>
        <v>1</v>
      </c>
      <c r="F41" s="53">
        <f t="shared" si="13"/>
        <v>45678</v>
      </c>
      <c r="G41" s="54" t="str">
        <f t="shared" si="14"/>
        <v>Tue</v>
      </c>
      <c r="H41" s="55"/>
      <c r="I41" s="56"/>
      <c r="J41" s="71">
        <v>175950</v>
      </c>
      <c r="K41" s="72"/>
      <c r="L41" s="59">
        <f t="shared" si="15"/>
        <v>251136.79881159167</v>
      </c>
      <c r="M41" s="60">
        <f t="shared" si="8"/>
        <v>-75186.798811591667</v>
      </c>
      <c r="N41" s="61">
        <f t="shared" si="9"/>
        <v>0.70061417057402864</v>
      </c>
      <c r="O41" s="62"/>
      <c r="P41" s="59">
        <f>IF(D41=0,0,SUM($L$21:L41))</f>
        <v>3425914.2776431269</v>
      </c>
      <c r="Q41" s="59">
        <f>IF(D41=0,0,SUM($J$21:J41))</f>
        <v>3297780</v>
      </c>
      <c r="R41" s="63">
        <f t="shared" si="10"/>
        <v>-128134.2776431269</v>
      </c>
      <c r="S41" s="64">
        <f t="shared" si="16"/>
        <v>0.96259851611603153</v>
      </c>
      <c r="T41" s="73"/>
      <c r="U41" s="59">
        <f>IF(D41=0,0,SUM($L$21:L41))</f>
        <v>3425914.2776431269</v>
      </c>
      <c r="V41" s="59">
        <f>IF(D41=0,0,SUM($J$21:J41))</f>
        <v>3297780</v>
      </c>
      <c r="W41" s="66">
        <f t="shared" si="11"/>
        <v>-128134.2776431269</v>
      </c>
      <c r="X41" s="67">
        <f t="shared" si="17"/>
        <v>0.96259851611603153</v>
      </c>
      <c r="Y41" s="68">
        <f t="shared" si="22"/>
        <v>45678</v>
      </c>
      <c r="Z41" s="69">
        <f t="shared" si="22"/>
        <v>45678</v>
      </c>
      <c r="AA41" s="564">
        <v>3</v>
      </c>
      <c r="AB41" s="556" t="s">
        <v>331</v>
      </c>
      <c r="AC41" s="560">
        <f>IFERROR(AVERAGEIFS(J80:J110,D80:D110,1,G80:G110,"sun"),0)</f>
        <v>0</v>
      </c>
      <c r="AD41" s="558">
        <f>IFERROR(COUNTIFS(D80:D110,1,G80:G110,"sun"),0)</f>
        <v>0</v>
      </c>
      <c r="AE41" s="557">
        <f>IFERROR(($I$9*実績_2024R6!AI40)/AD41,0)</f>
        <v>0</v>
      </c>
      <c r="AF41" s="562">
        <f>SUM(AF35:AF40)</f>
        <v>7184210.5263157878</v>
      </c>
      <c r="AG41" s="563">
        <f>I9</f>
        <v>7184210.5263157887</v>
      </c>
    </row>
    <row r="42" spans="1:33" ht="20">
      <c r="A42" s="1"/>
      <c r="B42" s="11"/>
      <c r="C42" s="50">
        <v>22</v>
      </c>
      <c r="D42" s="51">
        <v>1</v>
      </c>
      <c r="E42" s="52">
        <f t="shared" si="12"/>
        <v>1</v>
      </c>
      <c r="F42" s="53">
        <f t="shared" si="13"/>
        <v>45679</v>
      </c>
      <c r="G42" s="54" t="str">
        <f t="shared" si="14"/>
        <v>Wed</v>
      </c>
      <c r="H42" s="55"/>
      <c r="I42" s="56"/>
      <c r="J42" s="71">
        <v>262170</v>
      </c>
      <c r="K42" s="72"/>
      <c r="L42" s="59">
        <f t="shared" si="15"/>
        <v>282865.7900620742</v>
      </c>
      <c r="M42" s="60">
        <f t="shared" si="8"/>
        <v>-20695.7900620742</v>
      </c>
      <c r="N42" s="61">
        <f t="shared" si="9"/>
        <v>0.92683530214971366</v>
      </c>
      <c r="O42" s="80"/>
      <c r="P42" s="59">
        <f>IF(D42=0,0,SUM($L$21:L42))</f>
        <v>3708780.067705201</v>
      </c>
      <c r="Q42" s="59">
        <f>IF(D42=0,0,SUM($J$21:J42))</f>
        <v>3559950</v>
      </c>
      <c r="R42" s="63">
        <f t="shared" si="10"/>
        <v>-148830.06770520099</v>
      </c>
      <c r="S42" s="64">
        <f t="shared" si="16"/>
        <v>0.95987088342035631</v>
      </c>
      <c r="T42" s="73"/>
      <c r="U42" s="59">
        <f>IF(D42=0,0,SUM($L$21:L42))</f>
        <v>3708780.067705201</v>
      </c>
      <c r="V42" s="59">
        <f>IF(D42=0,0,SUM($J$21:J42))</f>
        <v>3559950</v>
      </c>
      <c r="W42" s="66">
        <f t="shared" si="11"/>
        <v>-148830.06770520099</v>
      </c>
      <c r="X42" s="67">
        <f t="shared" si="17"/>
        <v>0.95987088342035631</v>
      </c>
      <c r="Y42" s="68">
        <f t="shared" si="22"/>
        <v>45679</v>
      </c>
      <c r="Z42" s="69">
        <f t="shared" si="22"/>
        <v>45679</v>
      </c>
      <c r="AA42" s="564">
        <v>4</v>
      </c>
      <c r="AB42" s="552" t="s">
        <v>323</v>
      </c>
      <c r="AC42" s="560">
        <f>IFERROR(AVERAGEIFS(J111:J140,D111:D140,1,G111:G140,"mon"),0)</f>
        <v>244835</v>
      </c>
      <c r="AD42" s="558">
        <f>COUNTIFS(D111:D140,1,G111:G140,"Mon")</f>
        <v>4</v>
      </c>
      <c r="AE42" s="557">
        <f>($I$10*実績_2024R6!AI41)/AD42</f>
        <v>245725.10417145962</v>
      </c>
      <c r="AF42" s="553">
        <f>AD42*AE42</f>
        <v>982900.41668583849</v>
      </c>
      <c r="AG42" s="555" t="s">
        <v>334</v>
      </c>
    </row>
    <row r="43" spans="1:33" ht="20">
      <c r="A43" s="1"/>
      <c r="B43" s="11"/>
      <c r="C43" s="50">
        <v>23</v>
      </c>
      <c r="D43" s="51">
        <v>1</v>
      </c>
      <c r="E43" s="52">
        <f t="shared" si="12"/>
        <v>1</v>
      </c>
      <c r="F43" s="53">
        <f t="shared" si="13"/>
        <v>45680</v>
      </c>
      <c r="G43" s="54" t="str">
        <f t="shared" si="14"/>
        <v>Thu</v>
      </c>
      <c r="H43" s="55"/>
      <c r="I43" s="56"/>
      <c r="J43" s="71">
        <v>342980</v>
      </c>
      <c r="K43" s="72"/>
      <c r="L43" s="59">
        <f t="shared" si="15"/>
        <v>196518.51866093089</v>
      </c>
      <c r="M43" s="60">
        <f t="shared" si="8"/>
        <v>146461.48133906911</v>
      </c>
      <c r="N43" s="61">
        <f t="shared" si="9"/>
        <v>1.7452808129078705</v>
      </c>
      <c r="O43" s="80"/>
      <c r="P43" s="59">
        <f>IF(D43=0,0,SUM($L$21:L43))</f>
        <v>3905298.5863661319</v>
      </c>
      <c r="Q43" s="59">
        <f>IF(D43=0,0,SUM($J$21:J43))</f>
        <v>3902930</v>
      </c>
      <c r="R43" s="63">
        <f t="shared" si="10"/>
        <v>-2368.5863661319017</v>
      </c>
      <c r="S43" s="64">
        <f t="shared" si="16"/>
        <v>0.99939349416856349</v>
      </c>
      <c r="T43" s="73"/>
      <c r="U43" s="59">
        <f>IF(D43=0,0,SUM($L$21:L43))</f>
        <v>3905298.5863661319</v>
      </c>
      <c r="V43" s="59">
        <f>IF(D43=0,0,SUM($J$21:J43))</f>
        <v>3902930</v>
      </c>
      <c r="W43" s="66">
        <f t="shared" si="11"/>
        <v>-2368.5863661319017</v>
      </c>
      <c r="X43" s="67">
        <f t="shared" si="17"/>
        <v>0.99939349416856349</v>
      </c>
      <c r="Y43" s="68">
        <f t="shared" si="22"/>
        <v>45680</v>
      </c>
      <c r="Z43" s="69">
        <f t="shared" si="22"/>
        <v>45680</v>
      </c>
      <c r="AA43" s="564">
        <v>4</v>
      </c>
      <c r="AB43" s="556" t="s">
        <v>325</v>
      </c>
      <c r="AC43" s="560">
        <f>IFERROR(AVERAGEIFS(J111:J140,D111:D140,1,G111:G140,"tue"),0)</f>
        <v>270190</v>
      </c>
      <c r="AD43" s="558">
        <f>COUNTIFS(D111:D140,1,G111:G140,"tue")</f>
        <v>4</v>
      </c>
      <c r="AE43" s="557">
        <f>($I$10*実績_2024R6!AI42)/AD43</f>
        <v>362897.39819603856</v>
      </c>
      <c r="AF43" s="553">
        <f t="shared" ref="AF43:AF47" si="23">AD43*AE43</f>
        <v>1451589.5927841542</v>
      </c>
      <c r="AG43" s="555"/>
    </row>
    <row r="44" spans="1:33" ht="20">
      <c r="A44" s="1"/>
      <c r="B44" s="11"/>
      <c r="C44" s="50">
        <v>24</v>
      </c>
      <c r="D44" s="51">
        <v>1</v>
      </c>
      <c r="E44" s="52">
        <f t="shared" si="12"/>
        <v>1</v>
      </c>
      <c r="F44" s="53">
        <f t="shared" si="13"/>
        <v>45681</v>
      </c>
      <c r="G44" s="54" t="str">
        <f t="shared" si="14"/>
        <v>Fri</v>
      </c>
      <c r="H44" s="55"/>
      <c r="I44" s="56"/>
      <c r="J44" s="71">
        <v>330440</v>
      </c>
      <c r="K44" s="72"/>
      <c r="L44" s="59">
        <f t="shared" si="15"/>
        <v>343102.14790231152</v>
      </c>
      <c r="M44" s="60">
        <f t="shared" si="8"/>
        <v>-12662.147902311524</v>
      </c>
      <c r="N44" s="61">
        <f t="shared" si="9"/>
        <v>0.9630951074491183</v>
      </c>
      <c r="O44" s="80"/>
      <c r="P44" s="59">
        <f>IF(D44=0,0,SUM($L$21:L44))</f>
        <v>4248400.7342684437</v>
      </c>
      <c r="Q44" s="59">
        <f>IF(D44=0,0,SUM($J$21:J44))</f>
        <v>4233370</v>
      </c>
      <c r="R44" s="63">
        <f t="shared" si="10"/>
        <v>-15030.734268443659</v>
      </c>
      <c r="S44" s="64">
        <f t="shared" si="16"/>
        <v>0.99646202531055916</v>
      </c>
      <c r="T44" s="73"/>
      <c r="U44" s="59">
        <f>IF(D44=0,0,SUM($L$21:L44))</f>
        <v>4248400.7342684437</v>
      </c>
      <c r="V44" s="59">
        <f>IF(D44=0,0,SUM($J$21:J44))</f>
        <v>4233370</v>
      </c>
      <c r="W44" s="66">
        <f t="shared" si="11"/>
        <v>-15030.734268443659</v>
      </c>
      <c r="X44" s="67">
        <f t="shared" si="17"/>
        <v>0.99646202531055916</v>
      </c>
      <c r="Y44" s="68">
        <f t="shared" si="22"/>
        <v>45681</v>
      </c>
      <c r="Z44" s="69">
        <f t="shared" si="22"/>
        <v>45681</v>
      </c>
      <c r="AA44" s="564">
        <v>4</v>
      </c>
      <c r="AB44" s="556" t="s">
        <v>326</v>
      </c>
      <c r="AC44" s="560">
        <f>IFERROR(AVERAGEIFS(J111:J140,D111:D140,1,G111:G140,"wed"),0)</f>
        <v>301842</v>
      </c>
      <c r="AD44" s="558">
        <f>COUNTIFS(D111:D140,1,G111:G140,"wed")</f>
        <v>5</v>
      </c>
      <c r="AE44" s="557">
        <f>($I$10*実績_2024R6!AI43)/AD44</f>
        <v>251969.24306974519</v>
      </c>
      <c r="AF44" s="553">
        <f t="shared" si="23"/>
        <v>1259846.2153487259</v>
      </c>
      <c r="AG44" s="555"/>
    </row>
    <row r="45" spans="1:33" ht="20">
      <c r="A45" s="1"/>
      <c r="B45" s="11"/>
      <c r="C45" s="50">
        <v>25</v>
      </c>
      <c r="D45" s="51">
        <v>1</v>
      </c>
      <c r="E45" s="52">
        <f t="shared" si="12"/>
        <v>1</v>
      </c>
      <c r="F45" s="53">
        <f t="shared" si="13"/>
        <v>45682</v>
      </c>
      <c r="G45" s="54" t="str">
        <f t="shared" si="14"/>
        <v>Sat</v>
      </c>
      <c r="H45" s="55"/>
      <c r="I45" s="56"/>
      <c r="J45" s="74">
        <v>122020</v>
      </c>
      <c r="K45" s="75"/>
      <c r="L45" s="59">
        <f t="shared" si="15"/>
        <v>118612.32162989391</v>
      </c>
      <c r="M45" s="60">
        <f t="shared" si="8"/>
        <v>3407.6783701060922</v>
      </c>
      <c r="N45" s="61">
        <f t="shared" si="9"/>
        <v>1.0287295478520273</v>
      </c>
      <c r="O45" s="80"/>
      <c r="P45" s="59">
        <f>IF(D45=0,0,SUM($L$21:L45))</f>
        <v>4367013.0558983376</v>
      </c>
      <c r="Q45" s="59">
        <f>IF(D45=0,0,SUM($J$21:J45))</f>
        <v>4355390</v>
      </c>
      <c r="R45" s="63">
        <f t="shared" si="10"/>
        <v>-11623.055898337625</v>
      </c>
      <c r="S45" s="64">
        <f t="shared" si="16"/>
        <v>0.99733844260377491</v>
      </c>
      <c r="T45" s="73"/>
      <c r="U45" s="59">
        <f>IF(D45=0,0,SUM($L$21:L45))</f>
        <v>4367013.0558983376</v>
      </c>
      <c r="V45" s="59">
        <f>IF(D45=0,0,SUM($J$21:J45))</f>
        <v>4355390</v>
      </c>
      <c r="W45" s="66">
        <f t="shared" si="11"/>
        <v>-11623.055898337625</v>
      </c>
      <c r="X45" s="67">
        <f t="shared" si="17"/>
        <v>0.99733844260377491</v>
      </c>
      <c r="Y45" s="68">
        <f t="shared" si="22"/>
        <v>45682</v>
      </c>
      <c r="Z45" s="69">
        <f t="shared" si="22"/>
        <v>45682</v>
      </c>
      <c r="AA45" s="564">
        <v>4</v>
      </c>
      <c r="AB45" s="556" t="s">
        <v>327</v>
      </c>
      <c r="AC45" s="560">
        <f>IFERROR(AVERAGEIFS(J111:J140,D111:D140,1,G111:G140,"thu"),0)</f>
        <v>335847.5</v>
      </c>
      <c r="AD45" s="558">
        <f>COUNTIFS(D111:D140,1,G111:G140,"thu")</f>
        <v>4</v>
      </c>
      <c r="AE45" s="557">
        <f>($I$10*実績_2024R6!AI44)/AD45</f>
        <v>299179.04353378614</v>
      </c>
      <c r="AF45" s="553">
        <f t="shared" si="23"/>
        <v>1196716.1741351446</v>
      </c>
      <c r="AG45" s="555"/>
    </row>
    <row r="46" spans="1:33" ht="20">
      <c r="A46" s="1"/>
      <c r="B46" s="11"/>
      <c r="C46" s="50">
        <v>26</v>
      </c>
      <c r="D46" s="51">
        <v>0</v>
      </c>
      <c r="E46" s="52">
        <f t="shared" si="12"/>
        <v>1</v>
      </c>
      <c r="F46" s="53">
        <f t="shared" si="13"/>
        <v>45683</v>
      </c>
      <c r="G46" s="54" t="str">
        <f t="shared" si="14"/>
        <v>Sun</v>
      </c>
      <c r="H46" s="55"/>
      <c r="I46" s="56"/>
      <c r="J46" s="79"/>
      <c r="K46" s="77"/>
      <c r="L46" s="59">
        <f t="shared" si="15"/>
        <v>0</v>
      </c>
      <c r="M46" s="60">
        <f t="shared" si="8"/>
        <v>0</v>
      </c>
      <c r="N46" s="61" t="str">
        <f t="shared" si="9"/>
        <v>¥0</v>
      </c>
      <c r="O46" s="81"/>
      <c r="P46" s="59">
        <f>IF(D46=0,0,SUM($L$21:L46))</f>
        <v>0</v>
      </c>
      <c r="Q46" s="59">
        <f>IF(D46=0,0,SUM($J$21:J46))</f>
        <v>0</v>
      </c>
      <c r="R46" s="63">
        <f t="shared" si="10"/>
        <v>0</v>
      </c>
      <c r="S46" s="64">
        <f t="shared" si="16"/>
        <v>0</v>
      </c>
      <c r="T46" s="78"/>
      <c r="U46" s="59">
        <f>IF(D46=0,0,SUM($L$21:L46))</f>
        <v>0</v>
      </c>
      <c r="V46" s="59">
        <f>IF(D46=0,0,SUM($J$21:J46))</f>
        <v>0</v>
      </c>
      <c r="W46" s="66">
        <f t="shared" si="11"/>
        <v>0</v>
      </c>
      <c r="X46" s="67">
        <f t="shared" si="17"/>
        <v>0</v>
      </c>
      <c r="Y46" s="68">
        <f t="shared" si="22"/>
        <v>45683</v>
      </c>
      <c r="Z46" s="69">
        <f t="shared" si="22"/>
        <v>45683</v>
      </c>
      <c r="AA46" s="564">
        <v>4</v>
      </c>
      <c r="AB46" s="556" t="s">
        <v>328</v>
      </c>
      <c r="AC46" s="560">
        <f>IFERROR(AVERAGEIFS(J111:J140,D111:D140,1,G111:G140,"fri"),0)</f>
        <v>419375</v>
      </c>
      <c r="AD46" s="558">
        <f>COUNTIFS(D111:D140,1,G111:G140,"fri")</f>
        <v>4</v>
      </c>
      <c r="AE46" s="557">
        <f>($I$10*実績_2024R6!AI45)/AD46</f>
        <v>356302.2080629493</v>
      </c>
      <c r="AF46" s="553">
        <f t="shared" si="23"/>
        <v>1425208.8322517972</v>
      </c>
      <c r="AG46" s="555"/>
    </row>
    <row r="47" spans="1:33" ht="20">
      <c r="A47" s="1"/>
      <c r="B47" s="11"/>
      <c r="C47" s="50">
        <v>27</v>
      </c>
      <c r="D47" s="51">
        <v>1</v>
      </c>
      <c r="E47" s="52">
        <f t="shared" si="12"/>
        <v>1</v>
      </c>
      <c r="F47" s="53">
        <f t="shared" si="13"/>
        <v>45684</v>
      </c>
      <c r="G47" s="54" t="str">
        <f t="shared" si="14"/>
        <v>Mon</v>
      </c>
      <c r="H47" s="55"/>
      <c r="I47" s="56"/>
      <c r="J47" s="71">
        <v>283810</v>
      </c>
      <c r="K47" s="72"/>
      <c r="L47" s="59">
        <f t="shared" si="15"/>
        <v>395153.16234896518</v>
      </c>
      <c r="M47" s="60">
        <f t="shared" si="8"/>
        <v>-111343.16234896518</v>
      </c>
      <c r="N47" s="61">
        <f t="shared" si="9"/>
        <v>0.71822783427293813</v>
      </c>
      <c r="O47" s="80"/>
      <c r="P47" s="59">
        <f>IF(D47=0,0,SUM($L$21:L47))</f>
        <v>4762166.2182473028</v>
      </c>
      <c r="Q47" s="59">
        <f>IF(D47=0,0,SUM($J$21:J47))</f>
        <v>4639200</v>
      </c>
      <c r="R47" s="63">
        <f t="shared" si="10"/>
        <v>-122966.21824730281</v>
      </c>
      <c r="S47" s="64">
        <f t="shared" si="16"/>
        <v>0.97417851191835125</v>
      </c>
      <c r="T47" s="73"/>
      <c r="U47" s="59">
        <f>IF(D47=0,0,SUM($L$21:L47))</f>
        <v>4762166.2182473028</v>
      </c>
      <c r="V47" s="59">
        <f>IF(D47=0,0,SUM($J$21:J47))</f>
        <v>4639200</v>
      </c>
      <c r="W47" s="66">
        <f t="shared" si="11"/>
        <v>-122966.21824730281</v>
      </c>
      <c r="X47" s="67">
        <f t="shared" si="17"/>
        <v>0.97417851191835125</v>
      </c>
      <c r="Y47" s="68">
        <f t="shared" si="22"/>
        <v>45684</v>
      </c>
      <c r="Z47" s="69">
        <f t="shared" si="22"/>
        <v>45684</v>
      </c>
      <c r="AA47" s="564">
        <v>4</v>
      </c>
      <c r="AB47" s="556" t="s">
        <v>329</v>
      </c>
      <c r="AC47" s="560">
        <f>IFERROR(AVERAGEIFS(J111:J140,D111:D140,1,G111:G140,"sat"),0)</f>
        <v>160685</v>
      </c>
      <c r="AD47" s="558">
        <f>COUNTIFS(D111:D140,1,G111:G140,"sat")</f>
        <v>4</v>
      </c>
      <c r="AE47" s="557">
        <f>($I$10*実績_2024R6!AI46)/AD47</f>
        <v>216987.32377753209</v>
      </c>
      <c r="AF47" s="553">
        <f t="shared" si="23"/>
        <v>867949.29511012835</v>
      </c>
      <c r="AG47" s="561" t="s">
        <v>335</v>
      </c>
    </row>
    <row r="48" spans="1:33" ht="20">
      <c r="A48" s="1"/>
      <c r="B48" s="11"/>
      <c r="C48" s="50">
        <v>28</v>
      </c>
      <c r="D48" s="51">
        <v>1</v>
      </c>
      <c r="E48" s="52">
        <f t="shared" si="12"/>
        <v>1</v>
      </c>
      <c r="F48" s="53">
        <f t="shared" si="13"/>
        <v>45685</v>
      </c>
      <c r="G48" s="54" t="str">
        <f t="shared" si="14"/>
        <v>Tue</v>
      </c>
      <c r="H48" s="55"/>
      <c r="I48" s="56"/>
      <c r="J48" s="71">
        <v>328920</v>
      </c>
      <c r="K48" s="72"/>
      <c r="L48" s="59">
        <f t="shared" si="15"/>
        <v>251136.79881159167</v>
      </c>
      <c r="M48" s="60">
        <f t="shared" si="8"/>
        <v>77783.201188408333</v>
      </c>
      <c r="N48" s="61">
        <f t="shared" si="9"/>
        <v>1.3097244273100852</v>
      </c>
      <c r="O48" s="80"/>
      <c r="P48" s="59">
        <f>IF(D48=0,0,SUM($L$21:L48))</f>
        <v>5013303.017058894</v>
      </c>
      <c r="Q48" s="59">
        <f>IF(D48=0,0,SUM($J$21:J48))</f>
        <v>4968120</v>
      </c>
      <c r="R48" s="63">
        <f t="shared" si="10"/>
        <v>-45183.017058894038</v>
      </c>
      <c r="S48" s="64">
        <f t="shared" si="16"/>
        <v>0.99098737560742911</v>
      </c>
      <c r="T48" s="73"/>
      <c r="U48" s="59">
        <f>IF(D48=0,0,SUM($L$21:L48))</f>
        <v>5013303.017058894</v>
      </c>
      <c r="V48" s="59">
        <f>IF(D48=0,0,SUM($J$21:J48))</f>
        <v>4968120</v>
      </c>
      <c r="W48" s="66">
        <f t="shared" si="11"/>
        <v>-45183.017058894038</v>
      </c>
      <c r="X48" s="67">
        <f t="shared" si="17"/>
        <v>0.99098737560742911</v>
      </c>
      <c r="Y48" s="68">
        <f t="shared" si="22"/>
        <v>45685</v>
      </c>
      <c r="Z48" s="69">
        <f t="shared" si="22"/>
        <v>45685</v>
      </c>
      <c r="AA48" s="564">
        <v>4</v>
      </c>
      <c r="AB48" s="556" t="s">
        <v>331</v>
      </c>
      <c r="AC48" s="560">
        <f>IFERROR(AVERAGEIFS(J111:J140,D111:D140,1,G111:G140,"sun"),0)</f>
        <v>0</v>
      </c>
      <c r="AD48" s="558">
        <f>IFERROR(COUNTIFS(D111:D140,1,G111:G140,"sun"),0)</f>
        <v>0</v>
      </c>
      <c r="AE48" s="557">
        <f>IFERROR(($I$10*実績_2024R6!AI47)/AD48,0)</f>
        <v>0</v>
      </c>
      <c r="AF48" s="562">
        <f>SUM(AF42:AF47)</f>
        <v>7184210.5263157897</v>
      </c>
      <c r="AG48" s="563">
        <f>I10</f>
        <v>7184210.5263157887</v>
      </c>
    </row>
    <row r="49" spans="1:33" ht="20">
      <c r="A49" s="1"/>
      <c r="B49" s="11"/>
      <c r="C49" s="50">
        <v>29</v>
      </c>
      <c r="D49" s="51">
        <v>1</v>
      </c>
      <c r="E49" s="52">
        <f t="shared" si="12"/>
        <v>1</v>
      </c>
      <c r="F49" s="53">
        <f t="shared" si="13"/>
        <v>45686</v>
      </c>
      <c r="G49" s="54" t="str">
        <f t="shared" si="14"/>
        <v>Wed</v>
      </c>
      <c r="H49" s="55"/>
      <c r="I49" s="56"/>
      <c r="J49" s="71">
        <v>236370</v>
      </c>
      <c r="K49" s="72"/>
      <c r="L49" s="59">
        <f t="shared" si="15"/>
        <v>282865.7900620742</v>
      </c>
      <c r="M49" s="60">
        <f t="shared" si="8"/>
        <v>-46495.7900620742</v>
      </c>
      <c r="N49" s="61">
        <f t="shared" si="9"/>
        <v>0.83562596929140565</v>
      </c>
      <c r="O49" s="80"/>
      <c r="P49" s="59">
        <f>IF(D49=0,0,SUM($L$21:L49))</f>
        <v>5296168.8071209686</v>
      </c>
      <c r="Q49" s="59">
        <f>IF(D49=0,0,SUM($J$21:J49))</f>
        <v>5204490</v>
      </c>
      <c r="R49" s="63">
        <f t="shared" si="10"/>
        <v>-91678.807120968588</v>
      </c>
      <c r="S49" s="64">
        <f t="shared" si="16"/>
        <v>0.98268959875340423</v>
      </c>
      <c r="T49" s="73"/>
      <c r="U49" s="59">
        <f>IF(D49=0,0,SUM($L$21:L49))</f>
        <v>5296168.8071209686</v>
      </c>
      <c r="V49" s="59">
        <f>IF(D49=0,0,SUM($J$21:J49))</f>
        <v>5204490</v>
      </c>
      <c r="W49" s="66">
        <f t="shared" si="11"/>
        <v>-91678.807120968588</v>
      </c>
      <c r="X49" s="67">
        <f t="shared" si="17"/>
        <v>0.98268959875340423</v>
      </c>
      <c r="Y49" s="68">
        <f t="shared" si="22"/>
        <v>45686</v>
      </c>
      <c r="Z49" s="69">
        <f t="shared" si="22"/>
        <v>45686</v>
      </c>
      <c r="AA49" s="564">
        <v>5</v>
      </c>
      <c r="AB49" s="552" t="s">
        <v>323</v>
      </c>
      <c r="AC49" s="560">
        <f>IFERROR(AVERAGEIFS(J141:J171,D141:D171,1,G141:G171,"mon"),0)</f>
        <v>196620</v>
      </c>
      <c r="AD49" s="558">
        <f>COUNTIFS(D141:D171,1,G141:G171,"Mon")</f>
        <v>3</v>
      </c>
      <c r="AE49" s="557">
        <f>($I$11*実績_2024R6!AI48)/AD49</f>
        <v>225867.87796220757</v>
      </c>
      <c r="AF49" s="553">
        <f>AD49*AE49</f>
        <v>677603.63388662273</v>
      </c>
      <c r="AG49" s="555" t="s">
        <v>336</v>
      </c>
    </row>
    <row r="50" spans="1:33" ht="20">
      <c r="A50" s="1"/>
      <c r="B50" s="11"/>
      <c r="C50" s="50">
        <v>30</v>
      </c>
      <c r="D50" s="51">
        <v>1</v>
      </c>
      <c r="E50" s="52">
        <f t="shared" si="12"/>
        <v>1</v>
      </c>
      <c r="F50" s="53">
        <f t="shared" si="13"/>
        <v>45687</v>
      </c>
      <c r="G50" s="54" t="str">
        <f t="shared" si="14"/>
        <v>Thu</v>
      </c>
      <c r="H50" s="55"/>
      <c r="I50" s="56"/>
      <c r="J50" s="82">
        <v>450100</v>
      </c>
      <c r="K50" s="83"/>
      <c r="L50" s="59">
        <f t="shared" si="15"/>
        <v>196518.51866093089</v>
      </c>
      <c r="M50" s="60">
        <f t="shared" si="8"/>
        <v>253581.48133906911</v>
      </c>
      <c r="N50" s="61">
        <f t="shared" si="9"/>
        <v>2.2903693914800645</v>
      </c>
      <c r="O50" s="80"/>
      <c r="P50" s="59">
        <f>IF(D50=0,0,SUM($L$21:L50))</f>
        <v>5492687.3257818995</v>
      </c>
      <c r="Q50" s="59">
        <f>IF(D50=0,0,SUM($J$21:J50))</f>
        <v>5654590</v>
      </c>
      <c r="R50" s="63">
        <f t="shared" si="10"/>
        <v>161902.6742181005</v>
      </c>
      <c r="S50" s="64">
        <f t="shared" si="16"/>
        <v>1.029476040527221</v>
      </c>
      <c r="T50" s="73"/>
      <c r="U50" s="59">
        <f>IF(D50=0,0,SUM($L$21:L50))</f>
        <v>5492687.3257818995</v>
      </c>
      <c r="V50" s="59">
        <f>IF(D50=0,0,SUM($J$21:J50))</f>
        <v>5654590</v>
      </c>
      <c r="W50" s="66">
        <f t="shared" si="11"/>
        <v>161902.6742181005</v>
      </c>
      <c r="X50" s="67">
        <f t="shared" si="17"/>
        <v>1.029476040527221</v>
      </c>
      <c r="Y50" s="68">
        <f t="shared" si="22"/>
        <v>45687</v>
      </c>
      <c r="Z50" s="69">
        <f t="shared" si="22"/>
        <v>45687</v>
      </c>
      <c r="AA50" s="564">
        <v>5</v>
      </c>
      <c r="AB50" s="556" t="s">
        <v>325</v>
      </c>
      <c r="AC50" s="560">
        <f>IFERROR(AVERAGEIFS(J141:J171,D141:D171,1,G141:G171,"tue"),0)</f>
        <v>236453.33333333334</v>
      </c>
      <c r="AD50" s="558">
        <f>COUNTIFS(D141:D171,1,G141:G171,"tue")</f>
        <v>3</v>
      </c>
      <c r="AE50" s="557">
        <f>($I$11*実績_2024R6!AI49)/AD50</f>
        <v>292828.68111623841</v>
      </c>
      <c r="AF50" s="553">
        <f t="shared" ref="AF50:AF54" si="24">AD50*AE50</f>
        <v>878486.04334871517</v>
      </c>
      <c r="AG50" s="555"/>
    </row>
    <row r="51" spans="1:33" ht="21" thickBot="1">
      <c r="A51" s="1"/>
      <c r="B51" s="11"/>
      <c r="C51" s="84">
        <v>31</v>
      </c>
      <c r="D51" s="85">
        <v>1</v>
      </c>
      <c r="E51" s="501">
        <f t="shared" si="12"/>
        <v>1</v>
      </c>
      <c r="F51" s="86">
        <f t="shared" si="13"/>
        <v>45688</v>
      </c>
      <c r="G51" s="87" t="str">
        <f t="shared" si="14"/>
        <v>Fri</v>
      </c>
      <c r="H51" s="88"/>
      <c r="I51" s="502"/>
      <c r="J51" s="89">
        <v>352040</v>
      </c>
      <c r="K51" s="503"/>
      <c r="L51" s="534">
        <f t="shared" si="15"/>
        <v>343102.14790231152</v>
      </c>
      <c r="M51" s="91">
        <f t="shared" si="8"/>
        <v>8937.8520976884756</v>
      </c>
      <c r="N51" s="92">
        <f t="shared" si="9"/>
        <v>1.0260501199200691</v>
      </c>
      <c r="O51" s="504"/>
      <c r="P51" s="93">
        <f>IF(D51=0,0,SUM($L$21:L51))</f>
        <v>5835789.4736842113</v>
      </c>
      <c r="Q51" s="90">
        <f>IF(D51=0,0,SUM($J$21:J51))</f>
        <v>6006630</v>
      </c>
      <c r="R51" s="91">
        <f t="shared" si="10"/>
        <v>170840.52631578874</v>
      </c>
      <c r="S51" s="505">
        <f t="shared" si="16"/>
        <v>1.0292746212121211</v>
      </c>
      <c r="T51" s="506"/>
      <c r="U51" s="94">
        <f>IF(D51=0,0,SUM($L$21:L51))</f>
        <v>5835789.4736842113</v>
      </c>
      <c r="V51" s="90">
        <f>IF(D51=0,0,SUM($J$21:J51))</f>
        <v>6006630</v>
      </c>
      <c r="W51" s="95">
        <f t="shared" si="11"/>
        <v>170840.52631578874</v>
      </c>
      <c r="X51" s="507">
        <f t="shared" si="17"/>
        <v>1.0292746212121211</v>
      </c>
      <c r="Y51" s="68">
        <f t="shared" si="22"/>
        <v>45688</v>
      </c>
      <c r="Z51" s="69">
        <f t="shared" si="22"/>
        <v>45688</v>
      </c>
      <c r="AA51" s="564">
        <v>5</v>
      </c>
      <c r="AB51" s="556" t="s">
        <v>326</v>
      </c>
      <c r="AC51" s="560">
        <f>IFERROR(AVERAGEIFS(J141:J171,D141:D171,1,G141:G171,"wed"),0)</f>
        <v>347390</v>
      </c>
      <c r="AD51" s="558">
        <f>COUNTIFS(D141:D171,1,G141:G171,"wed")</f>
        <v>4</v>
      </c>
      <c r="AE51" s="557">
        <f>($I$11*実績_2024R6!AI50)/AD51</f>
        <v>379546.96790947282</v>
      </c>
      <c r="AF51" s="553">
        <f t="shared" si="24"/>
        <v>1518187.8716378913</v>
      </c>
      <c r="AG51" s="555"/>
    </row>
    <row r="52" spans="1:33" ht="21" thickTop="1">
      <c r="A52" s="1"/>
      <c r="B52" s="11"/>
      <c r="C52" s="50">
        <v>32</v>
      </c>
      <c r="D52" s="96">
        <v>1</v>
      </c>
      <c r="E52" s="52">
        <f t="shared" si="12"/>
        <v>2</v>
      </c>
      <c r="F52" s="53">
        <f t="shared" si="13"/>
        <v>45689</v>
      </c>
      <c r="G52" s="54" t="str">
        <f t="shared" si="14"/>
        <v>Sat</v>
      </c>
      <c r="H52" s="55"/>
      <c r="I52" s="56"/>
      <c r="J52" s="82">
        <v>183250</v>
      </c>
      <c r="K52" s="83"/>
      <c r="L52" s="59">
        <f t="shared" si="15"/>
        <v>132611.11696277058</v>
      </c>
      <c r="M52" s="63">
        <f t="shared" si="8"/>
        <v>50638.883037229418</v>
      </c>
      <c r="N52" s="97">
        <f t="shared" si="9"/>
        <v>1.3818600144318658</v>
      </c>
      <c r="O52" s="80"/>
      <c r="P52" s="59">
        <f>IF(D52=0,0,$L$52)</f>
        <v>132611.11696277058</v>
      </c>
      <c r="Q52" s="59">
        <f>IF(D52=0,0,$J$52)</f>
        <v>183250</v>
      </c>
      <c r="R52" s="63">
        <f t="shared" si="10"/>
        <v>50638.883037229418</v>
      </c>
      <c r="S52" s="499">
        <f t="shared" si="16"/>
        <v>1.3818600144318658</v>
      </c>
      <c r="T52" s="73"/>
      <c r="U52" s="59">
        <f>IF(D52=0,0,SUM($L$21:L52))</f>
        <v>5968400.5906469822</v>
      </c>
      <c r="V52" s="59">
        <f>IF(D52=0,0,SUM($J$21:J52))</f>
        <v>6189880</v>
      </c>
      <c r="W52" s="66">
        <f t="shared" si="11"/>
        <v>221479.40935301781</v>
      </c>
      <c r="X52" s="500">
        <f t="shared" si="17"/>
        <v>1.0371086702357237</v>
      </c>
      <c r="Y52" s="68">
        <f t="shared" si="22"/>
        <v>45689</v>
      </c>
      <c r="Z52" s="69">
        <f t="shared" si="22"/>
        <v>45689</v>
      </c>
      <c r="AA52" s="564">
        <v>5</v>
      </c>
      <c r="AB52" s="556" t="s">
        <v>327</v>
      </c>
      <c r="AC52" s="560">
        <f>IFERROR(AVERAGEIFS(J141:J171,D141:D171,1,G141:G171,"thu"),0)</f>
        <v>226140</v>
      </c>
      <c r="AD52" s="558">
        <f>COUNTIFS(D141:D171,1,G141:G171,"thu")</f>
        <v>5</v>
      </c>
      <c r="AE52" s="557">
        <f>($I$11*実績_2024R6!AI51)/AD52</f>
        <v>208647.35729715382</v>
      </c>
      <c r="AF52" s="553">
        <f t="shared" si="24"/>
        <v>1043236.7864857691</v>
      </c>
      <c r="AG52" s="555"/>
    </row>
    <row r="53" spans="1:33" ht="20">
      <c r="A53" s="1"/>
      <c r="B53" s="11"/>
      <c r="C53" s="50">
        <v>33</v>
      </c>
      <c r="D53" s="51">
        <v>0</v>
      </c>
      <c r="E53" s="52">
        <f t="shared" si="12"/>
        <v>2</v>
      </c>
      <c r="F53" s="53">
        <f t="shared" si="13"/>
        <v>45690</v>
      </c>
      <c r="G53" s="54" t="str">
        <f t="shared" si="14"/>
        <v>Sun</v>
      </c>
      <c r="H53" s="55"/>
      <c r="I53" s="56"/>
      <c r="J53" s="82"/>
      <c r="K53" s="83"/>
      <c r="L53" s="59">
        <f t="shared" si="15"/>
        <v>0</v>
      </c>
      <c r="M53" s="60">
        <f t="shared" si="8"/>
        <v>0</v>
      </c>
      <c r="N53" s="61" t="str">
        <f t="shared" si="9"/>
        <v>¥0</v>
      </c>
      <c r="O53" s="81"/>
      <c r="P53" s="59">
        <f>IF(D53=0,0,SUM($L$52:L53))</f>
        <v>0</v>
      </c>
      <c r="Q53" s="59">
        <f>IF(D53=0,0,SUM($J$52:J53))</f>
        <v>0</v>
      </c>
      <c r="R53" s="63">
        <f t="shared" si="10"/>
        <v>0</v>
      </c>
      <c r="S53" s="64">
        <f t="shared" si="16"/>
        <v>0</v>
      </c>
      <c r="T53" s="78"/>
      <c r="U53" s="59">
        <f>IF(D53=0,0,SUM($L$21:L53))</f>
        <v>0</v>
      </c>
      <c r="V53" s="59">
        <f>IF(D53=0,0,SUM($J$21:J53))</f>
        <v>0</v>
      </c>
      <c r="W53" s="66">
        <f t="shared" si="11"/>
        <v>0</v>
      </c>
      <c r="X53" s="67">
        <f t="shared" si="17"/>
        <v>0</v>
      </c>
      <c r="Y53" s="68">
        <f t="shared" si="22"/>
        <v>45690</v>
      </c>
      <c r="Z53" s="69">
        <f t="shared" si="22"/>
        <v>45690</v>
      </c>
      <c r="AA53" s="564">
        <v>5</v>
      </c>
      <c r="AB53" s="556" t="s">
        <v>328</v>
      </c>
      <c r="AC53" s="560">
        <f>IFERROR(AVERAGEIFS(J141:J171,D141:D171,1,G141:G171,"fri"),0)</f>
        <v>291050</v>
      </c>
      <c r="AD53" s="558">
        <f>COUNTIFS(D141:D171,1,G141:G171,"fri")</f>
        <v>5</v>
      </c>
      <c r="AE53" s="557">
        <f>($I$11*実績_2024R6!AI52)/AD53</f>
        <v>265057.05757595133</v>
      </c>
      <c r="AF53" s="553">
        <f t="shared" si="24"/>
        <v>1325285.2878797567</v>
      </c>
      <c r="AG53" s="555"/>
    </row>
    <row r="54" spans="1:33" ht="20">
      <c r="A54" s="1"/>
      <c r="B54" s="11"/>
      <c r="C54" s="50">
        <v>34</v>
      </c>
      <c r="D54" s="51">
        <v>1</v>
      </c>
      <c r="E54" s="52">
        <f t="shared" si="12"/>
        <v>2</v>
      </c>
      <c r="F54" s="53">
        <f t="shared" si="13"/>
        <v>45691</v>
      </c>
      <c r="G54" s="54" t="str">
        <f t="shared" si="14"/>
        <v>Mon</v>
      </c>
      <c r="H54" s="55"/>
      <c r="I54" s="56"/>
      <c r="J54" s="82">
        <v>101150</v>
      </c>
      <c r="K54" s="83"/>
      <c r="L54" s="59">
        <f t="shared" si="15"/>
        <v>224838.76164481696</v>
      </c>
      <c r="M54" s="60">
        <f t="shared" si="8"/>
        <v>-123688.76164481696</v>
      </c>
      <c r="N54" s="61">
        <f t="shared" si="9"/>
        <v>0.44987794479934479</v>
      </c>
      <c r="O54" s="80"/>
      <c r="P54" s="59">
        <f>IF(D54=0,0,SUM($L$52:L54))</f>
        <v>357449.87860758754</v>
      </c>
      <c r="Q54" s="59">
        <f>IF(D54=0,0,SUM($J$52:J54))</f>
        <v>284400</v>
      </c>
      <c r="R54" s="63">
        <f t="shared" si="10"/>
        <v>-73049.87860758754</v>
      </c>
      <c r="S54" s="64">
        <f t="shared" si="16"/>
        <v>0.79563602345552198</v>
      </c>
      <c r="T54" s="73"/>
      <c r="U54" s="59">
        <f>IF(D54=0,0,SUM($L$21:L54))</f>
        <v>6193239.3522917992</v>
      </c>
      <c r="V54" s="59">
        <f>IF(D54=0,0,SUM($J$21:J54))</f>
        <v>6291030</v>
      </c>
      <c r="W54" s="66">
        <f t="shared" si="11"/>
        <v>97790.64770820085</v>
      </c>
      <c r="X54" s="67">
        <f t="shared" si="17"/>
        <v>1.0157899028514075</v>
      </c>
      <c r="Y54" s="68">
        <f t="shared" si="22"/>
        <v>45691</v>
      </c>
      <c r="Z54" s="69">
        <f t="shared" si="22"/>
        <v>45691</v>
      </c>
      <c r="AA54" s="564">
        <v>5</v>
      </c>
      <c r="AB54" s="556" t="s">
        <v>329</v>
      </c>
      <c r="AC54" s="560">
        <f>IFERROR(AVERAGEIFS(J141:J171,D141:D171,1,G141:G171,"sat"),0)</f>
        <v>164150</v>
      </c>
      <c r="AD54" s="558">
        <f>COUNTIFS(D141:D171,1,G141:G171,"sat")</f>
        <v>4</v>
      </c>
      <c r="AE54" s="557">
        <f>($I$11*実績_2024R6!AI53)/AD54</f>
        <v>98247.462611363837</v>
      </c>
      <c r="AF54" s="553">
        <f t="shared" si="24"/>
        <v>392989.85044545535</v>
      </c>
      <c r="AG54" s="561" t="s">
        <v>337</v>
      </c>
    </row>
    <row r="55" spans="1:33" ht="20">
      <c r="A55" s="1"/>
      <c r="B55" s="11"/>
      <c r="C55" s="50">
        <v>35</v>
      </c>
      <c r="D55" s="51">
        <v>1</v>
      </c>
      <c r="E55" s="52">
        <f t="shared" si="12"/>
        <v>2</v>
      </c>
      <c r="F55" s="53">
        <f t="shared" si="13"/>
        <v>45692</v>
      </c>
      <c r="G55" s="54" t="str">
        <f t="shared" si="14"/>
        <v>Tue</v>
      </c>
      <c r="H55" s="55"/>
      <c r="I55" s="56"/>
      <c r="J55" s="82">
        <v>152530</v>
      </c>
      <c r="K55" s="83"/>
      <c r="L55" s="59">
        <f t="shared" si="15"/>
        <v>277740.28389819851</v>
      </c>
      <c r="M55" s="60">
        <f t="shared" si="8"/>
        <v>-125210.28389819851</v>
      </c>
      <c r="N55" s="61">
        <f t="shared" si="9"/>
        <v>0.54918212748679829</v>
      </c>
      <c r="O55" s="80"/>
      <c r="P55" s="59">
        <f>IF(D55=0,0,SUM($L$52:L55))</f>
        <v>635190.16250578605</v>
      </c>
      <c r="Q55" s="59">
        <f>IF(D55=0,0,SUM($J$52:J55))</f>
        <v>436930</v>
      </c>
      <c r="R55" s="63">
        <f t="shared" si="10"/>
        <v>-198260.16250578605</v>
      </c>
      <c r="S55" s="64">
        <f t="shared" si="16"/>
        <v>0.68787274392968878</v>
      </c>
      <c r="T55" s="73"/>
      <c r="U55" s="59">
        <f>IF(D55=0,0,SUM($L$21:L55))</f>
        <v>6470979.6361899972</v>
      </c>
      <c r="V55" s="59">
        <f>IF(D55=0,0,SUM($J$21:J55))</f>
        <v>6443560</v>
      </c>
      <c r="W55" s="66">
        <f t="shared" si="11"/>
        <v>-27419.636189997196</v>
      </c>
      <c r="X55" s="67">
        <f t="shared" si="17"/>
        <v>0.99576267617399872</v>
      </c>
      <c r="Y55" s="68">
        <f t="shared" ref="Y55:Z70" si="25">Y54+1</f>
        <v>45692</v>
      </c>
      <c r="Z55" s="69">
        <f t="shared" si="25"/>
        <v>45692</v>
      </c>
      <c r="AA55" s="564">
        <v>5</v>
      </c>
      <c r="AB55" s="556" t="s">
        <v>331</v>
      </c>
      <c r="AC55" s="560">
        <f>IFERROR(AVERAGEIFS(J141:J171,D141:D171,1,G141:G171,"sun"),0)</f>
        <v>0</v>
      </c>
      <c r="AD55" s="558">
        <f>IFERROR(COUNTIFS(D141:D171,1,G141:G171,"sun"),0)</f>
        <v>0</v>
      </c>
      <c r="AE55" s="557">
        <f>IFERROR(($I$11*実績_2024R6!AI54)/AD55,0)</f>
        <v>0</v>
      </c>
      <c r="AF55" s="562">
        <f>SUM(AF49:AF54)</f>
        <v>5835789.4736842094</v>
      </c>
      <c r="AG55" s="563">
        <f>I11</f>
        <v>5835789.4736842103</v>
      </c>
    </row>
    <row r="56" spans="1:33" ht="20">
      <c r="A56" s="1"/>
      <c r="B56" s="11"/>
      <c r="C56" s="50">
        <v>36</v>
      </c>
      <c r="D56" s="51">
        <v>1</v>
      </c>
      <c r="E56" s="52">
        <f t="shared" si="12"/>
        <v>2</v>
      </c>
      <c r="F56" s="53">
        <f t="shared" si="13"/>
        <v>45693</v>
      </c>
      <c r="G56" s="54" t="str">
        <f t="shared" si="14"/>
        <v>Wed</v>
      </c>
      <c r="H56" s="55"/>
      <c r="I56" s="56"/>
      <c r="J56" s="82">
        <v>227650</v>
      </c>
      <c r="K56" s="83"/>
      <c r="L56" s="59">
        <f t="shared" si="15"/>
        <v>215570.54328642032</v>
      </c>
      <c r="M56" s="60">
        <f t="shared" si="8"/>
        <v>12079.456713579682</v>
      </c>
      <c r="N56" s="61">
        <f t="shared" si="9"/>
        <v>1.056034820571613</v>
      </c>
      <c r="O56" s="80"/>
      <c r="P56" s="59">
        <f>IF(D56=0,0,SUM($L$52:L56))</f>
        <v>850760.70579220634</v>
      </c>
      <c r="Q56" s="59">
        <f>IF(D56=0,0,SUM($J$52:J56))</f>
        <v>664580</v>
      </c>
      <c r="R56" s="63">
        <f t="shared" si="10"/>
        <v>-186180.70579220634</v>
      </c>
      <c r="S56" s="64">
        <f t="shared" si="16"/>
        <v>0.78115972620192931</v>
      </c>
      <c r="T56" s="73"/>
      <c r="U56" s="59">
        <f>IF(D56=0,0,SUM($L$21:L56))</f>
        <v>6686550.1794764176</v>
      </c>
      <c r="V56" s="59">
        <f>IF(D56=0,0,SUM($J$21:J56))</f>
        <v>6671210</v>
      </c>
      <c r="W56" s="66">
        <f t="shared" si="11"/>
        <v>-15340.179476417601</v>
      </c>
      <c r="X56" s="67">
        <f t="shared" si="17"/>
        <v>0.99770581554543591</v>
      </c>
      <c r="Y56" s="68">
        <f t="shared" si="25"/>
        <v>45693</v>
      </c>
      <c r="Z56" s="69">
        <f t="shared" si="25"/>
        <v>45693</v>
      </c>
      <c r="AA56" s="564">
        <v>6</v>
      </c>
      <c r="AB56" s="552" t="s">
        <v>323</v>
      </c>
      <c r="AC56" s="560">
        <f>IFERROR(AVERAGEIFS(J172:J201,D172:D201,1,G172:G201,"mon"),0)</f>
        <v>193860</v>
      </c>
      <c r="AD56" s="558">
        <f>COUNTIFS(D172:D201,1,G172:G201,"Mon")</f>
        <v>5</v>
      </c>
      <c r="AE56" s="557">
        <f>($I$12*実績_2024R6!AI55)/AD56</f>
        <v>158255.6421521224</v>
      </c>
      <c r="AF56" s="553">
        <f>AD56*AE56</f>
        <v>791278.21076061204</v>
      </c>
      <c r="AG56" s="555" t="s">
        <v>338</v>
      </c>
    </row>
    <row r="57" spans="1:33" ht="20">
      <c r="A57" s="1"/>
      <c r="B57" s="11"/>
      <c r="C57" s="50">
        <v>37</v>
      </c>
      <c r="D57" s="51">
        <v>1</v>
      </c>
      <c r="E57" s="52">
        <f t="shared" si="12"/>
        <v>2</v>
      </c>
      <c r="F57" s="53">
        <f t="shared" si="13"/>
        <v>45694</v>
      </c>
      <c r="G57" s="54" t="str">
        <f t="shared" si="14"/>
        <v>Thu</v>
      </c>
      <c r="H57" s="55"/>
      <c r="I57" s="56"/>
      <c r="J57" s="82">
        <v>339200</v>
      </c>
      <c r="K57" s="83"/>
      <c r="L57" s="59">
        <f t="shared" si="15"/>
        <v>283656.58169110108</v>
      </c>
      <c r="M57" s="60">
        <f t="shared" si="8"/>
        <v>55543.418308898923</v>
      </c>
      <c r="N57" s="61">
        <f t="shared" si="9"/>
        <v>1.1958121964868953</v>
      </c>
      <c r="O57" s="80"/>
      <c r="P57" s="59">
        <f>IF(D57=0,0,SUM($L$52:L57))</f>
        <v>1134417.2874833075</v>
      </c>
      <c r="Q57" s="59">
        <f>IF(D57=0,0,SUM($J$52:J57))</f>
        <v>1003780</v>
      </c>
      <c r="R57" s="63">
        <f t="shared" si="10"/>
        <v>-130637.28748330753</v>
      </c>
      <c r="S57" s="64">
        <f t="shared" si="16"/>
        <v>0.88484194579480979</v>
      </c>
      <c r="T57" s="73"/>
      <c r="U57" s="59">
        <f>IF(D57=0,0,SUM($L$21:L57))</f>
        <v>6970206.7611675188</v>
      </c>
      <c r="V57" s="59">
        <f>IF(D57=0,0,SUM($J$21:J57))</f>
        <v>7010410</v>
      </c>
      <c r="W57" s="66">
        <f t="shared" si="11"/>
        <v>40203.238832481205</v>
      </c>
      <c r="X57" s="67">
        <f t="shared" si="17"/>
        <v>1.0057678689040419</v>
      </c>
      <c r="Y57" s="68">
        <f t="shared" si="25"/>
        <v>45694</v>
      </c>
      <c r="Z57" s="69">
        <f t="shared" si="25"/>
        <v>45694</v>
      </c>
      <c r="AA57" s="564">
        <v>6</v>
      </c>
      <c r="AB57" s="556" t="s">
        <v>325</v>
      </c>
      <c r="AC57" s="560">
        <f>IFERROR(AVERAGEIFS(J172:J201,D172:D201,1,G172:G201,"tue"),0)</f>
        <v>287705</v>
      </c>
      <c r="AD57" s="558">
        <f>COUNTIFS(D172:D201,1,G172:G201,"tue")</f>
        <v>4</v>
      </c>
      <c r="AE57" s="557">
        <f>($I$12*実績_2024R6!AI56)/AD57</f>
        <v>210637.61764366567</v>
      </c>
      <c r="AF57" s="553">
        <f t="shared" ref="AF57:AF61" si="26">AD57*AE57</f>
        <v>842550.47057466267</v>
      </c>
      <c r="AG57" s="555"/>
    </row>
    <row r="58" spans="1:33" ht="20">
      <c r="A58" s="1"/>
      <c r="B58" s="11"/>
      <c r="C58" s="50">
        <v>38</v>
      </c>
      <c r="D58" s="51">
        <v>1</v>
      </c>
      <c r="E58" s="52">
        <f t="shared" si="12"/>
        <v>2</v>
      </c>
      <c r="F58" s="53">
        <f t="shared" si="13"/>
        <v>45695</v>
      </c>
      <c r="G58" s="54" t="str">
        <f t="shared" si="14"/>
        <v>Fri</v>
      </c>
      <c r="H58" s="55"/>
      <c r="I58" s="56"/>
      <c r="J58" s="82">
        <v>330170</v>
      </c>
      <c r="K58" s="83"/>
      <c r="L58" s="59">
        <f t="shared" si="15"/>
        <v>207016.94758665698</v>
      </c>
      <c r="M58" s="60">
        <f t="shared" si="8"/>
        <v>123153.05241334302</v>
      </c>
      <c r="N58" s="61">
        <f t="shared" si="9"/>
        <v>1.5948935768255945</v>
      </c>
      <c r="O58" s="80"/>
      <c r="P58" s="59">
        <f>IF(D58=0,0,SUM($L$52:L58))</f>
        <v>1341434.2350699645</v>
      </c>
      <c r="Q58" s="59">
        <f>IF(D58=0,0,SUM($J$52:J58))</f>
        <v>1333950</v>
      </c>
      <c r="R58" s="63">
        <f t="shared" si="10"/>
        <v>-7484.2350699645467</v>
      </c>
      <c r="S58" s="64">
        <f t="shared" si="16"/>
        <v>0.99442072158716432</v>
      </c>
      <c r="T58" s="73"/>
      <c r="U58" s="59">
        <f>IF(D58=0,0,SUM($L$21:L58))</f>
        <v>7177223.7087541753</v>
      </c>
      <c r="V58" s="59">
        <f>IF(D58=0,0,SUM($J$21:J58))</f>
        <v>7340580</v>
      </c>
      <c r="W58" s="66">
        <f t="shared" si="11"/>
        <v>163356.29124582466</v>
      </c>
      <c r="X58" s="67">
        <f t="shared" si="17"/>
        <v>1.022760373352523</v>
      </c>
      <c r="Y58" s="68">
        <f t="shared" si="25"/>
        <v>45695</v>
      </c>
      <c r="Z58" s="69">
        <f t="shared" si="25"/>
        <v>45695</v>
      </c>
      <c r="AA58" s="564">
        <v>6</v>
      </c>
      <c r="AB58" s="556" t="s">
        <v>326</v>
      </c>
      <c r="AC58" s="560">
        <f>IFERROR(AVERAGEIFS(J172:J201,D172:D201,1,G172:G201,"wed"),0)</f>
        <v>234007.5</v>
      </c>
      <c r="AD58" s="558">
        <f>COUNTIFS(D172:D201,1,G172:G201,"wed")</f>
        <v>4</v>
      </c>
      <c r="AE58" s="557">
        <f>($I$12*実績_2024R6!AI57)/AD58</f>
        <v>317333.92471607169</v>
      </c>
      <c r="AF58" s="553">
        <f t="shared" si="26"/>
        <v>1269335.6988642868</v>
      </c>
      <c r="AG58" s="555"/>
    </row>
    <row r="59" spans="1:33" ht="20">
      <c r="A59" s="1"/>
      <c r="B59" s="11"/>
      <c r="C59" s="50">
        <v>39</v>
      </c>
      <c r="D59" s="51">
        <v>1</v>
      </c>
      <c r="E59" s="52">
        <f t="shared" si="12"/>
        <v>2</v>
      </c>
      <c r="F59" s="53">
        <f t="shared" si="13"/>
        <v>45696</v>
      </c>
      <c r="G59" s="54" t="str">
        <f t="shared" si="14"/>
        <v>Sat</v>
      </c>
      <c r="H59" s="55"/>
      <c r="I59" s="56"/>
      <c r="J59" s="82">
        <v>156800</v>
      </c>
      <c r="K59" s="83"/>
      <c r="L59" s="59">
        <f t="shared" si="15"/>
        <v>132611.11696277058</v>
      </c>
      <c r="M59" s="60">
        <f t="shared" si="8"/>
        <v>24188.883037229418</v>
      </c>
      <c r="N59" s="61">
        <f t="shared" si="9"/>
        <v>1.1824046399067751</v>
      </c>
      <c r="O59" s="80"/>
      <c r="P59" s="59">
        <f>IF(D59=0,0,SUM($L$52:L59))</f>
        <v>1474045.352032735</v>
      </c>
      <c r="Q59" s="59">
        <f>IF(D59=0,0,SUM($J$52:J59))</f>
        <v>1490750</v>
      </c>
      <c r="R59" s="63">
        <f t="shared" si="10"/>
        <v>16704.647967264988</v>
      </c>
      <c r="S59" s="64">
        <f t="shared" si="16"/>
        <v>1.0113325196841665</v>
      </c>
      <c r="T59" s="73"/>
      <c r="U59" s="59">
        <f>IF(D59=0,0,SUM($L$21:L59))</f>
        <v>7309834.8257169463</v>
      </c>
      <c r="V59" s="59">
        <f>IF(D59=0,0,SUM($J$21:J59))</f>
        <v>7497380</v>
      </c>
      <c r="W59" s="66">
        <f t="shared" si="11"/>
        <v>187545.17428305373</v>
      </c>
      <c r="X59" s="67">
        <f t="shared" si="17"/>
        <v>1.0256565543209328</v>
      </c>
      <c r="Y59" s="68">
        <f t="shared" si="25"/>
        <v>45696</v>
      </c>
      <c r="Z59" s="69">
        <f t="shared" si="25"/>
        <v>45696</v>
      </c>
      <c r="AA59" s="564">
        <v>6</v>
      </c>
      <c r="AB59" s="556" t="s">
        <v>327</v>
      </c>
      <c r="AC59" s="560">
        <f>IFERROR(AVERAGEIFS(J172:J201,D172:D201,1,G172:G201,"thu"),0)</f>
        <v>236795</v>
      </c>
      <c r="AD59" s="558">
        <f>COUNTIFS(D172:D201,1,G172:G201,"thu")</f>
        <v>4</v>
      </c>
      <c r="AE59" s="557">
        <f>($I$12*実績_2024R6!AI58)/AD59</f>
        <v>287558.86915979855</v>
      </c>
      <c r="AF59" s="553">
        <f t="shared" si="26"/>
        <v>1150235.4766391942</v>
      </c>
      <c r="AG59" s="555"/>
    </row>
    <row r="60" spans="1:33" ht="20">
      <c r="A60" s="1"/>
      <c r="B60" s="11"/>
      <c r="C60" s="50">
        <v>40</v>
      </c>
      <c r="D60" s="51">
        <v>0</v>
      </c>
      <c r="E60" s="52">
        <f t="shared" si="12"/>
        <v>2</v>
      </c>
      <c r="F60" s="53">
        <f t="shared" si="13"/>
        <v>45697</v>
      </c>
      <c r="G60" s="54" t="str">
        <f t="shared" si="14"/>
        <v>Sun</v>
      </c>
      <c r="H60" s="55"/>
      <c r="I60" s="56"/>
      <c r="J60" s="82"/>
      <c r="K60" s="83"/>
      <c r="L60" s="59">
        <f t="shared" si="15"/>
        <v>0</v>
      </c>
      <c r="M60" s="60">
        <f t="shared" si="8"/>
        <v>0</v>
      </c>
      <c r="N60" s="61" t="str">
        <f t="shared" si="9"/>
        <v>¥0</v>
      </c>
      <c r="O60" s="81"/>
      <c r="P60" s="59">
        <f>IF(D60=0,0,SUM($L$52:L60))</f>
        <v>0</v>
      </c>
      <c r="Q60" s="59">
        <f>IF(D60=0,0,SUM($J$52:J60))</f>
        <v>0</v>
      </c>
      <c r="R60" s="63">
        <f t="shared" si="10"/>
        <v>0</v>
      </c>
      <c r="S60" s="64">
        <f t="shared" si="16"/>
        <v>0</v>
      </c>
      <c r="T60" s="78"/>
      <c r="U60" s="59">
        <f>IF(D60=0,0,SUM($L$21:L60))</f>
        <v>0</v>
      </c>
      <c r="V60" s="59">
        <f>IF(D60=0,0,SUM($J$21:J60))</f>
        <v>0</v>
      </c>
      <c r="W60" s="66">
        <f t="shared" si="11"/>
        <v>0</v>
      </c>
      <c r="X60" s="67">
        <f t="shared" si="17"/>
        <v>0</v>
      </c>
      <c r="Y60" s="68">
        <f t="shared" si="25"/>
        <v>45697</v>
      </c>
      <c r="Z60" s="69">
        <f t="shared" si="25"/>
        <v>45697</v>
      </c>
      <c r="AA60" s="564">
        <v>6</v>
      </c>
      <c r="AB60" s="556" t="s">
        <v>328</v>
      </c>
      <c r="AC60" s="560">
        <f>IFERROR(AVERAGEIFS(J172:J201,D172:D201,1,G172:G201,"fri"),0)</f>
        <v>301740</v>
      </c>
      <c r="AD60" s="558">
        <f>COUNTIFS(D172:D201,1,G172:G201,"fri")</f>
        <v>4</v>
      </c>
      <c r="AE60" s="557">
        <f>($I$12*実績_2024R6!AI59)/AD60</f>
        <v>332088.97600512422</v>
      </c>
      <c r="AF60" s="553">
        <f t="shared" si="26"/>
        <v>1328355.9040204969</v>
      </c>
      <c r="AG60" s="555"/>
    </row>
    <row r="61" spans="1:33" ht="20">
      <c r="A61" s="1"/>
      <c r="B61" s="11"/>
      <c r="C61" s="50">
        <v>41</v>
      </c>
      <c r="D61" s="51">
        <v>1</v>
      </c>
      <c r="E61" s="52">
        <f t="shared" si="12"/>
        <v>2</v>
      </c>
      <c r="F61" s="53">
        <f t="shared" si="13"/>
        <v>45698</v>
      </c>
      <c r="G61" s="54" t="str">
        <f t="shared" si="14"/>
        <v>Mon</v>
      </c>
      <c r="H61" s="55"/>
      <c r="I61" s="56"/>
      <c r="J61" s="82">
        <v>99600</v>
      </c>
      <c r="K61" s="83"/>
      <c r="L61" s="59">
        <f t="shared" si="15"/>
        <v>224838.76164481696</v>
      </c>
      <c r="M61" s="60">
        <f t="shared" si="8"/>
        <v>-125238.76164481696</v>
      </c>
      <c r="N61" s="61">
        <f t="shared" si="9"/>
        <v>0.44298411568971569</v>
      </c>
      <c r="O61" s="80"/>
      <c r="P61" s="59">
        <f>IF(D61=0,0,SUM($L$52:L61))</f>
        <v>1698884.113677552</v>
      </c>
      <c r="Q61" s="59">
        <f>IF(D61=0,0,SUM($J$52:J61))</f>
        <v>1590350</v>
      </c>
      <c r="R61" s="63">
        <f t="shared" si="10"/>
        <v>-108534.11367755197</v>
      </c>
      <c r="S61" s="64">
        <f t="shared" si="16"/>
        <v>0.93611446901895523</v>
      </c>
      <c r="T61" s="73"/>
      <c r="U61" s="59">
        <f>IF(D61=0,0,SUM($L$21:L61))</f>
        <v>7534673.5873617632</v>
      </c>
      <c r="V61" s="59">
        <f>IF(D61=0,0,SUM($J$21:J61))</f>
        <v>7596980</v>
      </c>
      <c r="W61" s="66">
        <f t="shared" si="11"/>
        <v>62306.412638236769</v>
      </c>
      <c r="X61" s="67">
        <f t="shared" si="17"/>
        <v>1.0082692915513614</v>
      </c>
      <c r="Y61" s="68">
        <f t="shared" si="25"/>
        <v>45698</v>
      </c>
      <c r="Z61" s="69">
        <f t="shared" si="25"/>
        <v>45698</v>
      </c>
      <c r="AA61" s="564">
        <v>6</v>
      </c>
      <c r="AB61" s="556" t="s">
        <v>329</v>
      </c>
      <c r="AC61" s="560">
        <f>IFERROR(AVERAGEIFS(J172:J201,D172:D201,1,G172:G201,"sat"),0)</f>
        <v>126012.5</v>
      </c>
      <c r="AD61" s="558">
        <f>COUNTIFS(D172:D201,1,G172:G201,"sat")</f>
        <v>4</v>
      </c>
      <c r="AE61" s="557">
        <f>($I$12*実績_2024R6!AI60)/AD61</f>
        <v>174297.90189045001</v>
      </c>
      <c r="AF61" s="553">
        <f t="shared" si="26"/>
        <v>697191.60756180005</v>
      </c>
      <c r="AG61" s="561" t="s">
        <v>339</v>
      </c>
    </row>
    <row r="62" spans="1:33" ht="20">
      <c r="A62" s="1"/>
      <c r="B62" s="11"/>
      <c r="C62" s="50">
        <v>42</v>
      </c>
      <c r="D62" s="51">
        <v>0</v>
      </c>
      <c r="E62" s="52">
        <f t="shared" si="12"/>
        <v>2</v>
      </c>
      <c r="F62" s="53">
        <f t="shared" si="13"/>
        <v>45699</v>
      </c>
      <c r="G62" s="54" t="str">
        <f t="shared" si="14"/>
        <v>Tue</v>
      </c>
      <c r="H62" s="55"/>
      <c r="I62" s="56"/>
      <c r="J62" s="82"/>
      <c r="K62" s="83"/>
      <c r="L62" s="59">
        <f t="shared" si="15"/>
        <v>0</v>
      </c>
      <c r="M62" s="60">
        <f t="shared" si="8"/>
        <v>0</v>
      </c>
      <c r="N62" s="61" t="str">
        <f t="shared" si="9"/>
        <v>¥0</v>
      </c>
      <c r="O62" s="81"/>
      <c r="P62" s="59">
        <f>IF(D62=0,0,SUM($L$52:L62))</f>
        <v>0</v>
      </c>
      <c r="Q62" s="59">
        <f>IF(D62=0,0,SUM($J$52:J62))</f>
        <v>0</v>
      </c>
      <c r="R62" s="63">
        <f t="shared" si="10"/>
        <v>0</v>
      </c>
      <c r="S62" s="64">
        <f t="shared" si="16"/>
        <v>0</v>
      </c>
      <c r="T62" s="78"/>
      <c r="U62" s="59">
        <f>IF(D62=0,0,SUM($L$21:L62))</f>
        <v>0</v>
      </c>
      <c r="V62" s="59">
        <f>IF(D62=0,0,SUM($J$21:J62))</f>
        <v>0</v>
      </c>
      <c r="W62" s="66">
        <f t="shared" si="11"/>
        <v>0</v>
      </c>
      <c r="X62" s="67">
        <f t="shared" si="17"/>
        <v>0</v>
      </c>
      <c r="Y62" s="68">
        <f t="shared" si="25"/>
        <v>45699</v>
      </c>
      <c r="Z62" s="69">
        <f t="shared" si="25"/>
        <v>45699</v>
      </c>
      <c r="AA62" s="564">
        <v>6</v>
      </c>
      <c r="AB62" s="556" t="s">
        <v>331</v>
      </c>
      <c r="AC62" s="560">
        <f>IFERROR(AVERAGEIFS(J172:J201,D172:D201,1,G172:G201,"sun"),0)</f>
        <v>0</v>
      </c>
      <c r="AD62" s="558">
        <f>IFERROR(COUNTIFS(D172:D201,1,G172:G201,"sun"),0)</f>
        <v>0</v>
      </c>
      <c r="AE62" s="557">
        <f>IFERROR(($I$12*実績_2024R6!AI61)/AD62,0)</f>
        <v>0</v>
      </c>
      <c r="AF62" s="562">
        <f>SUM(AF56:AF61)</f>
        <v>6078947.3684210517</v>
      </c>
      <c r="AG62" s="563">
        <f>I12</f>
        <v>6078947.3684210526</v>
      </c>
    </row>
    <row r="63" spans="1:33" ht="20">
      <c r="A63" s="1"/>
      <c r="B63" s="11"/>
      <c r="C63" s="50">
        <v>43</v>
      </c>
      <c r="D63" s="51">
        <v>1</v>
      </c>
      <c r="E63" s="52">
        <f t="shared" si="12"/>
        <v>2</v>
      </c>
      <c r="F63" s="53">
        <f t="shared" si="13"/>
        <v>45700</v>
      </c>
      <c r="G63" s="54" t="str">
        <f t="shared" si="14"/>
        <v>Wed</v>
      </c>
      <c r="H63" s="55"/>
      <c r="I63" s="56"/>
      <c r="J63" s="82">
        <v>323330</v>
      </c>
      <c r="K63" s="83"/>
      <c r="L63" s="59">
        <f t="shared" si="15"/>
        <v>215570.54328642032</v>
      </c>
      <c r="M63" s="60">
        <f t="shared" si="8"/>
        <v>107759.45671357968</v>
      </c>
      <c r="N63" s="61">
        <f t="shared" si="9"/>
        <v>1.499880248343596</v>
      </c>
      <c r="O63" s="80"/>
      <c r="P63" s="59">
        <f>IF(D63=0,0,SUM($L$52:L63))</f>
        <v>1914454.6569639724</v>
      </c>
      <c r="Q63" s="59">
        <f>IF(D63=0,0,SUM($J$52:J63))</f>
        <v>1913680</v>
      </c>
      <c r="R63" s="63">
        <f t="shared" si="10"/>
        <v>-774.6569639723748</v>
      </c>
      <c r="S63" s="64">
        <f t="shared" si="16"/>
        <v>0.99959536416224093</v>
      </c>
      <c r="T63" s="73"/>
      <c r="U63" s="59">
        <f>IF(D63=0,0,SUM($L$21:L63))</f>
        <v>7750244.1306481836</v>
      </c>
      <c r="V63" s="59">
        <f>IF(D63=0,0,SUM($J$21:J63))</f>
        <v>7920310</v>
      </c>
      <c r="W63" s="66">
        <f t="shared" si="11"/>
        <v>170065.86935181636</v>
      </c>
      <c r="X63" s="67">
        <f t="shared" si="17"/>
        <v>1.0219432919124825</v>
      </c>
      <c r="Y63" s="68">
        <f t="shared" si="25"/>
        <v>45700</v>
      </c>
      <c r="Z63" s="69">
        <f t="shared" si="25"/>
        <v>45700</v>
      </c>
      <c r="AA63" s="564">
        <v>7</v>
      </c>
      <c r="AB63" s="552" t="s">
        <v>323</v>
      </c>
      <c r="AC63" s="560">
        <f>IFERROR(AVERAGEIFS(J202:J232,D202:D232,1,G202:G232,"mon"),0)</f>
        <v>179653.33333333334</v>
      </c>
      <c r="AD63" s="558">
        <f>COUNTIFS(D202:D232,1,G202:G232,"Mon")</f>
        <v>3</v>
      </c>
      <c r="AE63" s="557">
        <f>($I$13*実績_2024R6!AI62)/AD63</f>
        <v>261193.83062739344</v>
      </c>
      <c r="AF63" s="553">
        <f>AD63*AE63</f>
        <v>783581.49188218033</v>
      </c>
      <c r="AG63" s="555" t="s">
        <v>340</v>
      </c>
    </row>
    <row r="64" spans="1:33" ht="20">
      <c r="A64" s="1"/>
      <c r="B64" s="11"/>
      <c r="C64" s="50">
        <v>44</v>
      </c>
      <c r="D64" s="51">
        <v>1</v>
      </c>
      <c r="E64" s="52">
        <f t="shared" si="12"/>
        <v>2</v>
      </c>
      <c r="F64" s="53">
        <f t="shared" si="13"/>
        <v>45701</v>
      </c>
      <c r="G64" s="54" t="str">
        <f t="shared" si="14"/>
        <v>Thu</v>
      </c>
      <c r="H64" s="55"/>
      <c r="I64" s="56"/>
      <c r="J64" s="82">
        <v>346290</v>
      </c>
      <c r="K64" s="83"/>
      <c r="L64" s="59">
        <f t="shared" si="15"/>
        <v>283656.58169110108</v>
      </c>
      <c r="M64" s="60">
        <f t="shared" si="8"/>
        <v>62633.418308898923</v>
      </c>
      <c r="N64" s="61">
        <f t="shared" si="9"/>
        <v>1.220807209674077</v>
      </c>
      <c r="O64" s="80"/>
      <c r="P64" s="59">
        <f>IF(D64=0,0,SUM($L$52:L64))</f>
        <v>2198111.2386550736</v>
      </c>
      <c r="Q64" s="59">
        <f>IF(D64=0,0,SUM($J$52:J64))</f>
        <v>2259970</v>
      </c>
      <c r="R64" s="63">
        <f t="shared" si="10"/>
        <v>61858.761344926432</v>
      </c>
      <c r="S64" s="64">
        <f t="shared" si="16"/>
        <v>1.0281417792953804</v>
      </c>
      <c r="T64" s="73"/>
      <c r="U64" s="59">
        <f>IF(D64=0,0,SUM($L$21:L64))</f>
        <v>8033900.7123392848</v>
      </c>
      <c r="V64" s="59">
        <f>IF(D64=0,0,SUM($J$21:J64))</f>
        <v>8266600</v>
      </c>
      <c r="W64" s="66">
        <f t="shared" si="11"/>
        <v>232699.28766071517</v>
      </c>
      <c r="X64" s="67">
        <f t="shared" si="17"/>
        <v>1.0289646705868933</v>
      </c>
      <c r="Y64" s="68">
        <f t="shared" si="25"/>
        <v>45701</v>
      </c>
      <c r="Z64" s="69">
        <f t="shared" si="25"/>
        <v>45701</v>
      </c>
      <c r="AA64" s="564">
        <v>7</v>
      </c>
      <c r="AB64" s="556" t="s">
        <v>325</v>
      </c>
      <c r="AC64" s="560">
        <f>IFERROR(AVERAGEIFS(J202:J232,D202:D232,1,G202:G232,"tue"),0)</f>
        <v>221320</v>
      </c>
      <c r="AD64" s="558">
        <f>COUNTIFS(D202:D232,1,G202:G232,"tue")</f>
        <v>5</v>
      </c>
      <c r="AE64" s="557">
        <f>($I$13*実績_2024R6!AI63)/AD64</f>
        <v>147630.74386235513</v>
      </c>
      <c r="AF64" s="553">
        <f t="shared" ref="AF64:AF68" si="27">AD64*AE64</f>
        <v>738153.71931177564</v>
      </c>
      <c r="AG64" s="555"/>
    </row>
    <row r="65" spans="1:33" ht="20">
      <c r="A65" s="1"/>
      <c r="B65" s="11"/>
      <c r="C65" s="50">
        <v>45</v>
      </c>
      <c r="D65" s="51">
        <v>1</v>
      </c>
      <c r="E65" s="52">
        <f t="shared" si="12"/>
        <v>2</v>
      </c>
      <c r="F65" s="53">
        <f t="shared" si="13"/>
        <v>45702</v>
      </c>
      <c r="G65" s="54" t="str">
        <f t="shared" si="14"/>
        <v>Fri</v>
      </c>
      <c r="H65" s="55"/>
      <c r="I65" s="56"/>
      <c r="J65" s="82">
        <v>324250</v>
      </c>
      <c r="K65" s="83"/>
      <c r="L65" s="59">
        <f t="shared" si="15"/>
        <v>207016.94758665698</v>
      </c>
      <c r="M65" s="60">
        <f t="shared" si="8"/>
        <v>117233.05241334302</v>
      </c>
      <c r="N65" s="61">
        <f t="shared" si="9"/>
        <v>1.5662968842889997</v>
      </c>
      <c r="O65" s="80"/>
      <c r="P65" s="59">
        <f>IF(D65=0,0,SUM($L$52:L65))</f>
        <v>2405128.1862417306</v>
      </c>
      <c r="Q65" s="59">
        <f>IF(D65=0,0,SUM($J$52:J65))</f>
        <v>2584220</v>
      </c>
      <c r="R65" s="63">
        <f t="shared" si="10"/>
        <v>179091.81375826942</v>
      </c>
      <c r="S65" s="64">
        <f t="shared" si="16"/>
        <v>1.0744624817848563</v>
      </c>
      <c r="T65" s="73"/>
      <c r="U65" s="59">
        <f>IF(D65=0,0,SUM($L$21:L65))</f>
        <v>8240917.6599259414</v>
      </c>
      <c r="V65" s="59">
        <f>IF(D65=0,0,SUM($J$21:J65))</f>
        <v>8590850</v>
      </c>
      <c r="W65" s="66">
        <f t="shared" si="11"/>
        <v>349932.34007405862</v>
      </c>
      <c r="X65" s="67">
        <f t="shared" si="17"/>
        <v>1.0424627880673671</v>
      </c>
      <c r="Y65" s="68">
        <f t="shared" si="25"/>
        <v>45702</v>
      </c>
      <c r="Z65" s="69">
        <f t="shared" si="25"/>
        <v>45702</v>
      </c>
      <c r="AA65" s="564">
        <v>7</v>
      </c>
      <c r="AB65" s="556" t="s">
        <v>326</v>
      </c>
      <c r="AC65" s="560">
        <f>IFERROR(AVERAGEIFS(J202:J232,D202:D232,1,G202:G232,"wed"),0)</f>
        <v>203138</v>
      </c>
      <c r="AD65" s="558">
        <f>COUNTIFS(D202:D232,1,G202:G232,"wed")</f>
        <v>5</v>
      </c>
      <c r="AE65" s="557">
        <f>($I$13*実績_2024R6!AI64)/AD65</f>
        <v>213951.48501856191</v>
      </c>
      <c r="AF65" s="553">
        <f t="shared" si="27"/>
        <v>1069757.4250928096</v>
      </c>
      <c r="AG65" s="555"/>
    </row>
    <row r="66" spans="1:33" ht="20">
      <c r="A66" s="1"/>
      <c r="B66" s="11"/>
      <c r="C66" s="50">
        <v>46</v>
      </c>
      <c r="D66" s="51">
        <v>1</v>
      </c>
      <c r="E66" s="52">
        <f t="shared" si="12"/>
        <v>2</v>
      </c>
      <c r="F66" s="53">
        <f t="shared" si="13"/>
        <v>45703</v>
      </c>
      <c r="G66" s="54" t="str">
        <f t="shared" si="14"/>
        <v>Sat</v>
      </c>
      <c r="H66" s="55"/>
      <c r="I66" s="56"/>
      <c r="J66" s="82">
        <v>59330</v>
      </c>
      <c r="K66" s="83"/>
      <c r="L66" s="59">
        <f t="shared" si="15"/>
        <v>132611.11696277058</v>
      </c>
      <c r="M66" s="60">
        <f t="shared" si="8"/>
        <v>-73281.116962770582</v>
      </c>
      <c r="N66" s="61">
        <f t="shared" si="9"/>
        <v>0.44739838830146028</v>
      </c>
      <c r="O66" s="80"/>
      <c r="P66" s="59">
        <f>IF(D66=0,0,SUM($L$52:L66))</f>
        <v>2537739.303204501</v>
      </c>
      <c r="Q66" s="59">
        <f>IF(D66=0,0,SUM($J$52:J66))</f>
        <v>2643550</v>
      </c>
      <c r="R66" s="63">
        <f t="shared" si="10"/>
        <v>105810.69679549895</v>
      </c>
      <c r="S66" s="64">
        <f t="shared" si="16"/>
        <v>1.041694864662374</v>
      </c>
      <c r="T66" s="73"/>
      <c r="U66" s="59">
        <f>IF(D66=0,0,SUM($L$21:L66))</f>
        <v>8373528.7768887123</v>
      </c>
      <c r="V66" s="59">
        <f>IF(D66=0,0,SUM($J$21:J66))</f>
        <v>8650180</v>
      </c>
      <c r="W66" s="66">
        <f t="shared" si="11"/>
        <v>276651.22311128769</v>
      </c>
      <c r="X66" s="67">
        <f t="shared" si="17"/>
        <v>1.0330387857356933</v>
      </c>
      <c r="Y66" s="68">
        <f t="shared" si="25"/>
        <v>45703</v>
      </c>
      <c r="Z66" s="69">
        <f t="shared" si="25"/>
        <v>45703</v>
      </c>
      <c r="AA66" s="564">
        <v>7</v>
      </c>
      <c r="AB66" s="556" t="s">
        <v>327</v>
      </c>
      <c r="AC66" s="560">
        <f>IFERROR(AVERAGEIFS(J202:J232,D202:D232,1,G202:G232,"thu"),0)</f>
        <v>288590</v>
      </c>
      <c r="AD66" s="558">
        <f>COUNTIFS(D202:D232,1,G202:G232,"thu")</f>
        <v>5</v>
      </c>
      <c r="AE66" s="557">
        <f>($I$13*実績_2024R6!AI65)/AD66</f>
        <v>191787.99807281245</v>
      </c>
      <c r="AF66" s="553">
        <f t="shared" si="27"/>
        <v>958939.99036406225</v>
      </c>
      <c r="AG66" s="555"/>
    </row>
    <row r="67" spans="1:33" ht="20">
      <c r="A67" s="1"/>
      <c r="B67" s="11"/>
      <c r="C67" s="50">
        <v>47</v>
      </c>
      <c r="D67" s="51">
        <v>0</v>
      </c>
      <c r="E67" s="52">
        <f t="shared" si="12"/>
        <v>2</v>
      </c>
      <c r="F67" s="53">
        <f t="shared" si="13"/>
        <v>45704</v>
      </c>
      <c r="G67" s="54" t="str">
        <f t="shared" si="14"/>
        <v>Sun</v>
      </c>
      <c r="H67" s="55"/>
      <c r="I67" s="56"/>
      <c r="J67" s="82"/>
      <c r="K67" s="83"/>
      <c r="L67" s="59">
        <f t="shared" si="15"/>
        <v>0</v>
      </c>
      <c r="M67" s="60">
        <f t="shared" si="8"/>
        <v>0</v>
      </c>
      <c r="N67" s="61" t="str">
        <f t="shared" si="9"/>
        <v>¥0</v>
      </c>
      <c r="O67" s="81"/>
      <c r="P67" s="59">
        <f>IF(D67=0,0,SUM($L$52:L67))</f>
        <v>0</v>
      </c>
      <c r="Q67" s="59">
        <f>IF(D67=0,0,SUM($J$52:J67))</f>
        <v>0</v>
      </c>
      <c r="R67" s="63">
        <f t="shared" si="10"/>
        <v>0</v>
      </c>
      <c r="S67" s="64">
        <f t="shared" si="16"/>
        <v>0</v>
      </c>
      <c r="T67" s="78"/>
      <c r="U67" s="59">
        <f>IF(D67=0,0,SUM($L$21:L67))</f>
        <v>0</v>
      </c>
      <c r="V67" s="59">
        <f>IF(D67=0,0,SUM($J$21:J67))</f>
        <v>0</v>
      </c>
      <c r="W67" s="66">
        <f t="shared" si="11"/>
        <v>0</v>
      </c>
      <c r="X67" s="67">
        <f t="shared" si="17"/>
        <v>0</v>
      </c>
      <c r="Y67" s="68">
        <f t="shared" si="25"/>
        <v>45704</v>
      </c>
      <c r="Z67" s="69">
        <f t="shared" si="25"/>
        <v>45704</v>
      </c>
      <c r="AA67" s="564">
        <v>7</v>
      </c>
      <c r="AB67" s="556" t="s">
        <v>328</v>
      </c>
      <c r="AC67" s="560">
        <f>IFERROR(AVERAGEIFS(J202:J232,D202:D232,1,G202:G232,"fri"),0)</f>
        <v>209600</v>
      </c>
      <c r="AD67" s="558">
        <f>COUNTIFS(D202:D232,1,G202:G232,"fri")</f>
        <v>4</v>
      </c>
      <c r="AE67" s="557">
        <f>($I$13*実績_2024R6!AI66)/AD67</f>
        <v>287700.63455082837</v>
      </c>
      <c r="AF67" s="553">
        <f t="shared" si="27"/>
        <v>1150802.5382033135</v>
      </c>
      <c r="AG67" s="555"/>
    </row>
    <row r="68" spans="1:33" ht="20">
      <c r="A68" s="1"/>
      <c r="B68" s="11"/>
      <c r="C68" s="50">
        <v>48</v>
      </c>
      <c r="D68" s="51">
        <v>1</v>
      </c>
      <c r="E68" s="52">
        <f t="shared" si="12"/>
        <v>2</v>
      </c>
      <c r="F68" s="53">
        <f t="shared" si="13"/>
        <v>45705</v>
      </c>
      <c r="G68" s="54" t="str">
        <f t="shared" si="14"/>
        <v>Mon</v>
      </c>
      <c r="H68" s="55"/>
      <c r="I68" s="56"/>
      <c r="J68" s="82">
        <v>209260</v>
      </c>
      <c r="K68" s="83"/>
      <c r="L68" s="59">
        <f t="shared" si="15"/>
        <v>224838.76164481696</v>
      </c>
      <c r="M68" s="60">
        <f t="shared" si="8"/>
        <v>-15578.761644816957</v>
      </c>
      <c r="N68" s="61">
        <f t="shared" si="9"/>
        <v>0.93071140611676606</v>
      </c>
      <c r="O68" s="80"/>
      <c r="P68" s="59">
        <f>IF(D68=0,0,SUM($L$52:L68))</f>
        <v>2762578.064849318</v>
      </c>
      <c r="Q68" s="59">
        <f>IF(D68=0,0,SUM($J$52:J68))</f>
        <v>2852810</v>
      </c>
      <c r="R68" s="63">
        <f t="shared" si="10"/>
        <v>90231.935150681995</v>
      </c>
      <c r="S68" s="64">
        <f t="shared" si="16"/>
        <v>1.0326622209517919</v>
      </c>
      <c r="T68" s="73"/>
      <c r="U68" s="59">
        <f>IF(D68=0,0,SUM($L$21:L68))</f>
        <v>8598367.5385335293</v>
      </c>
      <c r="V68" s="59">
        <f>IF(D68=0,0,SUM($J$21:J68))</f>
        <v>8859440</v>
      </c>
      <c r="W68" s="66">
        <f t="shared" si="11"/>
        <v>261072.46146647073</v>
      </c>
      <c r="X68" s="67">
        <f t="shared" si="17"/>
        <v>1.0303630265043306</v>
      </c>
      <c r="Y68" s="68">
        <f t="shared" si="25"/>
        <v>45705</v>
      </c>
      <c r="Z68" s="69">
        <f t="shared" si="25"/>
        <v>45705</v>
      </c>
      <c r="AA68" s="564">
        <v>7</v>
      </c>
      <c r="AB68" s="556" t="s">
        <v>329</v>
      </c>
      <c r="AC68" s="560">
        <f>IFERROR(AVERAGEIFS(J202:J232,D202:D232,1,G202:G232,"sat"),0)</f>
        <v>98982.5</v>
      </c>
      <c r="AD68" s="558">
        <f>COUNTIFS(D202:D232,1,G202:G232,"sat")</f>
        <v>4</v>
      </c>
      <c r="AE68" s="557">
        <f>($I$13*実績_2024R6!AI67)/AD68</f>
        <v>117849.10352330667</v>
      </c>
      <c r="AF68" s="553">
        <f t="shared" si="27"/>
        <v>471396.41409322666</v>
      </c>
      <c r="AG68" s="561" t="s">
        <v>341</v>
      </c>
    </row>
    <row r="69" spans="1:33" ht="20">
      <c r="A69" s="1"/>
      <c r="B69" s="11"/>
      <c r="C69" s="50">
        <v>49</v>
      </c>
      <c r="D69" s="51">
        <v>1</v>
      </c>
      <c r="E69" s="52">
        <f t="shared" si="12"/>
        <v>2</v>
      </c>
      <c r="F69" s="53">
        <f t="shared" si="13"/>
        <v>45706</v>
      </c>
      <c r="G69" s="54" t="str">
        <f t="shared" si="14"/>
        <v>Tue</v>
      </c>
      <c r="H69" s="55"/>
      <c r="I69" s="56"/>
      <c r="J69" s="82">
        <v>124000</v>
      </c>
      <c r="K69" s="83"/>
      <c r="L69" s="59">
        <f t="shared" si="15"/>
        <v>277740.28389819851</v>
      </c>
      <c r="M69" s="60">
        <f t="shared" si="8"/>
        <v>-153740.28389819851</v>
      </c>
      <c r="N69" s="61">
        <f t="shared" si="9"/>
        <v>0.44646026229832153</v>
      </c>
      <c r="O69" s="80"/>
      <c r="P69" s="59">
        <f>IF(D69=0,0,SUM($L$52:L69))</f>
        <v>3040318.3487475165</v>
      </c>
      <c r="Q69" s="59">
        <f>IF(D69=0,0,SUM($J$52:J69))</f>
        <v>2976810</v>
      </c>
      <c r="R69" s="63">
        <f t="shared" si="10"/>
        <v>-63508.348747516517</v>
      </c>
      <c r="S69" s="64">
        <f t="shared" si="16"/>
        <v>0.97911128327279306</v>
      </c>
      <c r="T69" s="73"/>
      <c r="U69" s="59">
        <f>IF(D69=0,0,SUM($L$21:L69))</f>
        <v>8876107.8224317282</v>
      </c>
      <c r="V69" s="59">
        <f>IF(D69=0,0,SUM($J$21:J69))</f>
        <v>8983440</v>
      </c>
      <c r="W69" s="66">
        <f t="shared" si="11"/>
        <v>107332.17756827176</v>
      </c>
      <c r="X69" s="67">
        <f t="shared" si="17"/>
        <v>1.0120922570698185</v>
      </c>
      <c r="Y69" s="68">
        <f t="shared" si="25"/>
        <v>45706</v>
      </c>
      <c r="Z69" s="69">
        <f t="shared" si="25"/>
        <v>45706</v>
      </c>
      <c r="AA69" s="564">
        <v>7</v>
      </c>
      <c r="AB69" s="556" t="s">
        <v>331</v>
      </c>
      <c r="AC69" s="560">
        <f>IFERROR(AVERAGEIFS(J202:J232,D202:D232,1,G202:G232,"sun"),0)</f>
        <v>0</v>
      </c>
      <c r="AD69" s="558">
        <f>IFERROR(COUNTIFS(D202:D232,1,G202:G232,"sun"),0)</f>
        <v>0</v>
      </c>
      <c r="AE69" s="557">
        <f>IFERROR(($I$13*実績_2024R6!AI68)/AD69,0)</f>
        <v>0</v>
      </c>
      <c r="AF69" s="562">
        <f>SUM(AF63:AF68)</f>
        <v>5172631.5789473671</v>
      </c>
      <c r="AG69" s="563">
        <f>I13</f>
        <v>5172631.5789473681</v>
      </c>
    </row>
    <row r="70" spans="1:33" ht="20">
      <c r="A70" s="1"/>
      <c r="B70" s="11"/>
      <c r="C70" s="50">
        <v>50</v>
      </c>
      <c r="D70" s="51">
        <v>1</v>
      </c>
      <c r="E70" s="52">
        <f t="shared" si="12"/>
        <v>2</v>
      </c>
      <c r="F70" s="53">
        <f t="shared" si="13"/>
        <v>45707</v>
      </c>
      <c r="G70" s="54" t="str">
        <f t="shared" si="14"/>
        <v>Wed</v>
      </c>
      <c r="H70" s="55"/>
      <c r="I70" s="56"/>
      <c r="J70" s="82">
        <v>223000</v>
      </c>
      <c r="K70" s="83"/>
      <c r="L70" s="59">
        <f t="shared" si="15"/>
        <v>215570.54328642032</v>
      </c>
      <c r="M70" s="60">
        <f t="shared" si="8"/>
        <v>7429.4567135796824</v>
      </c>
      <c r="N70" s="61">
        <f t="shared" si="9"/>
        <v>1.0344641554468248</v>
      </c>
      <c r="O70" s="80"/>
      <c r="P70" s="59">
        <f>IF(D70=0,0,SUM($L$52:L70))</f>
        <v>3255888.8920339369</v>
      </c>
      <c r="Q70" s="59">
        <f>IF(D70=0,0,SUM($J$52:J70))</f>
        <v>3199810</v>
      </c>
      <c r="R70" s="63">
        <f t="shared" si="10"/>
        <v>-56078.892033936922</v>
      </c>
      <c r="S70" s="64">
        <f t="shared" si="16"/>
        <v>0.98277616531352063</v>
      </c>
      <c r="T70" s="73"/>
      <c r="U70" s="59">
        <f>IF(D70=0,0,SUM($L$21:L70))</f>
        <v>9091678.3657181486</v>
      </c>
      <c r="V70" s="59">
        <f>IF(D70=0,0,SUM($J$21:J70))</f>
        <v>9206440</v>
      </c>
      <c r="W70" s="66">
        <f t="shared" si="11"/>
        <v>114761.63428185135</v>
      </c>
      <c r="X70" s="67">
        <f t="shared" si="17"/>
        <v>1.0126227116342545</v>
      </c>
      <c r="Y70" s="68">
        <f t="shared" si="25"/>
        <v>45707</v>
      </c>
      <c r="Z70" s="69">
        <f t="shared" si="25"/>
        <v>45707</v>
      </c>
      <c r="AA70" s="564">
        <v>8</v>
      </c>
      <c r="AB70" s="552" t="s">
        <v>323</v>
      </c>
      <c r="AC70" s="560">
        <f>IFERROR(AVERAGEIFS(J233:J263,D233:D263,1,G233:G263,"mon"),0)</f>
        <v>133416.66666666666</v>
      </c>
      <c r="AD70" s="558">
        <f>COUNTIFS(D233:D263,1,G233:G263,"Mon")</f>
        <v>3</v>
      </c>
      <c r="AE70" s="557">
        <f>($I$14*実績_2024R6!AI69)/AD70</f>
        <v>91631.631648912808</v>
      </c>
      <c r="AF70" s="553">
        <f>AD70*AE70</f>
        <v>274894.89494673844</v>
      </c>
      <c r="AG70" s="555" t="s">
        <v>342</v>
      </c>
    </row>
    <row r="71" spans="1:33" ht="20">
      <c r="A71" s="1"/>
      <c r="B71" s="11"/>
      <c r="C71" s="50">
        <v>51</v>
      </c>
      <c r="D71" s="51">
        <v>1</v>
      </c>
      <c r="E71" s="52">
        <f t="shared" si="12"/>
        <v>2</v>
      </c>
      <c r="F71" s="53">
        <f t="shared" si="13"/>
        <v>45708</v>
      </c>
      <c r="G71" s="54" t="str">
        <f t="shared" si="14"/>
        <v>Thu</v>
      </c>
      <c r="H71" s="55"/>
      <c r="I71" s="56"/>
      <c r="J71" s="82">
        <v>425750</v>
      </c>
      <c r="K71" s="83"/>
      <c r="L71" s="59">
        <f t="shared" si="15"/>
        <v>283656.58169110108</v>
      </c>
      <c r="M71" s="60">
        <f t="shared" si="8"/>
        <v>142093.41830889892</v>
      </c>
      <c r="N71" s="61">
        <f t="shared" si="9"/>
        <v>1.5009346776364847</v>
      </c>
      <c r="O71" s="80"/>
      <c r="P71" s="59">
        <f>IF(D71=0,0,SUM($L$52:L71))</f>
        <v>3539545.4737250381</v>
      </c>
      <c r="Q71" s="59">
        <f>IF(D71=0,0,SUM($J$52:J71))</f>
        <v>3625560</v>
      </c>
      <c r="R71" s="63">
        <f t="shared" si="10"/>
        <v>86014.526274961885</v>
      </c>
      <c r="S71" s="64">
        <f t="shared" si="16"/>
        <v>1.0243010089610289</v>
      </c>
      <c r="T71" s="73"/>
      <c r="U71" s="59">
        <f>IF(D71=0,0,SUM($L$21:L71))</f>
        <v>9375334.9474092498</v>
      </c>
      <c r="V71" s="59">
        <f>IF(D71=0,0,SUM($J$21:J71))</f>
        <v>9632190</v>
      </c>
      <c r="W71" s="66">
        <f t="shared" si="11"/>
        <v>256855.05259075016</v>
      </c>
      <c r="X71" s="67">
        <f t="shared" si="17"/>
        <v>1.0273968934477087</v>
      </c>
      <c r="Y71" s="68">
        <f t="shared" ref="Y71:Z86" si="28">Y70+1</f>
        <v>45708</v>
      </c>
      <c r="Z71" s="69">
        <f t="shared" si="28"/>
        <v>45708</v>
      </c>
      <c r="AA71" s="564">
        <v>8</v>
      </c>
      <c r="AB71" s="556" t="s">
        <v>325</v>
      </c>
      <c r="AC71" s="560">
        <f>IFERROR(AVERAGEIFS(J233:J263,D233:D263,1,G233:G263,"tue"),0)</f>
        <v>121666.66666666667</v>
      </c>
      <c r="AD71" s="558">
        <f>COUNTIFS(D233:D263,1,G233:G263,"tue")</f>
        <v>3</v>
      </c>
      <c r="AE71" s="557">
        <f>($I$14*実績_2024R6!AI70)/AD71</f>
        <v>76844.17086507917</v>
      </c>
      <c r="AF71" s="553">
        <f t="shared" ref="AF71:AF75" si="29">AD71*AE71</f>
        <v>230532.51259523752</v>
      </c>
      <c r="AG71" s="555"/>
    </row>
    <row r="72" spans="1:33" ht="20">
      <c r="A72" s="1"/>
      <c r="B72" s="11"/>
      <c r="C72" s="50">
        <v>52</v>
      </c>
      <c r="D72" s="51">
        <v>1</v>
      </c>
      <c r="E72" s="52">
        <f t="shared" si="12"/>
        <v>2</v>
      </c>
      <c r="F72" s="53">
        <f t="shared" si="13"/>
        <v>45709</v>
      </c>
      <c r="G72" s="54" t="str">
        <f t="shared" si="14"/>
        <v>Fri</v>
      </c>
      <c r="H72" s="55"/>
      <c r="I72" s="56"/>
      <c r="J72" s="82">
        <v>260660</v>
      </c>
      <c r="K72" s="83"/>
      <c r="L72" s="59">
        <f t="shared" si="15"/>
        <v>207016.94758665698</v>
      </c>
      <c r="M72" s="60">
        <f t="shared" si="8"/>
        <v>53643.052413343015</v>
      </c>
      <c r="N72" s="61">
        <f t="shared" si="9"/>
        <v>1.2591239656400022</v>
      </c>
      <c r="O72" s="80"/>
      <c r="P72" s="59">
        <f>IF(D72=0,0,SUM($L$52:L72))</f>
        <v>3746562.4213116951</v>
      </c>
      <c r="Q72" s="59">
        <f>IF(D72=0,0,SUM($J$52:J72))</f>
        <v>3886220</v>
      </c>
      <c r="R72" s="63">
        <f t="shared" si="10"/>
        <v>139657.57868830487</v>
      </c>
      <c r="S72" s="64">
        <f t="shared" si="16"/>
        <v>1.0372761916080422</v>
      </c>
      <c r="T72" s="73"/>
      <c r="U72" s="59">
        <f>IF(D72=0,0,SUM($L$21:L72))</f>
        <v>9582351.8949959073</v>
      </c>
      <c r="V72" s="59">
        <f>IF(D72=0,0,SUM($J$21:J72))</f>
        <v>9892850</v>
      </c>
      <c r="W72" s="66">
        <f t="shared" si="11"/>
        <v>310498.10500409268</v>
      </c>
      <c r="X72" s="67">
        <f t="shared" si="17"/>
        <v>1.0324031206958952</v>
      </c>
      <c r="Y72" s="68">
        <f t="shared" si="28"/>
        <v>45709</v>
      </c>
      <c r="Z72" s="69">
        <f t="shared" si="28"/>
        <v>45709</v>
      </c>
      <c r="AA72" s="564">
        <v>8</v>
      </c>
      <c r="AB72" s="556" t="s">
        <v>326</v>
      </c>
      <c r="AC72" s="560">
        <f>IFERROR(AVERAGEIFS(J233:J263,D233:D263,1,G233:G263,"wed"),0)</f>
        <v>95833.333333333328</v>
      </c>
      <c r="AD72" s="558">
        <f>COUNTIFS(D233:D263,1,G233:G263,"wed")</f>
        <v>3</v>
      </c>
      <c r="AE72" s="557">
        <f>($I$14*実績_2024R6!AI71)/AD72</f>
        <v>144049.79150461836</v>
      </c>
      <c r="AF72" s="553">
        <f t="shared" si="29"/>
        <v>432149.37451385509</v>
      </c>
      <c r="AG72" s="555"/>
    </row>
    <row r="73" spans="1:33" ht="20">
      <c r="A73" s="1"/>
      <c r="B73" s="11"/>
      <c r="C73" s="50">
        <v>53</v>
      </c>
      <c r="D73" s="51">
        <v>1</v>
      </c>
      <c r="E73" s="52">
        <f t="shared" si="12"/>
        <v>2</v>
      </c>
      <c r="F73" s="53">
        <f t="shared" si="13"/>
        <v>45710</v>
      </c>
      <c r="G73" s="54" t="str">
        <f t="shared" si="14"/>
        <v>Sat</v>
      </c>
      <c r="H73" s="55"/>
      <c r="I73" s="56"/>
      <c r="J73" s="82">
        <v>173500</v>
      </c>
      <c r="K73" s="83"/>
      <c r="L73" s="59">
        <f t="shared" si="15"/>
        <v>132611.11696277058</v>
      </c>
      <c r="M73" s="60">
        <f t="shared" si="8"/>
        <v>40888.883037229418</v>
      </c>
      <c r="N73" s="61">
        <f t="shared" si="9"/>
        <v>1.308336766733581</v>
      </c>
      <c r="O73" s="80"/>
      <c r="P73" s="59">
        <f>IF(D73=0,0,SUM($L$52:L73))</f>
        <v>3879173.5382744656</v>
      </c>
      <c r="Q73" s="59">
        <f>IF(D73=0,0,SUM($J$52:J73))</f>
        <v>4059720</v>
      </c>
      <c r="R73" s="63">
        <f t="shared" si="10"/>
        <v>180546.46172553441</v>
      </c>
      <c r="S73" s="64">
        <f t="shared" si="16"/>
        <v>1.0465425070428391</v>
      </c>
      <c r="T73" s="73"/>
      <c r="U73" s="59">
        <f>IF(D73=0,0,SUM($L$21:L73))</f>
        <v>9714963.0119586773</v>
      </c>
      <c r="V73" s="59">
        <f>IF(D73=0,0,SUM($J$21:J73))</f>
        <v>10066350</v>
      </c>
      <c r="W73" s="66">
        <f t="shared" si="11"/>
        <v>351386.98804132268</v>
      </c>
      <c r="X73" s="67">
        <f t="shared" si="17"/>
        <v>1.0361696681303656</v>
      </c>
      <c r="Y73" s="68">
        <f t="shared" si="28"/>
        <v>45710</v>
      </c>
      <c r="Z73" s="69">
        <f t="shared" si="28"/>
        <v>45710</v>
      </c>
      <c r="AA73" s="564">
        <v>8</v>
      </c>
      <c r="AB73" s="556" t="s">
        <v>327</v>
      </c>
      <c r="AC73" s="560">
        <f>IFERROR(AVERAGEIFS(J233:J263,D233:D263,1,G233:G263,"thu"),0)</f>
        <v>122210</v>
      </c>
      <c r="AD73" s="558">
        <f>COUNTIFS(D233:D263,1,G233:G263,"thu")</f>
        <v>3</v>
      </c>
      <c r="AE73" s="557">
        <f>($I$14*実績_2024R6!AI72)/AD73</f>
        <v>134256.91603953423</v>
      </c>
      <c r="AF73" s="553">
        <f t="shared" si="29"/>
        <v>402770.74811860267</v>
      </c>
      <c r="AG73" s="555"/>
    </row>
    <row r="74" spans="1:33" ht="20">
      <c r="A74" s="1"/>
      <c r="B74" s="11"/>
      <c r="C74" s="50">
        <v>54</v>
      </c>
      <c r="D74" s="51">
        <v>0</v>
      </c>
      <c r="E74" s="52">
        <f t="shared" si="12"/>
        <v>2</v>
      </c>
      <c r="F74" s="53">
        <f t="shared" si="13"/>
        <v>45711</v>
      </c>
      <c r="G74" s="54" t="str">
        <f t="shared" si="14"/>
        <v>Sun</v>
      </c>
      <c r="H74" s="55"/>
      <c r="I74" s="56"/>
      <c r="J74" s="82"/>
      <c r="K74" s="83"/>
      <c r="L74" s="59">
        <f t="shared" si="15"/>
        <v>0</v>
      </c>
      <c r="M74" s="60">
        <f t="shared" si="8"/>
        <v>0</v>
      </c>
      <c r="N74" s="61" t="str">
        <f t="shared" si="9"/>
        <v>¥0</v>
      </c>
      <c r="O74" s="81"/>
      <c r="P74" s="59">
        <f>IF(D74=0,0,SUM($L$52:L74))</f>
        <v>0</v>
      </c>
      <c r="Q74" s="59">
        <f>IF(D74=0,0,SUM($J$52:J74))</f>
        <v>0</v>
      </c>
      <c r="R74" s="63">
        <f t="shared" si="10"/>
        <v>0</v>
      </c>
      <c r="S74" s="64">
        <f t="shared" si="16"/>
        <v>0</v>
      </c>
      <c r="T74" s="78"/>
      <c r="U74" s="59">
        <f>IF(D74=0,0,SUM($L$21:L74))</f>
        <v>0</v>
      </c>
      <c r="V74" s="59">
        <f>IF(D74=0,0,SUM($J$21:J74))</f>
        <v>0</v>
      </c>
      <c r="W74" s="66">
        <f t="shared" si="11"/>
        <v>0</v>
      </c>
      <c r="X74" s="67">
        <f t="shared" si="17"/>
        <v>0</v>
      </c>
      <c r="Y74" s="68">
        <f t="shared" si="28"/>
        <v>45711</v>
      </c>
      <c r="Z74" s="69">
        <f t="shared" si="28"/>
        <v>45711</v>
      </c>
      <c r="AA74" s="564">
        <v>8</v>
      </c>
      <c r="AB74" s="556" t="s">
        <v>328</v>
      </c>
      <c r="AC74" s="560">
        <f>IFERROR(AVERAGEIFS(J233:J263,D233:D263,1,G233:G263,"fri"),0)</f>
        <v>169465</v>
      </c>
      <c r="AD74" s="558">
        <f>COUNTIFS(D233:D263,1,G233:G263,"fri")</f>
        <v>4</v>
      </c>
      <c r="AE74" s="557">
        <f>($I$14*実績_2024R6!AI73)/AD74</f>
        <v>140867.09881310942</v>
      </c>
      <c r="AF74" s="553">
        <f t="shared" si="29"/>
        <v>563468.39525243768</v>
      </c>
      <c r="AG74" s="555"/>
    </row>
    <row r="75" spans="1:33" ht="20">
      <c r="A75" s="1"/>
      <c r="B75" s="11"/>
      <c r="C75" s="50">
        <v>55</v>
      </c>
      <c r="D75" s="51">
        <v>0</v>
      </c>
      <c r="E75" s="52">
        <f t="shared" si="12"/>
        <v>2</v>
      </c>
      <c r="F75" s="53">
        <f t="shared" si="13"/>
        <v>45712</v>
      </c>
      <c r="G75" s="54" t="str">
        <f t="shared" si="14"/>
        <v>Mon</v>
      </c>
      <c r="H75" s="55"/>
      <c r="I75" s="56"/>
      <c r="J75" s="82"/>
      <c r="K75" s="83"/>
      <c r="L75" s="59">
        <f t="shared" si="15"/>
        <v>0</v>
      </c>
      <c r="M75" s="60">
        <f t="shared" si="8"/>
        <v>0</v>
      </c>
      <c r="N75" s="61" t="str">
        <f t="shared" si="9"/>
        <v>¥0</v>
      </c>
      <c r="O75" s="81"/>
      <c r="P75" s="59">
        <f>IF(D75=0,0,SUM($L$52:L75))</f>
        <v>0</v>
      </c>
      <c r="Q75" s="59">
        <f>IF(D75=0,0,SUM($J$52:J75))</f>
        <v>0</v>
      </c>
      <c r="R75" s="63">
        <f t="shared" si="10"/>
        <v>0</v>
      </c>
      <c r="S75" s="64">
        <f t="shared" si="16"/>
        <v>0</v>
      </c>
      <c r="T75" s="78"/>
      <c r="U75" s="59">
        <f>IF(D75=0,0,SUM($L$21:L75))</f>
        <v>0</v>
      </c>
      <c r="V75" s="59">
        <f>IF(D75=0,0,SUM($J$21:J75))</f>
        <v>0</v>
      </c>
      <c r="W75" s="66">
        <f t="shared" si="11"/>
        <v>0</v>
      </c>
      <c r="X75" s="67">
        <f t="shared" si="17"/>
        <v>0</v>
      </c>
      <c r="Y75" s="68">
        <f t="shared" si="28"/>
        <v>45712</v>
      </c>
      <c r="Z75" s="69">
        <f t="shared" si="28"/>
        <v>45712</v>
      </c>
      <c r="AA75" s="564">
        <v>8</v>
      </c>
      <c r="AB75" s="556" t="s">
        <v>329</v>
      </c>
      <c r="AC75" s="560">
        <f>IFERROR(AVERAGEIFS(J233:J263,D233:D263,1,G233:G263,"sat"),0)</f>
        <v>79267.5</v>
      </c>
      <c r="AD75" s="558">
        <f>COUNTIFS(D233:D263,1,G233:G263,"sat")</f>
        <v>4</v>
      </c>
      <c r="AE75" s="557">
        <f>($I$14*実績_2024R6!AI74)/AD75</f>
        <v>76677.597590650563</v>
      </c>
      <c r="AF75" s="553">
        <f t="shared" si="29"/>
        <v>306710.39036260225</v>
      </c>
      <c r="AG75" s="561" t="s">
        <v>343</v>
      </c>
    </row>
    <row r="76" spans="1:33" ht="20">
      <c r="A76" s="1"/>
      <c r="B76" s="11"/>
      <c r="C76" s="50">
        <v>56</v>
      </c>
      <c r="D76" s="51">
        <v>1</v>
      </c>
      <c r="E76" s="52">
        <f t="shared" si="12"/>
        <v>2</v>
      </c>
      <c r="F76" s="53">
        <f t="shared" si="13"/>
        <v>45713</v>
      </c>
      <c r="G76" s="54" t="str">
        <f t="shared" si="14"/>
        <v>Tue</v>
      </c>
      <c r="H76" s="55"/>
      <c r="I76" s="56"/>
      <c r="J76" s="82">
        <v>317900</v>
      </c>
      <c r="K76" s="83"/>
      <c r="L76" s="59">
        <f t="shared" si="15"/>
        <v>277740.28389819851</v>
      </c>
      <c r="M76" s="60">
        <f t="shared" si="8"/>
        <v>40159.716101801489</v>
      </c>
      <c r="N76" s="61">
        <f t="shared" si="9"/>
        <v>1.1445944950373905</v>
      </c>
      <c r="O76" s="80"/>
      <c r="P76" s="59">
        <f>IF(D76=0,0,SUM($L$52:L76))</f>
        <v>4156913.8221726641</v>
      </c>
      <c r="Q76" s="59">
        <f>IF(D76=0,0,SUM($J$52:J76))</f>
        <v>4377620</v>
      </c>
      <c r="R76" s="63">
        <f t="shared" si="10"/>
        <v>220706.17782733589</v>
      </c>
      <c r="S76" s="64">
        <f t="shared" si="16"/>
        <v>1.0530937583189977</v>
      </c>
      <c r="T76" s="73"/>
      <c r="U76" s="59">
        <f>IF(D76=0,0,SUM($L$21:L76))</f>
        <v>9992703.2958568763</v>
      </c>
      <c r="V76" s="59">
        <f>IF(D76=0,0,SUM($J$21:J76))</f>
        <v>10384250</v>
      </c>
      <c r="W76" s="66">
        <f t="shared" si="11"/>
        <v>391546.7041431237</v>
      </c>
      <c r="X76" s="67">
        <f t="shared" si="17"/>
        <v>1.0391832612808052</v>
      </c>
      <c r="Y76" s="68">
        <f t="shared" si="28"/>
        <v>45713</v>
      </c>
      <c r="Z76" s="69">
        <f t="shared" si="28"/>
        <v>45713</v>
      </c>
      <c r="AA76" s="564">
        <v>8</v>
      </c>
      <c r="AB76" s="556" t="s">
        <v>331</v>
      </c>
      <c r="AC76" s="560">
        <f>IFERROR(AVERAGEIFS(J233:J263,D233:D263,1,G233:G263,"sun"),0)</f>
        <v>0</v>
      </c>
      <c r="AD76" s="558">
        <f>IFERROR(COUNTIFS(D233:D263,1,G233:G263,"sun"),0)</f>
        <v>0</v>
      </c>
      <c r="AE76" s="557">
        <f>IFERROR(($I$14*実績_2024R6!AI75)/AD76,0)</f>
        <v>0</v>
      </c>
      <c r="AF76" s="562">
        <f>SUM(AF70:AF75)</f>
        <v>2210526.3157894737</v>
      </c>
      <c r="AG76" s="563">
        <f>I14</f>
        <v>2210526.3157894737</v>
      </c>
    </row>
    <row r="77" spans="1:33" ht="20">
      <c r="A77" s="1"/>
      <c r="B77" s="11"/>
      <c r="C77" s="50">
        <v>57</v>
      </c>
      <c r="D77" s="51">
        <v>1</v>
      </c>
      <c r="E77" s="52">
        <f t="shared" si="12"/>
        <v>2</v>
      </c>
      <c r="F77" s="53">
        <f t="shared" si="13"/>
        <v>45714</v>
      </c>
      <c r="G77" s="54" t="str">
        <f t="shared" si="14"/>
        <v>Wed</v>
      </c>
      <c r="H77" s="55"/>
      <c r="I77" s="56"/>
      <c r="J77" s="82">
        <v>300760</v>
      </c>
      <c r="K77" s="83"/>
      <c r="L77" s="59">
        <f t="shared" si="15"/>
        <v>215570.54328642032</v>
      </c>
      <c r="M77" s="60">
        <f t="shared" si="8"/>
        <v>85189.456713579682</v>
      </c>
      <c r="N77" s="61">
        <f t="shared" si="9"/>
        <v>1.3951813425658612</v>
      </c>
      <c r="O77" s="80"/>
      <c r="P77" s="59">
        <f>IF(D77=0,0,SUM($L$52:L77))</f>
        <v>4372484.3654590845</v>
      </c>
      <c r="Q77" s="59">
        <f>IF(D77=0,0,SUM($J$52:J77))</f>
        <v>4678380</v>
      </c>
      <c r="R77" s="63">
        <f t="shared" si="10"/>
        <v>305895.63454091549</v>
      </c>
      <c r="S77" s="64">
        <f t="shared" si="16"/>
        <v>1.0699592288899582</v>
      </c>
      <c r="T77" s="73"/>
      <c r="U77" s="59">
        <f>IF(D77=0,0,SUM($L$21:L77))</f>
        <v>10208273.839143297</v>
      </c>
      <c r="V77" s="59">
        <f>IF(D77=0,0,SUM($J$21:J77))</f>
        <v>10685010</v>
      </c>
      <c r="W77" s="66">
        <f t="shared" si="11"/>
        <v>476736.1608567033</v>
      </c>
      <c r="X77" s="67">
        <f t="shared" si="17"/>
        <v>1.0467009573184327</v>
      </c>
      <c r="Y77" s="68">
        <f t="shared" si="28"/>
        <v>45714</v>
      </c>
      <c r="Z77" s="69">
        <f t="shared" si="28"/>
        <v>45714</v>
      </c>
      <c r="AA77" s="564">
        <v>9</v>
      </c>
      <c r="AB77" s="552" t="s">
        <v>323</v>
      </c>
      <c r="AC77" s="560">
        <f>IFERROR(AVERAGEIFS(J264:J293,D264:D293,1,G264:G293,"mon"),0)</f>
        <v>152812.5</v>
      </c>
      <c r="AD77" s="558">
        <f>COUNTIFS(D264:D293,1,G264:G293,"Mon")</f>
        <v>4</v>
      </c>
      <c r="AE77" s="557">
        <f>($I$15*実績_2024R6!AI76)/AD77</f>
        <v>99738.17970501013</v>
      </c>
      <c r="AF77" s="553">
        <f>AD77*AE77</f>
        <v>398952.71882004052</v>
      </c>
      <c r="AG77" s="555" t="s">
        <v>344</v>
      </c>
    </row>
    <row r="78" spans="1:33" ht="20">
      <c r="A78" s="1"/>
      <c r="B78" s="11"/>
      <c r="C78" s="50">
        <v>58</v>
      </c>
      <c r="D78" s="51">
        <v>1</v>
      </c>
      <c r="E78" s="52">
        <f t="shared" si="12"/>
        <v>2</v>
      </c>
      <c r="F78" s="53">
        <f t="shared" si="13"/>
        <v>45715</v>
      </c>
      <c r="G78" s="54" t="str">
        <f t="shared" si="14"/>
        <v>Thu</v>
      </c>
      <c r="H78" s="55"/>
      <c r="I78" s="56"/>
      <c r="J78" s="82">
        <v>365350</v>
      </c>
      <c r="K78" s="83"/>
      <c r="L78" s="59">
        <f t="shared" si="15"/>
        <v>283656.58169110108</v>
      </c>
      <c r="M78" s="60">
        <f t="shared" si="8"/>
        <v>81693.418308898923</v>
      </c>
      <c r="N78" s="61">
        <f t="shared" si="9"/>
        <v>1.2880011379318608</v>
      </c>
      <c r="O78" s="80"/>
      <c r="P78" s="59">
        <f>IF(D78=0,0,SUM($L$52:L78))</f>
        <v>4656140.9471501857</v>
      </c>
      <c r="Q78" s="59">
        <f>IF(D78=0,0,SUM($J$52:J78))</f>
        <v>5043730</v>
      </c>
      <c r="R78" s="63">
        <f t="shared" si="10"/>
        <v>387589.0528498143</v>
      </c>
      <c r="S78" s="64">
        <f t="shared" si="16"/>
        <v>1.0832425515570012</v>
      </c>
      <c r="T78" s="73"/>
      <c r="U78" s="59">
        <f>IF(D78=0,0,SUM($L$21:L78))</f>
        <v>10491930.420834398</v>
      </c>
      <c r="V78" s="59">
        <f>IF(D78=0,0,SUM($J$21:J78))</f>
        <v>11050360</v>
      </c>
      <c r="W78" s="66">
        <f t="shared" si="11"/>
        <v>558429.5791656021</v>
      </c>
      <c r="X78" s="67">
        <f t="shared" si="17"/>
        <v>1.0532246742750693</v>
      </c>
      <c r="Y78" s="68">
        <f t="shared" si="28"/>
        <v>45715</v>
      </c>
      <c r="Z78" s="69">
        <f t="shared" si="28"/>
        <v>45715</v>
      </c>
      <c r="AA78" s="564">
        <v>9</v>
      </c>
      <c r="AB78" s="556" t="s">
        <v>325</v>
      </c>
      <c r="AC78" s="560">
        <f>IFERROR(AVERAGEIFS(J264:J293,D264:D293,1,G264:G293,"tue"),0)</f>
        <v>190260</v>
      </c>
      <c r="AD78" s="558">
        <f>COUNTIFS(D264:D293,1,G264:G293,"tue")</f>
        <v>4</v>
      </c>
      <c r="AE78" s="557">
        <f>($I$15*実績_2024R6!AI77)/AD78</f>
        <v>164917.32614901999</v>
      </c>
      <c r="AF78" s="553">
        <f t="shared" ref="AF78:AF82" si="30">AD78*AE78</f>
        <v>659669.30459607998</v>
      </c>
      <c r="AG78" s="555"/>
    </row>
    <row r="79" spans="1:33" ht="21" thickBot="1">
      <c r="A79" s="1"/>
      <c r="B79" s="11"/>
      <c r="C79" s="84">
        <v>59</v>
      </c>
      <c r="D79" s="85">
        <v>1</v>
      </c>
      <c r="E79" s="501">
        <f t="shared" si="12"/>
        <v>2</v>
      </c>
      <c r="F79" s="86">
        <f t="shared" si="13"/>
        <v>45716</v>
      </c>
      <c r="G79" s="87" t="str">
        <f t="shared" si="14"/>
        <v>Fri</v>
      </c>
      <c r="H79" s="508"/>
      <c r="I79" s="502"/>
      <c r="J79" s="89">
        <v>324940</v>
      </c>
      <c r="K79" s="503"/>
      <c r="L79" s="534">
        <f t="shared" si="15"/>
        <v>207016.94758665698</v>
      </c>
      <c r="M79" s="91">
        <f t="shared" si="8"/>
        <v>117923.05241334302</v>
      </c>
      <c r="N79" s="92">
        <f t="shared" si="9"/>
        <v>1.5696299447366773</v>
      </c>
      <c r="O79" s="504"/>
      <c r="P79" s="93">
        <f>IF(D79=0,0,SUM($L$52:L79))</f>
        <v>4863157.8947368423</v>
      </c>
      <c r="Q79" s="90">
        <f>IF(D79=0,0,SUM($J$52:J79))</f>
        <v>5368670</v>
      </c>
      <c r="R79" s="91">
        <f t="shared" si="10"/>
        <v>505512.10526315775</v>
      </c>
      <c r="S79" s="505">
        <f t="shared" si="16"/>
        <v>1.1039472943722943</v>
      </c>
      <c r="T79" s="506"/>
      <c r="U79" s="94">
        <f>IF(D79=0,0,SUM($L$21:L79))</f>
        <v>10698947.368421055</v>
      </c>
      <c r="V79" s="90">
        <f>IF(D79=0,0,SUM($J$21:J79))</f>
        <v>11375300</v>
      </c>
      <c r="W79" s="95">
        <f t="shared" si="11"/>
        <v>676352.63157894462</v>
      </c>
      <c r="X79" s="507">
        <f t="shared" si="17"/>
        <v>1.0632167453758361</v>
      </c>
      <c r="Y79" s="68">
        <f t="shared" si="28"/>
        <v>45716</v>
      </c>
      <c r="Z79" s="69">
        <f t="shared" si="28"/>
        <v>45716</v>
      </c>
      <c r="AA79" s="564">
        <v>9</v>
      </c>
      <c r="AB79" s="556" t="s">
        <v>326</v>
      </c>
      <c r="AC79" s="560">
        <f>IFERROR(AVERAGEIFS(J264:J293,D264:D293,1,G264:G293,"wed"),0)</f>
        <v>192220</v>
      </c>
      <c r="AD79" s="558">
        <f>COUNTIFS(D264:D293,1,G264:G293,"wed")</f>
        <v>4</v>
      </c>
      <c r="AE79" s="557">
        <f>($I$15*実績_2024R6!AI78)/AD79</f>
        <v>111235.83399404859</v>
      </c>
      <c r="AF79" s="553">
        <f t="shared" si="30"/>
        <v>444943.33597619436</v>
      </c>
      <c r="AG79" s="555"/>
    </row>
    <row r="80" spans="1:33" ht="21" thickTop="1">
      <c r="A80" s="1"/>
      <c r="B80" s="11"/>
      <c r="C80" s="50">
        <v>60</v>
      </c>
      <c r="D80" s="96">
        <v>1</v>
      </c>
      <c r="E80" s="52">
        <f t="shared" si="12"/>
        <v>3</v>
      </c>
      <c r="F80" s="53">
        <f t="shared" si="13"/>
        <v>45717</v>
      </c>
      <c r="G80" s="54" t="str">
        <f t="shared" si="14"/>
        <v>Sat</v>
      </c>
      <c r="H80" s="55"/>
      <c r="I80" s="56"/>
      <c r="J80" s="82">
        <v>123200</v>
      </c>
      <c r="K80" s="83"/>
      <c r="L80" s="59">
        <f t="shared" si="15"/>
        <v>168908.24647170241</v>
      </c>
      <c r="M80" s="63">
        <f t="shared" si="8"/>
        <v>-45708.246471702412</v>
      </c>
      <c r="N80" s="97">
        <f t="shared" si="9"/>
        <v>0.72939008351282586</v>
      </c>
      <c r="O80" s="80"/>
      <c r="P80" s="59">
        <f>IF(D80=0,0,$L$80)</f>
        <v>168908.24647170241</v>
      </c>
      <c r="Q80" s="59">
        <f>IF(D80=0,0,$J$80)</f>
        <v>123200</v>
      </c>
      <c r="R80" s="63">
        <f t="shared" si="10"/>
        <v>-45708.246471702412</v>
      </c>
      <c r="S80" s="499">
        <f t="shared" si="16"/>
        <v>0.72939008351282586</v>
      </c>
      <c r="T80" s="73"/>
      <c r="U80" s="59">
        <f>IF(D80=0,0,SUM($L$21:L80))</f>
        <v>10867855.614892758</v>
      </c>
      <c r="V80" s="59">
        <f>IF(D80=0,0,SUM($J$21:J80))</f>
        <v>11498500</v>
      </c>
      <c r="W80" s="66">
        <f t="shared" si="11"/>
        <v>630644.38510724157</v>
      </c>
      <c r="X80" s="500">
        <f t="shared" si="17"/>
        <v>1.0580284103372737</v>
      </c>
      <c r="Y80" s="68">
        <f t="shared" si="28"/>
        <v>45717</v>
      </c>
      <c r="Z80" s="69">
        <f t="shared" si="28"/>
        <v>45717</v>
      </c>
      <c r="AA80" s="564">
        <v>9</v>
      </c>
      <c r="AB80" s="556" t="s">
        <v>327</v>
      </c>
      <c r="AC80" s="560">
        <f>IFERROR(AVERAGEIFS(J264:J293,D264:D293,1,G264:G293,"thu"),0)</f>
        <v>172712.5</v>
      </c>
      <c r="AD80" s="558">
        <f>COUNTIFS(D264:D293,1,G264:G293,"thu")</f>
        <v>4</v>
      </c>
      <c r="AE80" s="557">
        <f>($I$15*実績_2024R6!AI79)/AD80</f>
        <v>125374.89828542268</v>
      </c>
      <c r="AF80" s="553">
        <f t="shared" si="30"/>
        <v>501499.59314169071</v>
      </c>
      <c r="AG80" s="555"/>
    </row>
    <row r="81" spans="1:33" ht="20">
      <c r="A81" s="1"/>
      <c r="B81" s="11"/>
      <c r="C81" s="50">
        <v>61</v>
      </c>
      <c r="D81" s="51">
        <v>0</v>
      </c>
      <c r="E81" s="52">
        <f t="shared" si="12"/>
        <v>3</v>
      </c>
      <c r="F81" s="53">
        <f t="shared" si="13"/>
        <v>45718</v>
      </c>
      <c r="G81" s="54" t="str">
        <f t="shared" si="14"/>
        <v>Sun</v>
      </c>
      <c r="H81" s="55"/>
      <c r="I81" s="56"/>
      <c r="J81" s="82"/>
      <c r="K81" s="83"/>
      <c r="L81" s="59">
        <f t="shared" si="15"/>
        <v>0</v>
      </c>
      <c r="M81" s="60">
        <f t="shared" si="8"/>
        <v>0</v>
      </c>
      <c r="N81" s="61" t="str">
        <f t="shared" si="9"/>
        <v>¥0</v>
      </c>
      <c r="O81" s="81"/>
      <c r="P81" s="59">
        <f>IF(D81=0,0,SUM($L$80:L81))</f>
        <v>0</v>
      </c>
      <c r="Q81" s="59">
        <f>IF(D81=0,0,SUM($J$80:J81))</f>
        <v>0</v>
      </c>
      <c r="R81" s="63">
        <f t="shared" si="10"/>
        <v>0</v>
      </c>
      <c r="S81" s="64">
        <f t="shared" si="16"/>
        <v>0</v>
      </c>
      <c r="T81" s="78"/>
      <c r="U81" s="59">
        <f>IF(D81=0,0,SUM($L$21:L81))</f>
        <v>0</v>
      </c>
      <c r="V81" s="59">
        <f>IF(D81=0,0,SUM($J$21:J81))</f>
        <v>0</v>
      </c>
      <c r="W81" s="66">
        <f t="shared" si="11"/>
        <v>0</v>
      </c>
      <c r="X81" s="67">
        <f t="shared" si="17"/>
        <v>0</v>
      </c>
      <c r="Y81" s="68">
        <f t="shared" si="28"/>
        <v>45718</v>
      </c>
      <c r="Z81" s="69">
        <f t="shared" si="28"/>
        <v>45718</v>
      </c>
      <c r="AA81" s="564">
        <v>9</v>
      </c>
      <c r="AB81" s="556" t="s">
        <v>328</v>
      </c>
      <c r="AC81" s="560">
        <f>IFERROR(AVERAGEIFS(J264:J293,D264:D293,1,G264:G293,"fri"),0)</f>
        <v>187900</v>
      </c>
      <c r="AD81" s="558">
        <f>COUNTIFS(D264:D293,1,G264:G293,"fri")</f>
        <v>4</v>
      </c>
      <c r="AE81" s="557">
        <f>($I$15*実績_2024R6!AI80)/AD81</f>
        <v>186257.3604973203</v>
      </c>
      <c r="AF81" s="553">
        <f t="shared" si="30"/>
        <v>745029.44198928121</v>
      </c>
      <c r="AG81" s="555"/>
    </row>
    <row r="82" spans="1:33" ht="20">
      <c r="A82" s="1"/>
      <c r="B82" s="11"/>
      <c r="C82" s="50">
        <v>62</v>
      </c>
      <c r="D82" s="51">
        <v>1</v>
      </c>
      <c r="E82" s="52">
        <f t="shared" si="12"/>
        <v>3</v>
      </c>
      <c r="F82" s="53">
        <f t="shared" si="13"/>
        <v>45719</v>
      </c>
      <c r="G82" s="54" t="str">
        <f t="shared" si="14"/>
        <v>Mon</v>
      </c>
      <c r="H82" s="55"/>
      <c r="I82" s="56"/>
      <c r="J82" s="82">
        <v>162400</v>
      </c>
      <c r="K82" s="83"/>
      <c r="L82" s="59">
        <f t="shared" si="15"/>
        <v>203685.44912572671</v>
      </c>
      <c r="M82" s="60">
        <f t="shared" si="8"/>
        <v>-41285.449125726707</v>
      </c>
      <c r="N82" s="61">
        <f t="shared" si="9"/>
        <v>0.79730781308662413</v>
      </c>
      <c r="O82" s="80"/>
      <c r="P82" s="59">
        <f>IF(D82=0,0,SUM($L$80:L82))</f>
        <v>372593.69559742912</v>
      </c>
      <c r="Q82" s="59">
        <f>IF(D82=0,0,SUM($J$80:J82))</f>
        <v>285600</v>
      </c>
      <c r="R82" s="63">
        <f t="shared" si="10"/>
        <v>-86993.69559742912</v>
      </c>
      <c r="S82" s="64">
        <f t="shared" si="16"/>
        <v>0.76651860558740659</v>
      </c>
      <c r="T82" s="73"/>
      <c r="U82" s="59">
        <f>IF(D82=0,0,SUM($L$21:L82))</f>
        <v>11071541.064018484</v>
      </c>
      <c r="V82" s="59">
        <f>IF(D82=0,0,SUM($J$21:J82))</f>
        <v>11660900</v>
      </c>
      <c r="W82" s="66">
        <f t="shared" si="11"/>
        <v>589358.93598151579</v>
      </c>
      <c r="X82" s="67">
        <f t="shared" si="17"/>
        <v>1.0532318791551865</v>
      </c>
      <c r="Y82" s="68">
        <f t="shared" si="28"/>
        <v>45719</v>
      </c>
      <c r="Z82" s="69">
        <f t="shared" si="28"/>
        <v>45719</v>
      </c>
      <c r="AA82" s="564">
        <v>9</v>
      </c>
      <c r="AB82" s="556" t="s">
        <v>329</v>
      </c>
      <c r="AC82" s="560">
        <f>IFERROR(AVERAGEIFS(J264:J293,D264:D293,1,G264:G293,"sat"),0)</f>
        <v>124766.66666666667</v>
      </c>
      <c r="AD82" s="558">
        <f>COUNTIFS(D264:D293,1,G264:G293,"sat")</f>
        <v>3</v>
      </c>
      <c r="AE82" s="557">
        <f>($I$15*実績_2024R6!AI81)/AD82</f>
        <v>100143.97375539556</v>
      </c>
      <c r="AF82" s="553">
        <f t="shared" si="30"/>
        <v>300431.92126618669</v>
      </c>
      <c r="AG82" s="561" t="s">
        <v>345</v>
      </c>
    </row>
    <row r="83" spans="1:33" ht="20">
      <c r="A83" s="1"/>
      <c r="B83" s="11"/>
      <c r="C83" s="50">
        <v>63</v>
      </c>
      <c r="D83" s="51">
        <v>1</v>
      </c>
      <c r="E83" s="52">
        <f t="shared" si="12"/>
        <v>3</v>
      </c>
      <c r="F83" s="53">
        <f t="shared" si="13"/>
        <v>45720</v>
      </c>
      <c r="G83" s="54" t="str">
        <f t="shared" si="14"/>
        <v>Tue</v>
      </c>
      <c r="H83" s="55"/>
      <c r="I83" s="56"/>
      <c r="J83" s="82">
        <v>156050</v>
      </c>
      <c r="K83" s="83"/>
      <c r="L83" s="59">
        <f t="shared" si="15"/>
        <v>293532.44959379412</v>
      </c>
      <c r="M83" s="60">
        <f t="shared" si="8"/>
        <v>-137482.44959379412</v>
      </c>
      <c r="N83" s="61">
        <f t="shared" si="9"/>
        <v>0.53162776454852034</v>
      </c>
      <c r="O83" s="80"/>
      <c r="P83" s="59">
        <f>IF(D83=0,0,SUM($L$80:L83))</f>
        <v>666126.14519122324</v>
      </c>
      <c r="Q83" s="59">
        <f>IF(D83=0,0,SUM($J$80:J83))</f>
        <v>441650</v>
      </c>
      <c r="R83" s="63">
        <f t="shared" si="10"/>
        <v>-224476.14519122324</v>
      </c>
      <c r="S83" s="64">
        <f t="shared" si="16"/>
        <v>0.66301255878977183</v>
      </c>
      <c r="T83" s="73"/>
      <c r="U83" s="59">
        <f>IF(D83=0,0,SUM($L$21:L83))</f>
        <v>11365073.513612278</v>
      </c>
      <c r="V83" s="59">
        <f>IF(D83=0,0,SUM($J$21:J83))</f>
        <v>11816950</v>
      </c>
      <c r="W83" s="66">
        <f t="shared" si="11"/>
        <v>451876.48638772219</v>
      </c>
      <c r="X83" s="67">
        <f t="shared" si="17"/>
        <v>1.0397601023738647</v>
      </c>
      <c r="Y83" s="68">
        <f t="shared" si="28"/>
        <v>45720</v>
      </c>
      <c r="Z83" s="69">
        <f t="shared" si="28"/>
        <v>45720</v>
      </c>
      <c r="AA83" s="564">
        <v>9</v>
      </c>
      <c r="AB83" s="556" t="s">
        <v>331</v>
      </c>
      <c r="AC83" s="560">
        <f>IFERROR(AVERAGEIFS(J264:J293,D264:D293,1,G264:G293,"sun"),0)</f>
        <v>0</v>
      </c>
      <c r="AD83" s="558">
        <f>IFERROR(COUNTIFS(D264:D293,1,G264:G293,"sun"),0)</f>
        <v>0</v>
      </c>
      <c r="AE83" s="557">
        <f>IFERROR(($I$15*実績_2024R6!AI82)/AD83,0)</f>
        <v>0</v>
      </c>
      <c r="AF83" s="562">
        <f>SUM(AF77:AF82)</f>
        <v>3050526.3157894732</v>
      </c>
      <c r="AG83" s="563">
        <f>I15</f>
        <v>3050526.3157894737</v>
      </c>
    </row>
    <row r="84" spans="1:33" ht="20">
      <c r="A84" s="1"/>
      <c r="B84" s="11"/>
      <c r="C84" s="50">
        <v>64</v>
      </c>
      <c r="D84" s="51">
        <v>1</v>
      </c>
      <c r="E84" s="52">
        <f t="shared" si="12"/>
        <v>3</v>
      </c>
      <c r="F84" s="53">
        <f t="shared" si="13"/>
        <v>45721</v>
      </c>
      <c r="G84" s="54" t="str">
        <f t="shared" si="14"/>
        <v>Wed</v>
      </c>
      <c r="H84" s="55"/>
      <c r="I84" s="56"/>
      <c r="J84" s="82">
        <v>269410</v>
      </c>
      <c r="K84" s="83"/>
      <c r="L84" s="59">
        <f t="shared" si="15"/>
        <v>245154.79242168766</v>
      </c>
      <c r="M84" s="60">
        <f t="shared" si="8"/>
        <v>24255.207578312344</v>
      </c>
      <c r="N84" s="61">
        <f t="shared" si="9"/>
        <v>1.0989383374427013</v>
      </c>
      <c r="O84" s="80"/>
      <c r="P84" s="59">
        <f>IF(D84=0,0,SUM($L$80:L84))</f>
        <v>911280.93761291087</v>
      </c>
      <c r="Q84" s="59">
        <f>IF(D84=0,0,SUM($J$80:J84))</f>
        <v>711060</v>
      </c>
      <c r="R84" s="63">
        <f t="shared" si="10"/>
        <v>-200220.93761291087</v>
      </c>
      <c r="S84" s="64">
        <f t="shared" si="16"/>
        <v>0.78028626590457695</v>
      </c>
      <c r="T84" s="73"/>
      <c r="U84" s="59">
        <f>IF(D84=0,0,SUM($L$21:L84))</f>
        <v>11610228.306033965</v>
      </c>
      <c r="V84" s="59">
        <f>IF(D84=0,0,SUM($J$21:J84))</f>
        <v>12086360</v>
      </c>
      <c r="W84" s="66">
        <f t="shared" si="11"/>
        <v>476131.6939660348</v>
      </c>
      <c r="X84" s="67">
        <f t="shared" si="17"/>
        <v>1.0410096753841251</v>
      </c>
      <c r="Y84" s="68">
        <f t="shared" si="28"/>
        <v>45721</v>
      </c>
      <c r="Z84" s="69">
        <f t="shared" si="28"/>
        <v>45721</v>
      </c>
      <c r="AA84" s="564">
        <v>10</v>
      </c>
      <c r="AB84" s="552" t="s">
        <v>323</v>
      </c>
      <c r="AC84" s="560">
        <f>IFERROR(AVERAGEIFS(J294:J324,D294:D324,1,G294:G324,"mon"),0)</f>
        <v>70123.333333333328</v>
      </c>
      <c r="AD84" s="558">
        <f>COUNTIFS(D294:D324,1,G294:G324,"Mon")</f>
        <v>3</v>
      </c>
      <c r="AE84" s="557">
        <f>($I$16*実績_2024R6!AI83)/AD84</f>
        <v>218508.48092848598</v>
      </c>
      <c r="AF84" s="553">
        <f>AD84*AE84</f>
        <v>655525.44278545794</v>
      </c>
      <c r="AG84" s="555" t="s">
        <v>346</v>
      </c>
    </row>
    <row r="85" spans="1:33" ht="20">
      <c r="A85" s="1"/>
      <c r="B85" s="11"/>
      <c r="C85" s="50">
        <v>65</v>
      </c>
      <c r="D85" s="51">
        <v>1</v>
      </c>
      <c r="E85" s="52">
        <f t="shared" si="12"/>
        <v>3</v>
      </c>
      <c r="F85" s="53">
        <f t="shared" si="13"/>
        <v>45722</v>
      </c>
      <c r="G85" s="54" t="str">
        <f t="shared" si="14"/>
        <v>Thu</v>
      </c>
      <c r="H85" s="55"/>
      <c r="I85" s="56"/>
      <c r="J85" s="82">
        <v>371500</v>
      </c>
      <c r="K85" s="83"/>
      <c r="L85" s="59">
        <f t="shared" si="15"/>
        <v>457562.97240135906</v>
      </c>
      <c r="M85" s="60">
        <f t="shared" ref="M85:M148" si="31">IF(D85=0,0,J85-L85)</f>
        <v>-86062.97240135906</v>
      </c>
      <c r="N85" s="61">
        <f t="shared" si="9"/>
        <v>0.81191010288772347</v>
      </c>
      <c r="O85" s="80"/>
      <c r="P85" s="59">
        <f>IF(D85=0,0,SUM($L$80:L85))</f>
        <v>1368843.9100142699</v>
      </c>
      <c r="Q85" s="59">
        <f>IF(D85=0,0,SUM($J$80:J85))</f>
        <v>1082560</v>
      </c>
      <c r="R85" s="63">
        <f t="shared" ref="R85:R148" si="32">IF(D85=0,0,Q85-P85)</f>
        <v>-286283.91001426987</v>
      </c>
      <c r="S85" s="64">
        <f t="shared" si="16"/>
        <v>0.79085715477136798</v>
      </c>
      <c r="T85" s="73"/>
      <c r="U85" s="59">
        <f>IF(D85=0,0,SUM($L$21:L85))</f>
        <v>12067791.278435323</v>
      </c>
      <c r="V85" s="59">
        <f>IF(D85=0,0,SUM($J$21:J85))</f>
        <v>12457860</v>
      </c>
      <c r="W85" s="66">
        <f t="shared" ref="W85:W148" si="33">IF(D85=0,0,V85-U85)</f>
        <v>390068.72156467661</v>
      </c>
      <c r="X85" s="67">
        <f t="shared" si="17"/>
        <v>1.0323231246352191</v>
      </c>
      <c r="Y85" s="68">
        <f t="shared" si="28"/>
        <v>45722</v>
      </c>
      <c r="Z85" s="69">
        <f t="shared" si="28"/>
        <v>45722</v>
      </c>
      <c r="AA85" s="564">
        <v>10</v>
      </c>
      <c r="AB85" s="556" t="s">
        <v>325</v>
      </c>
      <c r="AC85" s="560">
        <f>IFERROR(AVERAGEIFS(J294:J324,D294:D324,1,G294:G324,"tue"),0)</f>
        <v>152140</v>
      </c>
      <c r="AD85" s="558">
        <f>COUNTIFS(D294:D324,1,G294:G324,"tue")</f>
        <v>4</v>
      </c>
      <c r="AE85" s="557">
        <f>($I$16*実績_2024R6!AI84)/AD85</f>
        <v>230383.60450142281</v>
      </c>
      <c r="AF85" s="553">
        <f t="shared" ref="AF85:AF89" si="34">AD85*AE85</f>
        <v>921534.41800569126</v>
      </c>
      <c r="AG85" s="555"/>
    </row>
    <row r="86" spans="1:33" ht="20">
      <c r="A86" s="1"/>
      <c r="B86" s="11"/>
      <c r="C86" s="50">
        <v>66</v>
      </c>
      <c r="D86" s="51">
        <v>1</v>
      </c>
      <c r="E86" s="52">
        <f t="shared" ref="E86:E149" si="35">MONTH(Y86)</f>
        <v>3</v>
      </c>
      <c r="F86" s="53">
        <f t="shared" ref="F86:F149" si="36">F85+1</f>
        <v>45723</v>
      </c>
      <c r="G86" s="54" t="str">
        <f t="shared" ref="G86:G149" si="37">TEXT(Z86,"ddd")</f>
        <v>Fri</v>
      </c>
      <c r="H86" s="55"/>
      <c r="I86" s="56"/>
      <c r="J86" s="82">
        <v>493250</v>
      </c>
      <c r="K86" s="83"/>
      <c r="L86" s="59">
        <f t="shared" ref="L86:L149" si="38">IF(D86=0,0,IFERROR(SUMIFS($AE$21:$AE$104,$AA$21:$AA$104,$E86,$AB$21:$AB$104,$G86),0))</f>
        <v>448451.04076565971</v>
      </c>
      <c r="M86" s="60">
        <f t="shared" si="31"/>
        <v>44798.959234340291</v>
      </c>
      <c r="N86" s="61">
        <f t="shared" si="9"/>
        <v>1.0998971017167294</v>
      </c>
      <c r="O86" s="80"/>
      <c r="P86" s="59">
        <f>IF(D86=0,0,SUM($L$80:L86))</f>
        <v>1817294.9507799295</v>
      </c>
      <c r="Q86" s="59">
        <f>IF(D86=0,0,SUM($J$80:J86))</f>
        <v>1575810</v>
      </c>
      <c r="R86" s="63">
        <f t="shared" si="32"/>
        <v>-241484.95077992952</v>
      </c>
      <c r="S86" s="64">
        <f t="shared" ref="S86:S149" si="39">IF(D86=0,0,Q86/P86)</f>
        <v>0.86711846050290775</v>
      </c>
      <c r="T86" s="73"/>
      <c r="U86" s="59">
        <f>IF(D86=0,0,SUM($L$21:L86))</f>
        <v>12516242.319200983</v>
      </c>
      <c r="V86" s="59">
        <f>IF(D86=0,0,SUM($J$21:J86))</f>
        <v>12951110</v>
      </c>
      <c r="W86" s="66">
        <f t="shared" si="33"/>
        <v>434867.68079901673</v>
      </c>
      <c r="X86" s="67">
        <f t="shared" ref="X86:X149" si="40">IF(D86=0,0,V86/U86)</f>
        <v>1.0347442682642771</v>
      </c>
      <c r="Y86" s="68">
        <f t="shared" si="28"/>
        <v>45723</v>
      </c>
      <c r="Z86" s="69">
        <f t="shared" si="28"/>
        <v>45723</v>
      </c>
      <c r="AA86" s="564">
        <v>10</v>
      </c>
      <c r="AB86" s="556" t="s">
        <v>326</v>
      </c>
      <c r="AC86" s="560">
        <f>IFERROR(AVERAGEIFS(J294:J324,D294:D324,1,G294:G324,"wed"),0)</f>
        <v>130114</v>
      </c>
      <c r="AD86" s="558">
        <f>COUNTIFS(D294:D324,1,G294:G324,"wed")</f>
        <v>5</v>
      </c>
      <c r="AE86" s="557">
        <f>($I$16*実績_2024R6!AI85)/AD86</f>
        <v>198827.97557710868</v>
      </c>
      <c r="AF86" s="553">
        <f t="shared" si="34"/>
        <v>994139.87788554339</v>
      </c>
      <c r="AG86" s="555"/>
    </row>
    <row r="87" spans="1:33" ht="20">
      <c r="A87" s="1"/>
      <c r="B87" s="11"/>
      <c r="C87" s="50">
        <v>67</v>
      </c>
      <c r="D87" s="51">
        <v>1</v>
      </c>
      <c r="E87" s="52">
        <f t="shared" si="35"/>
        <v>3</v>
      </c>
      <c r="F87" s="53">
        <f t="shared" si="36"/>
        <v>45724</v>
      </c>
      <c r="G87" s="54" t="str">
        <f t="shared" si="37"/>
        <v>Sat</v>
      </c>
      <c r="H87" s="55"/>
      <c r="I87" s="56"/>
      <c r="J87" s="82">
        <v>129200</v>
      </c>
      <c r="K87" s="83"/>
      <c r="L87" s="59">
        <f t="shared" si="38"/>
        <v>168908.24647170241</v>
      </c>
      <c r="M87" s="60">
        <f t="shared" si="31"/>
        <v>-39708.246471702412</v>
      </c>
      <c r="N87" s="61">
        <f t="shared" si="9"/>
        <v>0.76491232783974927</v>
      </c>
      <c r="O87" s="80"/>
      <c r="P87" s="59">
        <f>IF(D87=0,0,SUM($L$80:L87))</f>
        <v>1986203.1972516319</v>
      </c>
      <c r="Q87" s="59">
        <f>IF(D87=0,0,SUM($J$80:J87))</f>
        <v>1705010</v>
      </c>
      <c r="R87" s="63">
        <f t="shared" si="32"/>
        <v>-281193.19725163188</v>
      </c>
      <c r="S87" s="64">
        <f t="shared" si="39"/>
        <v>0.85842677242654364</v>
      </c>
      <c r="T87" s="73"/>
      <c r="U87" s="59">
        <f>IF(D87=0,0,SUM($L$21:L87))</f>
        <v>12685150.565672686</v>
      </c>
      <c r="V87" s="59">
        <f>IF(D87=0,0,SUM($J$21:J87))</f>
        <v>13080310</v>
      </c>
      <c r="W87" s="66">
        <f t="shared" si="33"/>
        <v>395159.43432731368</v>
      </c>
      <c r="X87" s="67">
        <f t="shared" si="40"/>
        <v>1.0311513396929364</v>
      </c>
      <c r="Y87" s="68">
        <f t="shared" ref="Y87:Z102" si="41">Y86+1</f>
        <v>45724</v>
      </c>
      <c r="Z87" s="69">
        <f t="shared" si="41"/>
        <v>45724</v>
      </c>
      <c r="AA87" s="564">
        <v>10</v>
      </c>
      <c r="AB87" s="556" t="s">
        <v>327</v>
      </c>
      <c r="AC87" s="560">
        <f>IFERROR(AVERAGEIFS(J294:J324,D294:D324,1,G294:G324,"thu"),0)</f>
        <v>163740</v>
      </c>
      <c r="AD87" s="558">
        <f>COUNTIFS(D294:D324,1,G294:G324,"thu")</f>
        <v>5</v>
      </c>
      <c r="AE87" s="557">
        <f>($I$16*実績_2024R6!AI86)/AD87</f>
        <v>231857.03538446798</v>
      </c>
      <c r="AF87" s="553">
        <f t="shared" si="34"/>
        <v>1159285.1769223399</v>
      </c>
      <c r="AG87" s="555"/>
    </row>
    <row r="88" spans="1:33" ht="20">
      <c r="A88" s="1"/>
      <c r="B88" s="11"/>
      <c r="C88" s="50">
        <v>68</v>
      </c>
      <c r="D88" s="51">
        <v>0</v>
      </c>
      <c r="E88" s="52">
        <f t="shared" si="35"/>
        <v>3</v>
      </c>
      <c r="F88" s="53">
        <f t="shared" si="36"/>
        <v>45725</v>
      </c>
      <c r="G88" s="54" t="str">
        <f t="shared" si="37"/>
        <v>Sun</v>
      </c>
      <c r="H88" s="55"/>
      <c r="I88" s="56"/>
      <c r="J88" s="82"/>
      <c r="K88" s="83"/>
      <c r="L88" s="59">
        <f t="shared" si="38"/>
        <v>0</v>
      </c>
      <c r="M88" s="60">
        <f t="shared" si="31"/>
        <v>0</v>
      </c>
      <c r="N88" s="61" t="str">
        <f t="shared" si="9"/>
        <v>¥0</v>
      </c>
      <c r="O88" s="81"/>
      <c r="P88" s="59">
        <f>IF(D88=0,0,SUM($L$80:L88))</f>
        <v>0</v>
      </c>
      <c r="Q88" s="59">
        <f>IF(D88=0,0,SUM($J$80:J88))</f>
        <v>0</v>
      </c>
      <c r="R88" s="63">
        <f t="shared" si="32"/>
        <v>0</v>
      </c>
      <c r="S88" s="64">
        <f t="shared" si="39"/>
        <v>0</v>
      </c>
      <c r="T88" s="78"/>
      <c r="U88" s="59">
        <f>IF(D88=0,0,SUM($L$21:L88))</f>
        <v>0</v>
      </c>
      <c r="V88" s="59">
        <f>IF(D88=0,0,SUM($J$21:J88))</f>
        <v>0</v>
      </c>
      <c r="W88" s="66">
        <f t="shared" si="33"/>
        <v>0</v>
      </c>
      <c r="X88" s="67">
        <f t="shared" si="40"/>
        <v>0</v>
      </c>
      <c r="Y88" s="68">
        <f t="shared" si="41"/>
        <v>45725</v>
      </c>
      <c r="Z88" s="69">
        <f t="shared" si="41"/>
        <v>45725</v>
      </c>
      <c r="AA88" s="564">
        <v>10</v>
      </c>
      <c r="AB88" s="556" t="s">
        <v>328</v>
      </c>
      <c r="AC88" s="560">
        <f>IFERROR(AVERAGEIFS(J294:J324,D294:D324,1,G294:G324,"fri"),0)</f>
        <v>216448</v>
      </c>
      <c r="AD88" s="558">
        <f>COUNTIFS(D294:D324,1,G294:G324,"fri")</f>
        <v>5</v>
      </c>
      <c r="AE88" s="557">
        <f>($I$16*実績_2024R6!AI87)/AD88</f>
        <v>186910.17759734325</v>
      </c>
      <c r="AF88" s="553">
        <f t="shared" si="34"/>
        <v>934550.88798671623</v>
      </c>
      <c r="AG88" s="555"/>
    </row>
    <row r="89" spans="1:33" ht="20">
      <c r="A89" s="1"/>
      <c r="B89" s="11"/>
      <c r="C89" s="50">
        <v>69</v>
      </c>
      <c r="D89" s="51">
        <v>1</v>
      </c>
      <c r="E89" s="52">
        <f t="shared" si="35"/>
        <v>3</v>
      </c>
      <c r="F89" s="53">
        <f t="shared" si="36"/>
        <v>45726</v>
      </c>
      <c r="G89" s="54" t="str">
        <f t="shared" si="37"/>
        <v>Mon</v>
      </c>
      <c r="H89" s="55"/>
      <c r="I89" s="56"/>
      <c r="J89" s="82">
        <v>140470</v>
      </c>
      <c r="K89" s="83"/>
      <c r="L89" s="59">
        <f t="shared" si="38"/>
        <v>203685.44912572671</v>
      </c>
      <c r="M89" s="60">
        <f t="shared" si="31"/>
        <v>-63215.449125726707</v>
      </c>
      <c r="N89" s="61">
        <f t="shared" si="9"/>
        <v>0.68964180113471729</v>
      </c>
      <c r="O89" s="80"/>
      <c r="P89" s="59">
        <f>IF(D89=0,0,SUM($L$80:L89))</f>
        <v>2189888.6463773586</v>
      </c>
      <c r="Q89" s="59">
        <f>IF(D89=0,0,SUM($J$80:J89))</f>
        <v>1845480</v>
      </c>
      <c r="R89" s="63">
        <f t="shared" si="32"/>
        <v>-344408.64637735859</v>
      </c>
      <c r="S89" s="64">
        <f t="shared" si="39"/>
        <v>0.84272778118325808</v>
      </c>
      <c r="T89" s="73"/>
      <c r="U89" s="59">
        <f>IF(D89=0,0,SUM($L$21:L89))</f>
        <v>12888836.014798414</v>
      </c>
      <c r="V89" s="59">
        <f>IF(D89=0,0,SUM($J$21:J89))</f>
        <v>13220780</v>
      </c>
      <c r="W89" s="66">
        <f t="shared" si="33"/>
        <v>331943.98520158604</v>
      </c>
      <c r="X89" s="67">
        <f t="shared" si="40"/>
        <v>1.025754380366114</v>
      </c>
      <c r="Y89" s="68">
        <f t="shared" si="41"/>
        <v>45726</v>
      </c>
      <c r="Z89" s="69">
        <f t="shared" si="41"/>
        <v>45726</v>
      </c>
      <c r="AA89" s="564">
        <v>10</v>
      </c>
      <c r="AB89" s="556" t="s">
        <v>329</v>
      </c>
      <c r="AC89" s="560">
        <f>IFERROR(AVERAGEIFS(J294:J324,D294:D324,1,G294:G324,"sat"),0)</f>
        <v>118390</v>
      </c>
      <c r="AD89" s="558">
        <f>COUNTIFS(D294:D324,1,G294:G324,"sat")</f>
        <v>4</v>
      </c>
      <c r="AE89" s="557">
        <f>($I$16*実績_2024R6!AI88)/AD89</f>
        <v>126898.94384040481</v>
      </c>
      <c r="AF89" s="553">
        <f t="shared" si="34"/>
        <v>507595.77536161925</v>
      </c>
      <c r="AG89" s="561" t="s">
        <v>347</v>
      </c>
    </row>
    <row r="90" spans="1:33" ht="20">
      <c r="A90" s="1"/>
      <c r="B90" s="11"/>
      <c r="C90" s="50">
        <v>70</v>
      </c>
      <c r="D90" s="51">
        <v>1</v>
      </c>
      <c r="E90" s="52">
        <f t="shared" si="35"/>
        <v>3</v>
      </c>
      <c r="F90" s="53">
        <f t="shared" si="36"/>
        <v>45727</v>
      </c>
      <c r="G90" s="54" t="str">
        <f t="shared" si="37"/>
        <v>Tue</v>
      </c>
      <c r="H90" s="55"/>
      <c r="I90" s="56"/>
      <c r="J90" s="82">
        <v>379560</v>
      </c>
      <c r="K90" s="83"/>
      <c r="L90" s="59">
        <f t="shared" si="38"/>
        <v>293532.44959379412</v>
      </c>
      <c r="M90" s="60">
        <f t="shared" si="31"/>
        <v>86027.550406205875</v>
      </c>
      <c r="N90" s="61">
        <f t="shared" si="9"/>
        <v>1.2930767978983426</v>
      </c>
      <c r="O90" s="80"/>
      <c r="P90" s="59">
        <f>IF(D90=0,0,SUM($L$80:L90))</f>
        <v>2483421.0959711527</v>
      </c>
      <c r="Q90" s="59">
        <f>IF(D90=0,0,SUM($J$80:J90))</f>
        <v>2225040</v>
      </c>
      <c r="R90" s="63">
        <f t="shared" si="32"/>
        <v>-258381.09597115265</v>
      </c>
      <c r="S90" s="64">
        <f t="shared" si="39"/>
        <v>0.8959575980125466</v>
      </c>
      <c r="T90" s="73"/>
      <c r="U90" s="59">
        <f>IF(D90=0,0,SUM($L$21:L90))</f>
        <v>13182368.464392208</v>
      </c>
      <c r="V90" s="59">
        <f>IF(D90=0,0,SUM($J$21:J90))</f>
        <v>13600340</v>
      </c>
      <c r="W90" s="66">
        <f t="shared" si="33"/>
        <v>417971.53560779244</v>
      </c>
      <c r="X90" s="67">
        <f t="shared" si="40"/>
        <v>1.0317068618387359</v>
      </c>
      <c r="Y90" s="68">
        <f t="shared" si="41"/>
        <v>45727</v>
      </c>
      <c r="Z90" s="69">
        <f t="shared" si="41"/>
        <v>45727</v>
      </c>
      <c r="AA90" s="564">
        <v>10</v>
      </c>
      <c r="AB90" s="556" t="s">
        <v>331</v>
      </c>
      <c r="AC90" s="560">
        <f>IFERROR(AVERAGEIFS(J294:J324,D294:D324,1,G294:G324,"sun"),0)</f>
        <v>0</v>
      </c>
      <c r="AD90" s="558">
        <f>IFERROR(COUNTIFS(D294:D324,1,G294:G324,"sun"),0)</f>
        <v>0</v>
      </c>
      <c r="AE90" s="557">
        <f>IFERROR(($I$16*実績_2024R6!AI89)/AD90,0)</f>
        <v>0</v>
      </c>
      <c r="AF90" s="562">
        <f>SUM(AF84:AF89)</f>
        <v>5172631.5789473671</v>
      </c>
      <c r="AG90" s="563">
        <f>I16</f>
        <v>5172631.5789473681</v>
      </c>
    </row>
    <row r="91" spans="1:33" ht="20">
      <c r="A91" s="1"/>
      <c r="B91" s="11"/>
      <c r="C91" s="50">
        <v>71</v>
      </c>
      <c r="D91" s="51">
        <v>1</v>
      </c>
      <c r="E91" s="52">
        <f t="shared" si="35"/>
        <v>3</v>
      </c>
      <c r="F91" s="53">
        <f t="shared" si="36"/>
        <v>45728</v>
      </c>
      <c r="G91" s="54" t="str">
        <f t="shared" si="37"/>
        <v>Wed</v>
      </c>
      <c r="H91" s="55"/>
      <c r="I91" s="56"/>
      <c r="J91" s="82">
        <v>320100</v>
      </c>
      <c r="K91" s="83"/>
      <c r="L91" s="59">
        <f t="shared" si="38"/>
        <v>245154.79242168766</v>
      </c>
      <c r="M91" s="60">
        <f t="shared" si="31"/>
        <v>74945.207578312344</v>
      </c>
      <c r="N91" s="61">
        <f t="shared" si="9"/>
        <v>1.3057056598322583</v>
      </c>
      <c r="O91" s="80"/>
      <c r="P91" s="59">
        <f>IF(D91=0,0,SUM($L$80:L91))</f>
        <v>2728575.8883928405</v>
      </c>
      <c r="Q91" s="59">
        <f>IF(D91=0,0,SUM($J$80:J91))</f>
        <v>2545140</v>
      </c>
      <c r="R91" s="63">
        <f t="shared" si="32"/>
        <v>-183435.88839284051</v>
      </c>
      <c r="S91" s="64">
        <f t="shared" si="39"/>
        <v>0.93277229738298162</v>
      </c>
      <c r="T91" s="73"/>
      <c r="U91" s="59">
        <f>IF(D91=0,0,SUM($L$21:L91))</f>
        <v>13427523.256813895</v>
      </c>
      <c r="V91" s="59">
        <f>IF(D91=0,0,SUM($J$21:J91))</f>
        <v>13920440</v>
      </c>
      <c r="W91" s="66">
        <f t="shared" si="33"/>
        <v>492916.74318610504</v>
      </c>
      <c r="X91" s="67">
        <f t="shared" si="40"/>
        <v>1.0367094313492231</v>
      </c>
      <c r="Y91" s="68">
        <f t="shared" si="41"/>
        <v>45728</v>
      </c>
      <c r="Z91" s="69">
        <f t="shared" si="41"/>
        <v>45728</v>
      </c>
      <c r="AA91" s="564">
        <v>11</v>
      </c>
      <c r="AB91" s="552" t="s">
        <v>323</v>
      </c>
      <c r="AC91" s="560">
        <f>IFERROR(AVERAGEIFS(J325:J354,D325:D354,1,G325:G354,"mon"),0)</f>
        <v>61975</v>
      </c>
      <c r="AD91" s="558">
        <f>COUNTIFS(D325:D354,1,G325:G354,"Mon")</f>
        <v>2</v>
      </c>
      <c r="AE91" s="557">
        <f>($I$17*実績_2024R6!AI90)/AD91</f>
        <v>219995.67728988465</v>
      </c>
      <c r="AF91" s="553">
        <f>AD91*AE91</f>
        <v>439991.35457976931</v>
      </c>
      <c r="AG91" s="555" t="s">
        <v>348</v>
      </c>
    </row>
    <row r="92" spans="1:33" ht="20">
      <c r="A92" s="1"/>
      <c r="B92" s="11"/>
      <c r="C92" s="50">
        <v>72</v>
      </c>
      <c r="D92" s="51">
        <v>1</v>
      </c>
      <c r="E92" s="52">
        <f t="shared" si="35"/>
        <v>3</v>
      </c>
      <c r="F92" s="53">
        <f t="shared" si="36"/>
        <v>45729</v>
      </c>
      <c r="G92" s="54" t="str">
        <f t="shared" si="37"/>
        <v>Thu</v>
      </c>
      <c r="H92" s="55"/>
      <c r="I92" s="56"/>
      <c r="J92" s="82">
        <v>327800</v>
      </c>
      <c r="K92" s="83"/>
      <c r="L92" s="59">
        <f t="shared" si="38"/>
        <v>457562.97240135906</v>
      </c>
      <c r="M92" s="60">
        <f t="shared" si="31"/>
        <v>-129762.97240135906</v>
      </c>
      <c r="N92" s="61">
        <f t="shared" si="9"/>
        <v>0.71640412308639501</v>
      </c>
      <c r="O92" s="80"/>
      <c r="P92" s="59">
        <f>IF(D92=0,0,SUM($L$80:L92))</f>
        <v>3186138.8607941996</v>
      </c>
      <c r="Q92" s="59">
        <f>IF(D92=0,0,SUM($J$80:J92))</f>
        <v>2872940</v>
      </c>
      <c r="R92" s="63">
        <f t="shared" si="32"/>
        <v>-313198.86079419963</v>
      </c>
      <c r="S92" s="64">
        <f t="shared" si="39"/>
        <v>0.9016995572138593</v>
      </c>
      <c r="T92" s="73"/>
      <c r="U92" s="59">
        <f>IF(D92=0,0,SUM($L$21:L92))</f>
        <v>13885086.229215253</v>
      </c>
      <c r="V92" s="59">
        <f>IF(D92=0,0,SUM($J$21:J92))</f>
        <v>14248240</v>
      </c>
      <c r="W92" s="66">
        <f t="shared" si="33"/>
        <v>363153.77078474686</v>
      </c>
      <c r="X92" s="67">
        <f t="shared" si="40"/>
        <v>1.0261542323029038</v>
      </c>
      <c r="Y92" s="68">
        <f t="shared" si="41"/>
        <v>45729</v>
      </c>
      <c r="Z92" s="69">
        <f t="shared" si="41"/>
        <v>45729</v>
      </c>
      <c r="AA92" s="564">
        <v>11</v>
      </c>
      <c r="AB92" s="556" t="s">
        <v>325</v>
      </c>
      <c r="AC92" s="560">
        <f>IFERROR(AVERAGEIFS(J325:J354,D325:D354,1,G325:G354,"tue"),0)</f>
        <v>166397.5</v>
      </c>
      <c r="AD92" s="558">
        <f>COUNTIFS(D325:D354,1,G325:G354,"tue")</f>
        <v>4</v>
      </c>
      <c r="AE92" s="557">
        <f>($I$17*実績_2024R6!AI91)/AD92</f>
        <v>192620.47078790865</v>
      </c>
      <c r="AF92" s="553">
        <f t="shared" ref="AF92:AF96" si="42">AD92*AE92</f>
        <v>770481.8831516346</v>
      </c>
      <c r="AG92" s="555"/>
    </row>
    <row r="93" spans="1:33" ht="20">
      <c r="A93" s="1"/>
      <c r="B93" s="11"/>
      <c r="C93" s="50">
        <v>73</v>
      </c>
      <c r="D93" s="51">
        <v>1</v>
      </c>
      <c r="E93" s="52">
        <f t="shared" si="35"/>
        <v>3</v>
      </c>
      <c r="F93" s="53">
        <f t="shared" si="36"/>
        <v>45730</v>
      </c>
      <c r="G93" s="54" t="str">
        <f t="shared" si="37"/>
        <v>Fri</v>
      </c>
      <c r="H93" s="55"/>
      <c r="I93" s="56"/>
      <c r="J93" s="82">
        <v>409660</v>
      </c>
      <c r="K93" s="83"/>
      <c r="L93" s="59">
        <f t="shared" si="38"/>
        <v>448451.04076565971</v>
      </c>
      <c r="M93" s="60">
        <f t="shared" si="31"/>
        <v>-38791.040765659709</v>
      </c>
      <c r="N93" s="61">
        <f t="shared" si="9"/>
        <v>0.91349994260370071</v>
      </c>
      <c r="O93" s="80"/>
      <c r="P93" s="59">
        <f>IF(D93=0,0,SUM($L$80:L93))</f>
        <v>3634589.9015598595</v>
      </c>
      <c r="Q93" s="59">
        <f>IF(D93=0,0,SUM($J$80:J93))</f>
        <v>3282600</v>
      </c>
      <c r="R93" s="63">
        <f t="shared" si="32"/>
        <v>-351989.90155985951</v>
      </c>
      <c r="S93" s="64">
        <f t="shared" si="39"/>
        <v>0.90315553856329267</v>
      </c>
      <c r="T93" s="73"/>
      <c r="U93" s="59">
        <f>IF(D93=0,0,SUM($L$21:L93))</f>
        <v>14333537.269980913</v>
      </c>
      <c r="V93" s="59">
        <f>IF(D93=0,0,SUM($J$21:J93))</f>
        <v>14657900</v>
      </c>
      <c r="W93" s="66">
        <f t="shared" si="33"/>
        <v>324362.73001908697</v>
      </c>
      <c r="X93" s="67">
        <f t="shared" si="40"/>
        <v>1.022629635930721</v>
      </c>
      <c r="Y93" s="68">
        <f t="shared" si="41"/>
        <v>45730</v>
      </c>
      <c r="Z93" s="69">
        <f t="shared" si="41"/>
        <v>45730</v>
      </c>
      <c r="AA93" s="564">
        <v>11</v>
      </c>
      <c r="AB93" s="556" t="s">
        <v>326</v>
      </c>
      <c r="AC93" s="560">
        <f>IFERROR(AVERAGEIFS(J325:J354,D325:D354,1,G325:G354,"wed"),0)</f>
        <v>188960</v>
      </c>
      <c r="AD93" s="558">
        <f>COUNTIFS(D325:D354,1,G325:G354,"wed")</f>
        <v>4</v>
      </c>
      <c r="AE93" s="557">
        <f>($I$17*実績_2024R6!AI92)/AD93</f>
        <v>222098.10313108019</v>
      </c>
      <c r="AF93" s="553">
        <f t="shared" si="42"/>
        <v>888392.41252432077</v>
      </c>
      <c r="AG93" s="555"/>
    </row>
    <row r="94" spans="1:33" ht="20">
      <c r="A94" s="1"/>
      <c r="B94" s="11"/>
      <c r="C94" s="50">
        <v>74</v>
      </c>
      <c r="D94" s="51">
        <v>1</v>
      </c>
      <c r="E94" s="52">
        <f t="shared" si="35"/>
        <v>3</v>
      </c>
      <c r="F94" s="53">
        <f t="shared" si="36"/>
        <v>45731</v>
      </c>
      <c r="G94" s="54" t="str">
        <f t="shared" si="37"/>
        <v>Sat</v>
      </c>
      <c r="H94" s="55"/>
      <c r="I94" s="56"/>
      <c r="J94" s="82">
        <v>139390</v>
      </c>
      <c r="K94" s="83"/>
      <c r="L94" s="59">
        <f t="shared" si="38"/>
        <v>168908.24647170241</v>
      </c>
      <c r="M94" s="60">
        <f t="shared" si="31"/>
        <v>-29518.246471702412</v>
      </c>
      <c r="N94" s="61">
        <f t="shared" si="9"/>
        <v>0.82524093945497401</v>
      </c>
      <c r="O94" s="80"/>
      <c r="P94" s="59">
        <f>IF(D94=0,0,SUM($L$80:L94))</f>
        <v>3803498.1480315621</v>
      </c>
      <c r="Q94" s="59">
        <f>IF(D94=0,0,SUM($J$80:J94))</f>
        <v>3421990</v>
      </c>
      <c r="R94" s="63">
        <f t="shared" si="32"/>
        <v>-381508.1480315621</v>
      </c>
      <c r="S94" s="64">
        <f t="shared" si="39"/>
        <v>0.89969545581900567</v>
      </c>
      <c r="T94" s="73"/>
      <c r="U94" s="59">
        <f>IF(D94=0,0,SUM($L$21:L94))</f>
        <v>14502445.516452616</v>
      </c>
      <c r="V94" s="59">
        <f>IF(D94=0,0,SUM($J$21:J94))</f>
        <v>14797290</v>
      </c>
      <c r="W94" s="66">
        <f t="shared" si="33"/>
        <v>294844.48354738392</v>
      </c>
      <c r="X94" s="67">
        <f t="shared" si="40"/>
        <v>1.0203306734173136</v>
      </c>
      <c r="Y94" s="68">
        <f t="shared" si="41"/>
        <v>45731</v>
      </c>
      <c r="Z94" s="69">
        <f t="shared" si="41"/>
        <v>45731</v>
      </c>
      <c r="AA94" s="564">
        <v>11</v>
      </c>
      <c r="AB94" s="556" t="s">
        <v>327</v>
      </c>
      <c r="AC94" s="560">
        <f>IFERROR(AVERAGEIFS(J325:J354,D325:D354,1,G325:G354,"thu"),0)</f>
        <v>191240</v>
      </c>
      <c r="AD94" s="558">
        <f>COUNTIFS(D325:D354,1,G325:G354,"thu")</f>
        <v>4</v>
      </c>
      <c r="AE94" s="557">
        <f>($I$17*実績_2024R6!AI93)/AD94</f>
        <v>216358.54297113989</v>
      </c>
      <c r="AF94" s="553">
        <f t="shared" si="42"/>
        <v>865434.17188455956</v>
      </c>
      <c r="AG94" s="555"/>
    </row>
    <row r="95" spans="1:33" ht="20">
      <c r="A95" s="1"/>
      <c r="B95" s="11"/>
      <c r="C95" s="50">
        <v>75</v>
      </c>
      <c r="D95" s="51">
        <v>0</v>
      </c>
      <c r="E95" s="52">
        <f t="shared" si="35"/>
        <v>3</v>
      </c>
      <c r="F95" s="53">
        <f t="shared" si="36"/>
        <v>45732</v>
      </c>
      <c r="G95" s="54" t="str">
        <f t="shared" si="37"/>
        <v>Sun</v>
      </c>
      <c r="H95" s="55"/>
      <c r="I95" s="56"/>
      <c r="J95" s="82"/>
      <c r="K95" s="83"/>
      <c r="L95" s="59">
        <f t="shared" si="38"/>
        <v>0</v>
      </c>
      <c r="M95" s="60">
        <f t="shared" si="31"/>
        <v>0</v>
      </c>
      <c r="N95" s="61" t="str">
        <f t="shared" si="9"/>
        <v>¥0</v>
      </c>
      <c r="O95" s="81"/>
      <c r="P95" s="59">
        <f>IF(D95=0,0,SUM($L$80:L95))</f>
        <v>0</v>
      </c>
      <c r="Q95" s="59">
        <f>IF(D95=0,0,SUM($J$80:J95))</f>
        <v>0</v>
      </c>
      <c r="R95" s="63">
        <f t="shared" si="32"/>
        <v>0</v>
      </c>
      <c r="S95" s="64">
        <f t="shared" si="39"/>
        <v>0</v>
      </c>
      <c r="T95" s="78"/>
      <c r="U95" s="59">
        <f>IF(D95=0,0,SUM($L$21:L95))</f>
        <v>0</v>
      </c>
      <c r="V95" s="59">
        <f>IF(D95=0,0,SUM($J$21:J95))</f>
        <v>0</v>
      </c>
      <c r="W95" s="66">
        <f t="shared" si="33"/>
        <v>0</v>
      </c>
      <c r="X95" s="67">
        <f t="shared" si="40"/>
        <v>0</v>
      </c>
      <c r="Y95" s="68">
        <f t="shared" si="41"/>
        <v>45732</v>
      </c>
      <c r="Z95" s="69">
        <f t="shared" si="41"/>
        <v>45732</v>
      </c>
      <c r="AA95" s="564">
        <v>11</v>
      </c>
      <c r="AB95" s="556" t="s">
        <v>328</v>
      </c>
      <c r="AC95" s="560">
        <f>IFERROR(AVERAGEIFS(J325:J354,D325:D354,1,G325:G354,"fri"),0)</f>
        <v>252295</v>
      </c>
      <c r="AD95" s="558">
        <f>COUNTIFS(D325:D354,1,G325:G354,"fri")</f>
        <v>4</v>
      </c>
      <c r="AE95" s="557">
        <f>($I$17*実績_2024R6!AI94)/AD95</f>
        <v>346355.42149222188</v>
      </c>
      <c r="AF95" s="553">
        <f t="shared" si="42"/>
        <v>1385421.6859688875</v>
      </c>
      <c r="AG95" s="555"/>
    </row>
    <row r="96" spans="1:33" ht="20">
      <c r="A96" s="1"/>
      <c r="B96" s="11"/>
      <c r="C96" s="50">
        <v>76</v>
      </c>
      <c r="D96" s="51">
        <v>1</v>
      </c>
      <c r="E96" s="52">
        <f t="shared" si="35"/>
        <v>3</v>
      </c>
      <c r="F96" s="53">
        <f t="shared" si="36"/>
        <v>45733</v>
      </c>
      <c r="G96" s="54" t="str">
        <f t="shared" si="37"/>
        <v>Mon</v>
      </c>
      <c r="H96" s="55"/>
      <c r="I96" s="56"/>
      <c r="J96" s="82">
        <v>329600</v>
      </c>
      <c r="K96" s="83"/>
      <c r="L96" s="59">
        <f t="shared" si="38"/>
        <v>203685.44912572671</v>
      </c>
      <c r="M96" s="60">
        <f t="shared" si="31"/>
        <v>125914.55087427329</v>
      </c>
      <c r="N96" s="61">
        <f t="shared" si="9"/>
        <v>1.6181813743432962</v>
      </c>
      <c r="O96" s="80"/>
      <c r="P96" s="59">
        <f>IF(D96=0,0,SUM($L$80:L96))</f>
        <v>4007183.5971572888</v>
      </c>
      <c r="Q96" s="59">
        <f>IF(D96=0,0,SUM($J$80:J96))</f>
        <v>3751590</v>
      </c>
      <c r="R96" s="63">
        <f t="shared" si="32"/>
        <v>-255593.59715728881</v>
      </c>
      <c r="S96" s="64">
        <f t="shared" si="39"/>
        <v>0.93621615008141679</v>
      </c>
      <c r="T96" s="73"/>
      <c r="U96" s="59">
        <f>IF(D96=0,0,SUM($L$21:L96))</f>
        <v>14706130.965578344</v>
      </c>
      <c r="V96" s="59">
        <f>IF(D96=0,0,SUM($J$21:J96))</f>
        <v>15126890</v>
      </c>
      <c r="W96" s="66">
        <f t="shared" si="33"/>
        <v>420759.03442165628</v>
      </c>
      <c r="X96" s="67">
        <f t="shared" si="40"/>
        <v>1.0286111306506449</v>
      </c>
      <c r="Y96" s="68">
        <f t="shared" si="41"/>
        <v>45733</v>
      </c>
      <c r="Z96" s="69">
        <f t="shared" si="41"/>
        <v>45733</v>
      </c>
      <c r="AA96" s="564">
        <v>11</v>
      </c>
      <c r="AB96" s="556" t="s">
        <v>329</v>
      </c>
      <c r="AC96" s="560">
        <f>IFERROR(AVERAGEIFS(J325:J354,D325:D354,1,G325:G354,"sat"),0)</f>
        <v>93924</v>
      </c>
      <c r="AD96" s="558">
        <f>COUNTIFS(D325:D354,1,G325:G354,"sat")</f>
        <v>5</v>
      </c>
      <c r="AE96" s="557">
        <f>($I$17*実績_2024R6!AI95)/AD96</f>
        <v>146897.80364132358</v>
      </c>
      <c r="AF96" s="553">
        <f t="shared" si="42"/>
        <v>734489.01820661791</v>
      </c>
      <c r="AG96" s="561" t="s">
        <v>349</v>
      </c>
    </row>
    <row r="97" spans="1:33" ht="20">
      <c r="A97" s="1"/>
      <c r="B97" s="11"/>
      <c r="C97" s="50">
        <v>77</v>
      </c>
      <c r="D97" s="51">
        <v>1</v>
      </c>
      <c r="E97" s="52">
        <f t="shared" si="35"/>
        <v>3</v>
      </c>
      <c r="F97" s="53">
        <f t="shared" si="36"/>
        <v>45734</v>
      </c>
      <c r="G97" s="54" t="str">
        <f t="shared" si="37"/>
        <v>Tue</v>
      </c>
      <c r="H97" s="55"/>
      <c r="I97" s="56"/>
      <c r="J97" s="82">
        <v>373470</v>
      </c>
      <c r="K97" s="83"/>
      <c r="L97" s="59">
        <f t="shared" si="38"/>
        <v>293532.44959379412</v>
      </c>
      <c r="M97" s="60">
        <f t="shared" si="31"/>
        <v>79937.550406205875</v>
      </c>
      <c r="N97" s="61">
        <f t="shared" si="9"/>
        <v>1.2723295176285543</v>
      </c>
      <c r="O97" s="80"/>
      <c r="P97" s="59">
        <f>IF(D97=0,0,SUM($L$80:L97))</f>
        <v>4300716.0467510829</v>
      </c>
      <c r="Q97" s="59">
        <f>IF(D97=0,0,SUM($J$80:J97))</f>
        <v>4125060</v>
      </c>
      <c r="R97" s="63">
        <f t="shared" si="32"/>
        <v>-175656.04675108287</v>
      </c>
      <c r="S97" s="64">
        <f t="shared" si="39"/>
        <v>0.95915655792160937</v>
      </c>
      <c r="T97" s="73"/>
      <c r="U97" s="59">
        <f>IF(D97=0,0,SUM($L$21:L97))</f>
        <v>14999663.415172137</v>
      </c>
      <c r="V97" s="59">
        <f>IF(D97=0,0,SUM($J$21:J97))</f>
        <v>15500360</v>
      </c>
      <c r="W97" s="66">
        <f t="shared" si="33"/>
        <v>500696.58482786268</v>
      </c>
      <c r="X97" s="67">
        <f t="shared" si="40"/>
        <v>1.0333805213469929</v>
      </c>
      <c r="Y97" s="68">
        <f t="shared" si="41"/>
        <v>45734</v>
      </c>
      <c r="Z97" s="69">
        <f t="shared" si="41"/>
        <v>45734</v>
      </c>
      <c r="AA97" s="564">
        <v>11</v>
      </c>
      <c r="AB97" s="556" t="s">
        <v>331</v>
      </c>
      <c r="AC97" s="560">
        <f>IFERROR(AVERAGEIFS(J325:J354,D325:D354,1,G325:G354,"sun"),0)</f>
        <v>0</v>
      </c>
      <c r="AD97" s="558">
        <f>IFERROR(COUNTIFS(D325:D354,1,G325:G354,"sun"),0)</f>
        <v>0</v>
      </c>
      <c r="AE97" s="557">
        <f>IFERROR(($I$17*実績_2024R6!AI96)/AD97,0)</f>
        <v>0</v>
      </c>
      <c r="AF97" s="562">
        <f>SUM(AF91:AF96)</f>
        <v>5084210.5263157897</v>
      </c>
      <c r="AG97" s="563">
        <f>I17</f>
        <v>5084210.5263157897</v>
      </c>
    </row>
    <row r="98" spans="1:33" ht="20">
      <c r="A98" s="1"/>
      <c r="B98" s="11"/>
      <c r="C98" s="50">
        <v>78</v>
      </c>
      <c r="D98" s="51">
        <v>1</v>
      </c>
      <c r="E98" s="52">
        <f t="shared" si="35"/>
        <v>3</v>
      </c>
      <c r="F98" s="53">
        <f t="shared" si="36"/>
        <v>45735</v>
      </c>
      <c r="G98" s="54" t="str">
        <f t="shared" si="37"/>
        <v>Wed</v>
      </c>
      <c r="H98" s="55"/>
      <c r="I98" s="56"/>
      <c r="J98" s="82">
        <v>383950</v>
      </c>
      <c r="K98" s="83"/>
      <c r="L98" s="59">
        <f t="shared" si="38"/>
        <v>245154.79242168766</v>
      </c>
      <c r="M98" s="60">
        <f t="shared" si="31"/>
        <v>138795.20757831234</v>
      </c>
      <c r="N98" s="61">
        <f t="shared" si="9"/>
        <v>1.5661533523667466</v>
      </c>
      <c r="O98" s="80"/>
      <c r="P98" s="59">
        <f>IF(D98=0,0,SUM($L$80:L98))</f>
        <v>4545870.8391727703</v>
      </c>
      <c r="Q98" s="59">
        <f>IF(D98=0,0,SUM($J$80:J98))</f>
        <v>4509010</v>
      </c>
      <c r="R98" s="63">
        <f t="shared" si="32"/>
        <v>-36860.839172770269</v>
      </c>
      <c r="S98" s="64">
        <f t="shared" si="39"/>
        <v>0.99189135800886985</v>
      </c>
      <c r="T98" s="73"/>
      <c r="U98" s="59">
        <f>IF(D98=0,0,SUM($L$21:L98))</f>
        <v>15244818.207593825</v>
      </c>
      <c r="V98" s="59">
        <f>IF(D98=0,0,SUM($J$21:J98))</f>
        <v>15884310</v>
      </c>
      <c r="W98" s="66">
        <f t="shared" si="33"/>
        <v>639491.79240617529</v>
      </c>
      <c r="X98" s="67">
        <f t="shared" si="40"/>
        <v>1.0419481415716476</v>
      </c>
      <c r="Y98" s="68">
        <f t="shared" si="41"/>
        <v>45735</v>
      </c>
      <c r="Z98" s="69">
        <f t="shared" si="41"/>
        <v>45735</v>
      </c>
      <c r="AA98" s="564">
        <v>12</v>
      </c>
      <c r="AB98" s="552" t="s">
        <v>323</v>
      </c>
      <c r="AC98" s="560">
        <f>IFERROR(AVERAGEIFS(J355:J385,D355:D385,1,G355:G385,"mon"),0)</f>
        <v>0</v>
      </c>
      <c r="AD98" s="558">
        <f>COUNTIFS(D355:D385,1,G355:G385,"Mon")</f>
        <v>4</v>
      </c>
      <c r="AE98" s="557">
        <f>($I$18*実績_2024R6!AI97)/AD98</f>
        <v>209685.64966714871</v>
      </c>
      <c r="AF98" s="553">
        <f>AD98*AE98</f>
        <v>838742.59866859484</v>
      </c>
      <c r="AG98" s="555" t="s">
        <v>350</v>
      </c>
    </row>
    <row r="99" spans="1:33" ht="20">
      <c r="A99" s="1"/>
      <c r="B99" s="11"/>
      <c r="C99" s="50">
        <v>79</v>
      </c>
      <c r="D99" s="51">
        <v>0</v>
      </c>
      <c r="E99" s="52">
        <f t="shared" si="35"/>
        <v>3</v>
      </c>
      <c r="F99" s="53">
        <f t="shared" si="36"/>
        <v>45736</v>
      </c>
      <c r="G99" s="54" t="str">
        <f t="shared" si="37"/>
        <v>Thu</v>
      </c>
      <c r="H99" s="55"/>
      <c r="I99" s="56"/>
      <c r="J99" s="82"/>
      <c r="K99" s="83"/>
      <c r="L99" s="59">
        <f t="shared" si="38"/>
        <v>0</v>
      </c>
      <c r="M99" s="60">
        <f t="shared" si="31"/>
        <v>0</v>
      </c>
      <c r="N99" s="61" t="str">
        <f t="shared" si="9"/>
        <v>¥0</v>
      </c>
      <c r="O99" s="81"/>
      <c r="P99" s="59">
        <f>IF(D99=0,0,SUM($L$80:L99))</f>
        <v>0</v>
      </c>
      <c r="Q99" s="59">
        <f>IF(D99=0,0,SUM($J$80:J99))</f>
        <v>0</v>
      </c>
      <c r="R99" s="63">
        <f t="shared" si="32"/>
        <v>0</v>
      </c>
      <c r="S99" s="64">
        <f t="shared" si="39"/>
        <v>0</v>
      </c>
      <c r="T99" s="78"/>
      <c r="U99" s="59">
        <f>IF(D99=0,0,SUM($L$21:L99))</f>
        <v>0</v>
      </c>
      <c r="V99" s="59">
        <f>IF(D99=0,0,SUM($J$21:J99))</f>
        <v>0</v>
      </c>
      <c r="W99" s="66">
        <f t="shared" si="33"/>
        <v>0</v>
      </c>
      <c r="X99" s="67">
        <f t="shared" si="40"/>
        <v>0</v>
      </c>
      <c r="Y99" s="68">
        <f t="shared" si="41"/>
        <v>45736</v>
      </c>
      <c r="Z99" s="69">
        <f t="shared" si="41"/>
        <v>45736</v>
      </c>
      <c r="AA99" s="564">
        <v>12</v>
      </c>
      <c r="AB99" s="556" t="s">
        <v>325</v>
      </c>
      <c r="AC99" s="560">
        <f>IFERROR(AVERAGEIFS(J355:J385,D355:D385,1,G355:G385,"tue"),0)</f>
        <v>0</v>
      </c>
      <c r="AD99" s="558">
        <f>COUNTIFS(D355:D385,1,G355:G385,"tue")</f>
        <v>4</v>
      </c>
      <c r="AE99" s="557">
        <f>($I$18*実績_2024R6!AI98)/AD99</f>
        <v>230766.13661644</v>
      </c>
      <c r="AF99" s="553">
        <f t="shared" ref="AF99:AF103" si="43">AD99*AE99</f>
        <v>923064.54646575998</v>
      </c>
      <c r="AG99" s="555"/>
    </row>
    <row r="100" spans="1:33" ht="20">
      <c r="A100" s="1"/>
      <c r="B100" s="11"/>
      <c r="C100" s="50">
        <v>80</v>
      </c>
      <c r="D100" s="51">
        <v>1</v>
      </c>
      <c r="E100" s="52">
        <f t="shared" si="35"/>
        <v>3</v>
      </c>
      <c r="F100" s="53">
        <f t="shared" si="36"/>
        <v>45737</v>
      </c>
      <c r="G100" s="54" t="str">
        <f t="shared" si="37"/>
        <v>Fri</v>
      </c>
      <c r="H100" s="55"/>
      <c r="I100" s="56"/>
      <c r="J100" s="82">
        <v>283190</v>
      </c>
      <c r="K100" s="83"/>
      <c r="L100" s="59">
        <f t="shared" si="38"/>
        <v>448451.04076565971</v>
      </c>
      <c r="M100" s="60">
        <f t="shared" si="31"/>
        <v>-165261.04076565971</v>
      </c>
      <c r="N100" s="61">
        <f t="shared" si="9"/>
        <v>0.63148476479505444</v>
      </c>
      <c r="O100" s="80"/>
      <c r="P100" s="59">
        <f>IF(D100=0,0,SUM($L$80:L100))</f>
        <v>4994321.8799384302</v>
      </c>
      <c r="Q100" s="59">
        <f>IF(D100=0,0,SUM($J$80:J100))</f>
        <v>4792200</v>
      </c>
      <c r="R100" s="63">
        <f t="shared" si="32"/>
        <v>-202121.87993843015</v>
      </c>
      <c r="S100" s="64">
        <f t="shared" si="39"/>
        <v>0.95952966492801983</v>
      </c>
      <c r="T100" s="73"/>
      <c r="U100" s="59">
        <f>IF(D100=0,0,SUM($L$21:L100))</f>
        <v>15693269.248359485</v>
      </c>
      <c r="V100" s="59">
        <f>IF(D100=0,0,SUM($J$21:J100))</f>
        <v>16167500</v>
      </c>
      <c r="W100" s="66">
        <f t="shared" si="33"/>
        <v>474230.7516405154</v>
      </c>
      <c r="X100" s="67">
        <f t="shared" si="40"/>
        <v>1.0302187354422718</v>
      </c>
      <c r="Y100" s="68">
        <f t="shared" si="41"/>
        <v>45737</v>
      </c>
      <c r="Z100" s="69">
        <f t="shared" si="41"/>
        <v>45737</v>
      </c>
      <c r="AA100" s="564">
        <v>12</v>
      </c>
      <c r="AB100" s="556" t="s">
        <v>326</v>
      </c>
      <c r="AC100" s="560">
        <f>IFERROR(AVERAGEIFS(J355:J385,D355:D385,1,G355:G385,"wed"),0)</f>
        <v>0</v>
      </c>
      <c r="AD100" s="558">
        <f>COUNTIFS(D355:D385,1,G355:G385,"wed")</f>
        <v>4</v>
      </c>
      <c r="AE100" s="557">
        <f>($I$18*実績_2024R6!AI99)/AD100</f>
        <v>286865.64520980971</v>
      </c>
      <c r="AF100" s="553">
        <f t="shared" si="43"/>
        <v>1147462.5808392388</v>
      </c>
      <c r="AG100" s="555"/>
    </row>
    <row r="101" spans="1:33" ht="20">
      <c r="A101" s="1"/>
      <c r="B101" s="11"/>
      <c r="C101" s="50">
        <v>81</v>
      </c>
      <c r="D101" s="51">
        <v>1</v>
      </c>
      <c r="E101" s="52">
        <f t="shared" si="35"/>
        <v>3</v>
      </c>
      <c r="F101" s="53">
        <f t="shared" si="36"/>
        <v>45738</v>
      </c>
      <c r="G101" s="54" t="str">
        <f t="shared" si="37"/>
        <v>Sat</v>
      </c>
      <c r="H101" s="55"/>
      <c r="I101" s="56"/>
      <c r="J101" s="82">
        <v>300980</v>
      </c>
      <c r="K101" s="83"/>
      <c r="L101" s="59">
        <f t="shared" si="38"/>
        <v>168908.24647170241</v>
      </c>
      <c r="M101" s="60">
        <f t="shared" si="31"/>
        <v>132071.75352829759</v>
      </c>
      <c r="N101" s="61">
        <f t="shared" si="9"/>
        <v>1.7819141829195644</v>
      </c>
      <c r="O101" s="80"/>
      <c r="P101" s="59">
        <f>IF(D101=0,0,SUM($L$80:L101))</f>
        <v>5163230.1264101323</v>
      </c>
      <c r="Q101" s="59">
        <f>IF(D101=0,0,SUM($J$80:J101))</f>
        <v>5093180</v>
      </c>
      <c r="R101" s="63">
        <f t="shared" si="32"/>
        <v>-70050.126410132274</v>
      </c>
      <c r="S101" s="64">
        <f t="shared" si="39"/>
        <v>0.98643288703096477</v>
      </c>
      <c r="T101" s="73"/>
      <c r="U101" s="59">
        <f>IF(D101=0,0,SUM($L$21:L101))</f>
        <v>15862177.494831188</v>
      </c>
      <c r="V101" s="59">
        <f>IF(D101=0,0,SUM($J$21:J101))</f>
        <v>16468480</v>
      </c>
      <c r="W101" s="66">
        <f t="shared" si="33"/>
        <v>606302.50516881235</v>
      </c>
      <c r="X101" s="67">
        <f t="shared" si="40"/>
        <v>1.0382231572787772</v>
      </c>
      <c r="Y101" s="68">
        <f t="shared" si="41"/>
        <v>45738</v>
      </c>
      <c r="Z101" s="69">
        <f t="shared" si="41"/>
        <v>45738</v>
      </c>
      <c r="AA101" s="564">
        <v>12</v>
      </c>
      <c r="AB101" s="556" t="s">
        <v>327</v>
      </c>
      <c r="AC101" s="560">
        <f>IFERROR(AVERAGEIFS(J355:J385,D355:D385,1,G355:G385,"thu"),0)</f>
        <v>0</v>
      </c>
      <c r="AD101" s="558">
        <f>COUNTIFS(D355:D385,1,G355:G385,"thu")</f>
        <v>4</v>
      </c>
      <c r="AE101" s="557">
        <f>($I$18*実績_2024R6!AI100)/AD101</f>
        <v>248339.3653988569</v>
      </c>
      <c r="AF101" s="553">
        <f t="shared" si="43"/>
        <v>993357.46159542759</v>
      </c>
      <c r="AG101" s="555"/>
    </row>
    <row r="102" spans="1:33" ht="20">
      <c r="A102" s="1"/>
      <c r="B102" s="11"/>
      <c r="C102" s="50">
        <v>82</v>
      </c>
      <c r="D102" s="51">
        <v>0</v>
      </c>
      <c r="E102" s="52">
        <f t="shared" si="35"/>
        <v>3</v>
      </c>
      <c r="F102" s="53">
        <f t="shared" si="36"/>
        <v>45739</v>
      </c>
      <c r="G102" s="54" t="str">
        <f t="shared" si="37"/>
        <v>Sun</v>
      </c>
      <c r="H102" s="55"/>
      <c r="I102" s="56"/>
      <c r="J102" s="82"/>
      <c r="K102" s="83"/>
      <c r="L102" s="59">
        <f t="shared" si="38"/>
        <v>0</v>
      </c>
      <c r="M102" s="60">
        <f t="shared" si="31"/>
        <v>0</v>
      </c>
      <c r="N102" s="61" t="str">
        <f t="shared" si="9"/>
        <v>¥0</v>
      </c>
      <c r="O102" s="81"/>
      <c r="P102" s="59">
        <f>IF(D102=0,0,SUM($L$80:L102))</f>
        <v>0</v>
      </c>
      <c r="Q102" s="59">
        <f>IF(D102=0,0,SUM($J$80:J102))</f>
        <v>0</v>
      </c>
      <c r="R102" s="63">
        <f t="shared" si="32"/>
        <v>0</v>
      </c>
      <c r="S102" s="64">
        <f t="shared" si="39"/>
        <v>0</v>
      </c>
      <c r="T102" s="78"/>
      <c r="U102" s="59">
        <f>IF(D102=0,0,SUM($L$21:L102))</f>
        <v>0</v>
      </c>
      <c r="V102" s="59">
        <f>IF(D102=0,0,SUM($J$21:J102))</f>
        <v>0</v>
      </c>
      <c r="W102" s="66">
        <f t="shared" si="33"/>
        <v>0</v>
      </c>
      <c r="X102" s="67">
        <f t="shared" si="40"/>
        <v>0</v>
      </c>
      <c r="Y102" s="68">
        <f t="shared" si="41"/>
        <v>45739</v>
      </c>
      <c r="Z102" s="69">
        <f t="shared" si="41"/>
        <v>45739</v>
      </c>
      <c r="AA102" s="564">
        <v>12</v>
      </c>
      <c r="AB102" s="556" t="s">
        <v>328</v>
      </c>
      <c r="AC102" s="560">
        <f>IFERROR(AVERAGEIFS(J355:J385,D355:D385,1,G355:G385,"fri"),0)</f>
        <v>0</v>
      </c>
      <c r="AD102" s="558">
        <f>COUNTIFS(D355:D385,1,G355:G385,"fri")</f>
        <v>4</v>
      </c>
      <c r="AE102" s="557">
        <f>($I$18*実績_2024R6!AI101)/AD102</f>
        <v>309192.78790562029</v>
      </c>
      <c r="AF102" s="553">
        <f t="shared" si="43"/>
        <v>1236771.1516224812</v>
      </c>
      <c r="AG102" s="555"/>
    </row>
    <row r="103" spans="1:33" ht="20">
      <c r="A103" s="1"/>
      <c r="B103" s="11"/>
      <c r="C103" s="50">
        <v>83</v>
      </c>
      <c r="D103" s="51">
        <v>1</v>
      </c>
      <c r="E103" s="52">
        <f t="shared" si="35"/>
        <v>3</v>
      </c>
      <c r="F103" s="53">
        <f t="shared" si="36"/>
        <v>45740</v>
      </c>
      <c r="G103" s="54" t="str">
        <f t="shared" si="37"/>
        <v>Mon</v>
      </c>
      <c r="H103" s="55"/>
      <c r="I103" s="56"/>
      <c r="J103" s="82">
        <v>204700</v>
      </c>
      <c r="K103" s="83"/>
      <c r="L103" s="59">
        <f t="shared" si="38"/>
        <v>203685.44912572671</v>
      </c>
      <c r="M103" s="60">
        <f t="shared" si="31"/>
        <v>1014.5508742732927</v>
      </c>
      <c r="N103" s="61">
        <f t="shared" si="9"/>
        <v>1.0049809688351721</v>
      </c>
      <c r="O103" s="80"/>
      <c r="P103" s="59">
        <f>IF(D103=0,0,SUM($L$80:L103))</f>
        <v>5366915.575535859</v>
      </c>
      <c r="Q103" s="59">
        <f>IF(D103=0,0,SUM($J$80:J103))</f>
        <v>5297880</v>
      </c>
      <c r="R103" s="63">
        <f t="shared" si="32"/>
        <v>-69035.575535858981</v>
      </c>
      <c r="S103" s="64">
        <f t="shared" si="39"/>
        <v>0.98713682476196463</v>
      </c>
      <c r="T103" s="73"/>
      <c r="U103" s="59">
        <f>IF(D103=0,0,SUM($L$21:L103))</f>
        <v>16065862.943956915</v>
      </c>
      <c r="V103" s="59">
        <f>IF(D103=0,0,SUM($J$21:J103))</f>
        <v>16673180</v>
      </c>
      <c r="W103" s="66">
        <f t="shared" si="33"/>
        <v>607317.05604308471</v>
      </c>
      <c r="X103" s="67">
        <f t="shared" si="40"/>
        <v>1.0378017077676815</v>
      </c>
      <c r="Y103" s="68">
        <f t="shared" ref="Y103:Z118" si="44">Y102+1</f>
        <v>45740</v>
      </c>
      <c r="Z103" s="69">
        <f t="shared" si="44"/>
        <v>45740</v>
      </c>
      <c r="AA103" s="564">
        <v>12</v>
      </c>
      <c r="AB103" s="556" t="s">
        <v>329</v>
      </c>
      <c r="AC103" s="560">
        <f>IFERROR(AVERAGEIFS(J355:J385,D355:D385,1,G355:G385,"sat"),0)</f>
        <v>0</v>
      </c>
      <c r="AD103" s="558">
        <f>COUNTIFS(D355:D385,1,G355:G385,"sat")</f>
        <v>4</v>
      </c>
      <c r="AE103" s="557">
        <f>($I$18*実績_2024R6!AI102)/AD103</f>
        <v>174097.78362317695</v>
      </c>
      <c r="AF103" s="553">
        <f t="shared" si="43"/>
        <v>696391.13449270779</v>
      </c>
      <c r="AG103" s="561" t="s">
        <v>351</v>
      </c>
    </row>
    <row r="104" spans="1:33" ht="20">
      <c r="A104" s="1"/>
      <c r="B104" s="11"/>
      <c r="C104" s="50">
        <v>84</v>
      </c>
      <c r="D104" s="51">
        <v>1</v>
      </c>
      <c r="E104" s="52">
        <f t="shared" si="35"/>
        <v>3</v>
      </c>
      <c r="F104" s="53">
        <f t="shared" si="36"/>
        <v>45741</v>
      </c>
      <c r="G104" s="54" t="str">
        <f t="shared" si="37"/>
        <v>Tue</v>
      </c>
      <c r="H104" s="55"/>
      <c r="I104" s="56"/>
      <c r="J104" s="82">
        <v>349250</v>
      </c>
      <c r="K104" s="83"/>
      <c r="L104" s="59">
        <f t="shared" si="38"/>
        <v>293532.44959379412</v>
      </c>
      <c r="M104" s="60">
        <f t="shared" si="31"/>
        <v>55717.550406205875</v>
      </c>
      <c r="N104" s="61">
        <f t="shared" si="9"/>
        <v>1.1898173455211196</v>
      </c>
      <c r="O104" s="80"/>
      <c r="P104" s="59">
        <f>IF(D104=0,0,SUM($L$80:L104))</f>
        <v>5660448.0251296535</v>
      </c>
      <c r="Q104" s="59">
        <f>IF(D104=0,0,SUM($J$80:J104))</f>
        <v>5647130</v>
      </c>
      <c r="R104" s="63">
        <f t="shared" si="32"/>
        <v>-13318.025129653513</v>
      </c>
      <c r="S104" s="64">
        <f t="shared" si="39"/>
        <v>0.997647178267422</v>
      </c>
      <c r="T104" s="73"/>
      <c r="U104" s="59">
        <f>IF(D104=0,0,SUM($L$21:L104))</f>
        <v>16359395.393550709</v>
      </c>
      <c r="V104" s="59">
        <f>IF(D104=0,0,SUM($J$21:J104))</f>
        <v>17022430</v>
      </c>
      <c r="W104" s="66">
        <f t="shared" si="33"/>
        <v>663034.60644929111</v>
      </c>
      <c r="X104" s="67">
        <f t="shared" si="40"/>
        <v>1.0405292854961301</v>
      </c>
      <c r="Y104" s="68">
        <f t="shared" si="44"/>
        <v>45741</v>
      </c>
      <c r="Z104" s="69">
        <f t="shared" si="44"/>
        <v>45741</v>
      </c>
      <c r="AA104" s="564">
        <v>12</v>
      </c>
      <c r="AB104" s="556" t="s">
        <v>331</v>
      </c>
      <c r="AC104" s="560">
        <f>IFERROR(AVERAGEIFS(J355:J385,D355:D385,1,G355:G385,"sun"),0)</f>
        <v>0</v>
      </c>
      <c r="AD104" s="558">
        <f>IFERROR(COUNTIFS(D355:D385,1,G355:G385,"sun"),0)</f>
        <v>0</v>
      </c>
      <c r="AE104" s="557">
        <f>IFERROR(($I$18*実績_2024R6!AI103)/AD104,0)</f>
        <v>0</v>
      </c>
      <c r="AF104" s="562">
        <f>SUM(AF98:AF103)</f>
        <v>5835789.4736842103</v>
      </c>
      <c r="AG104" s="563">
        <f>I18</f>
        <v>5835789.4736842103</v>
      </c>
    </row>
    <row r="105" spans="1:33" ht="20">
      <c r="A105" s="1"/>
      <c r="B105" s="11"/>
      <c r="C105" s="50">
        <v>85</v>
      </c>
      <c r="D105" s="51">
        <v>1</v>
      </c>
      <c r="E105" s="52">
        <f t="shared" si="35"/>
        <v>3</v>
      </c>
      <c r="F105" s="53">
        <f t="shared" si="36"/>
        <v>45742</v>
      </c>
      <c r="G105" s="54" t="str">
        <f t="shared" si="37"/>
        <v>Wed</v>
      </c>
      <c r="H105" s="55"/>
      <c r="I105" s="56"/>
      <c r="J105" s="82">
        <v>446680</v>
      </c>
      <c r="K105" s="83"/>
      <c r="L105" s="59">
        <f t="shared" si="38"/>
        <v>245154.79242168766</v>
      </c>
      <c r="M105" s="60">
        <f t="shared" si="31"/>
        <v>201525.20757831234</v>
      </c>
      <c r="N105" s="61">
        <f t="shared" si="9"/>
        <v>1.8220325027612407</v>
      </c>
      <c r="O105" s="80"/>
      <c r="P105" s="59">
        <f>IF(D105=0,0,SUM($L$80:L105))</f>
        <v>5905602.8175513409</v>
      </c>
      <c r="Q105" s="59">
        <f>IF(D105=0,0,SUM($J$80:J105))</f>
        <v>6093810</v>
      </c>
      <c r="R105" s="63">
        <f t="shared" si="32"/>
        <v>188207.18244865909</v>
      </c>
      <c r="S105" s="64">
        <f t="shared" si="39"/>
        <v>1.0318692584420528</v>
      </c>
      <c r="T105" s="73"/>
      <c r="U105" s="59">
        <f>IF(D105=0,0,SUM($L$21:L105))</f>
        <v>16604550.185972396</v>
      </c>
      <c r="V105" s="59">
        <f>IF(D105=0,0,SUM($J$21:J105))</f>
        <v>17469110</v>
      </c>
      <c r="W105" s="66">
        <f t="shared" si="33"/>
        <v>864559.81402760372</v>
      </c>
      <c r="X105" s="67">
        <f t="shared" si="40"/>
        <v>1.0520676443712391</v>
      </c>
      <c r="Y105" s="68">
        <f t="shared" si="44"/>
        <v>45742</v>
      </c>
      <c r="Z105" s="69">
        <f t="shared" si="44"/>
        <v>45742</v>
      </c>
      <c r="AA105" s="1"/>
      <c r="AB105" s="1"/>
      <c r="AC105" s="1"/>
      <c r="AD105" s="1"/>
      <c r="AE105" s="1"/>
      <c r="AF105" s="1"/>
      <c r="AG105" s="1"/>
    </row>
    <row r="106" spans="1:33" ht="20">
      <c r="A106" s="1"/>
      <c r="B106" s="11"/>
      <c r="C106" s="50">
        <v>86</v>
      </c>
      <c r="D106" s="51">
        <v>1</v>
      </c>
      <c r="E106" s="52">
        <f t="shared" si="35"/>
        <v>3</v>
      </c>
      <c r="F106" s="53">
        <f t="shared" si="36"/>
        <v>45743</v>
      </c>
      <c r="G106" s="54" t="str">
        <f t="shared" si="37"/>
        <v>Thu</v>
      </c>
      <c r="H106" s="55"/>
      <c r="I106" s="56"/>
      <c r="J106" s="82">
        <v>367730</v>
      </c>
      <c r="K106" s="83"/>
      <c r="L106" s="59">
        <f t="shared" si="38"/>
        <v>457562.97240135906</v>
      </c>
      <c r="M106" s="60">
        <f t="shared" si="31"/>
        <v>-89832.97240135906</v>
      </c>
      <c r="N106" s="61">
        <f t="shared" si="9"/>
        <v>0.8036707998247713</v>
      </c>
      <c r="O106" s="80"/>
      <c r="P106" s="59">
        <f>IF(D106=0,0,SUM($L$80:L106))</f>
        <v>6363165.7899527</v>
      </c>
      <c r="Q106" s="59">
        <f>IF(D106=0,0,SUM($J$80:J106))</f>
        <v>6461540</v>
      </c>
      <c r="R106" s="63">
        <f t="shared" si="32"/>
        <v>98374.210047299974</v>
      </c>
      <c r="S106" s="64">
        <f t="shared" si="39"/>
        <v>1.0154599476572856</v>
      </c>
      <c r="T106" s="73"/>
      <c r="U106" s="59">
        <f>IF(D106=0,0,SUM($L$21:L106))</f>
        <v>17062113.158373754</v>
      </c>
      <c r="V106" s="59">
        <f>IF(D106=0,0,SUM($J$21:J106))</f>
        <v>17836840</v>
      </c>
      <c r="W106" s="66">
        <f t="shared" si="33"/>
        <v>774726.84162624553</v>
      </c>
      <c r="X106" s="67">
        <f t="shared" si="40"/>
        <v>1.0454062655917873</v>
      </c>
      <c r="Y106" s="68">
        <f t="shared" si="44"/>
        <v>45743</v>
      </c>
      <c r="Z106" s="69">
        <f t="shared" si="44"/>
        <v>45743</v>
      </c>
      <c r="AA106" s="1"/>
      <c r="AB106" s="1"/>
      <c r="AC106" s="1"/>
      <c r="AD106" s="1"/>
      <c r="AE106" s="1"/>
      <c r="AF106" s="1"/>
      <c r="AG106" s="1"/>
    </row>
    <row r="107" spans="1:33" ht="20">
      <c r="A107" s="1"/>
      <c r="B107" s="11"/>
      <c r="C107" s="50">
        <v>87</v>
      </c>
      <c r="D107" s="51">
        <v>1</v>
      </c>
      <c r="E107" s="52">
        <f t="shared" si="35"/>
        <v>3</v>
      </c>
      <c r="F107" s="53">
        <f t="shared" si="36"/>
        <v>45744</v>
      </c>
      <c r="G107" s="54" t="str">
        <f t="shared" si="37"/>
        <v>Fri</v>
      </c>
      <c r="H107" s="55"/>
      <c r="I107" s="56"/>
      <c r="J107" s="82">
        <v>441460</v>
      </c>
      <c r="K107" s="83"/>
      <c r="L107" s="59">
        <f t="shared" si="38"/>
        <v>448451.04076565971</v>
      </c>
      <c r="M107" s="60">
        <f t="shared" si="31"/>
        <v>-6991.040765659709</v>
      </c>
      <c r="N107" s="61">
        <f t="shared" si="9"/>
        <v>0.98441069340875298</v>
      </c>
      <c r="O107" s="80"/>
      <c r="P107" s="59">
        <f>IF(D107=0,0,SUM($L$80:L107))</f>
        <v>6811616.8307183599</v>
      </c>
      <c r="Q107" s="59">
        <f>IF(D107=0,0,SUM($J$80:J107))</f>
        <v>6903000</v>
      </c>
      <c r="R107" s="63">
        <f t="shared" si="32"/>
        <v>91383.16928164009</v>
      </c>
      <c r="S107" s="64">
        <f t="shared" si="39"/>
        <v>1.013415782412999</v>
      </c>
      <c r="T107" s="73"/>
      <c r="U107" s="59">
        <f>IF(D107=0,0,SUM($L$21:L107))</f>
        <v>17510564.199139412</v>
      </c>
      <c r="V107" s="59">
        <f>IF(D107=0,0,SUM($J$21:J107))</f>
        <v>18278300</v>
      </c>
      <c r="W107" s="66">
        <f t="shared" si="33"/>
        <v>767735.80086058751</v>
      </c>
      <c r="X107" s="67">
        <f t="shared" si="40"/>
        <v>1.0438441498588789</v>
      </c>
      <c r="Y107" s="68">
        <f t="shared" si="44"/>
        <v>45744</v>
      </c>
      <c r="Z107" s="69">
        <f t="shared" si="44"/>
        <v>45744</v>
      </c>
      <c r="AA107" s="1"/>
      <c r="AB107" s="1"/>
      <c r="AC107" s="1"/>
      <c r="AD107" s="1"/>
      <c r="AE107" s="1"/>
      <c r="AF107" s="1"/>
      <c r="AG107" s="1"/>
    </row>
    <row r="108" spans="1:33" ht="20">
      <c r="A108" s="1"/>
      <c r="B108" s="11"/>
      <c r="C108" s="50">
        <v>88</v>
      </c>
      <c r="D108" s="51">
        <v>1</v>
      </c>
      <c r="E108" s="52">
        <f t="shared" si="35"/>
        <v>3</v>
      </c>
      <c r="F108" s="53">
        <f t="shared" si="36"/>
        <v>45745</v>
      </c>
      <c r="G108" s="54" t="str">
        <f t="shared" si="37"/>
        <v>Sat</v>
      </c>
      <c r="H108" s="55"/>
      <c r="I108" s="56"/>
      <c r="J108" s="82">
        <v>123790</v>
      </c>
      <c r="K108" s="83"/>
      <c r="L108" s="59">
        <f t="shared" si="38"/>
        <v>168908.24647170241</v>
      </c>
      <c r="M108" s="60">
        <f t="shared" si="31"/>
        <v>-45118.246471702412</v>
      </c>
      <c r="N108" s="61">
        <f t="shared" si="9"/>
        <v>0.73288310420497338</v>
      </c>
      <c r="O108" s="80"/>
      <c r="P108" s="59">
        <f>IF(D108=0,0,SUM($L$80:L108))</f>
        <v>6980525.077190062</v>
      </c>
      <c r="Q108" s="59">
        <f>IF(D108=0,0,SUM($J$80:J108))</f>
        <v>7026790</v>
      </c>
      <c r="R108" s="63">
        <f t="shared" si="32"/>
        <v>46264.922809937969</v>
      </c>
      <c r="S108" s="64">
        <f t="shared" si="39"/>
        <v>1.0066277138608262</v>
      </c>
      <c r="T108" s="73"/>
      <c r="U108" s="59">
        <f>IF(D108=0,0,SUM($L$21:L108))</f>
        <v>17679472.445611116</v>
      </c>
      <c r="V108" s="59">
        <f>IF(D108=0,0,SUM($J$21:J108))</f>
        <v>18402090</v>
      </c>
      <c r="W108" s="66">
        <f t="shared" si="33"/>
        <v>722617.55438888445</v>
      </c>
      <c r="X108" s="67">
        <f t="shared" si="40"/>
        <v>1.0408732532382929</v>
      </c>
      <c r="Y108" s="68">
        <f t="shared" si="44"/>
        <v>45745</v>
      </c>
      <c r="Z108" s="69">
        <f t="shared" si="44"/>
        <v>45745</v>
      </c>
      <c r="AA108" s="1"/>
      <c r="AB108" s="1"/>
      <c r="AC108" s="1"/>
      <c r="AD108" s="1"/>
      <c r="AE108" s="1"/>
      <c r="AF108" s="1"/>
      <c r="AG108" s="1"/>
    </row>
    <row r="109" spans="1:33" ht="20">
      <c r="A109" s="1"/>
      <c r="B109" s="11"/>
      <c r="C109" s="50">
        <v>89</v>
      </c>
      <c r="D109" s="51">
        <v>0</v>
      </c>
      <c r="E109" s="52">
        <f t="shared" si="35"/>
        <v>3</v>
      </c>
      <c r="F109" s="53">
        <f t="shared" si="36"/>
        <v>45746</v>
      </c>
      <c r="G109" s="54" t="str">
        <f t="shared" si="37"/>
        <v>Sun</v>
      </c>
      <c r="H109" s="55"/>
      <c r="I109" s="56"/>
      <c r="J109" s="82"/>
      <c r="K109" s="83"/>
      <c r="L109" s="59">
        <f t="shared" si="38"/>
        <v>0</v>
      </c>
      <c r="M109" s="60">
        <f t="shared" si="31"/>
        <v>0</v>
      </c>
      <c r="N109" s="61" t="str">
        <f t="shared" si="9"/>
        <v>¥0</v>
      </c>
      <c r="O109" s="81"/>
      <c r="P109" s="59">
        <f>IF(D109=0,0,SUM($L$80:L109))</f>
        <v>0</v>
      </c>
      <c r="Q109" s="59">
        <f>IF(D109=0,0,SUM($J$80:J109))</f>
        <v>0</v>
      </c>
      <c r="R109" s="63">
        <f t="shared" si="32"/>
        <v>0</v>
      </c>
      <c r="S109" s="64">
        <f t="shared" si="39"/>
        <v>0</v>
      </c>
      <c r="T109" s="78"/>
      <c r="U109" s="59">
        <f>IF(D109=0,0,SUM($L$21:L109))</f>
        <v>0</v>
      </c>
      <c r="V109" s="59">
        <f>IF(D109=0,0,SUM($J$21:J109))</f>
        <v>0</v>
      </c>
      <c r="W109" s="66">
        <f t="shared" si="33"/>
        <v>0</v>
      </c>
      <c r="X109" s="67">
        <f t="shared" si="40"/>
        <v>0</v>
      </c>
      <c r="Y109" s="68">
        <f t="shared" si="44"/>
        <v>45746</v>
      </c>
      <c r="Z109" s="69">
        <f t="shared" si="44"/>
        <v>45746</v>
      </c>
      <c r="AA109" s="1"/>
      <c r="AB109" s="1"/>
      <c r="AC109" s="1"/>
      <c r="AD109" s="1"/>
      <c r="AE109" s="1"/>
      <c r="AF109" s="1"/>
      <c r="AG109" s="1"/>
    </row>
    <row r="110" spans="1:33" ht="21" thickBot="1">
      <c r="A110" s="1"/>
      <c r="B110" s="11"/>
      <c r="C110" s="100">
        <v>90</v>
      </c>
      <c r="D110" s="85">
        <v>1</v>
      </c>
      <c r="E110" s="501">
        <f t="shared" si="35"/>
        <v>3</v>
      </c>
      <c r="F110" s="86">
        <f t="shared" si="36"/>
        <v>45747</v>
      </c>
      <c r="G110" s="87" t="str">
        <f t="shared" si="37"/>
        <v>Mon</v>
      </c>
      <c r="H110" s="508"/>
      <c r="I110" s="502"/>
      <c r="J110" s="89">
        <v>162500</v>
      </c>
      <c r="K110" s="503"/>
      <c r="L110" s="534">
        <f t="shared" si="38"/>
        <v>203685.44912572671</v>
      </c>
      <c r="M110" s="91">
        <f t="shared" si="31"/>
        <v>-41185.449125726707</v>
      </c>
      <c r="N110" s="98">
        <f t="shared" si="9"/>
        <v>0.7977987661735001</v>
      </c>
      <c r="O110" s="504"/>
      <c r="P110" s="93">
        <f>IF(D110=0,0,SUM($L$80:L110))</f>
        <v>7184210.5263157887</v>
      </c>
      <c r="Q110" s="90">
        <f>IF(D110=0,0,SUM($J$80:J110))</f>
        <v>7189290</v>
      </c>
      <c r="R110" s="91">
        <f t="shared" si="32"/>
        <v>5079.4736842112616</v>
      </c>
      <c r="S110" s="505">
        <f t="shared" si="39"/>
        <v>1.0007070329670331</v>
      </c>
      <c r="T110" s="506"/>
      <c r="U110" s="94">
        <f>IF(D110=0,0,SUM($L$21:L110))</f>
        <v>17883157.894736841</v>
      </c>
      <c r="V110" s="90">
        <f>IF(D110=0,0,SUM($J$21:J110))</f>
        <v>18564590</v>
      </c>
      <c r="W110" s="95">
        <f t="shared" si="33"/>
        <v>681432.10526315868</v>
      </c>
      <c r="X110" s="507">
        <f t="shared" si="40"/>
        <v>1.0381046853846607</v>
      </c>
      <c r="Y110" s="68">
        <f t="shared" si="44"/>
        <v>45747</v>
      </c>
      <c r="Z110" s="69">
        <f t="shared" si="44"/>
        <v>45747</v>
      </c>
      <c r="AA110" s="1"/>
      <c r="AB110" s="1"/>
      <c r="AC110" s="1"/>
      <c r="AD110" s="1"/>
      <c r="AE110" s="1"/>
      <c r="AF110" s="1"/>
      <c r="AG110" s="1"/>
    </row>
    <row r="111" spans="1:33" ht="21" thickTop="1">
      <c r="A111" s="1"/>
      <c r="B111" s="11"/>
      <c r="C111" s="50">
        <v>91</v>
      </c>
      <c r="D111" s="96">
        <v>1</v>
      </c>
      <c r="E111" s="52">
        <f t="shared" si="35"/>
        <v>4</v>
      </c>
      <c r="F111" s="53">
        <f t="shared" si="36"/>
        <v>45748</v>
      </c>
      <c r="G111" s="54" t="str">
        <f t="shared" si="37"/>
        <v>Tue</v>
      </c>
      <c r="H111" s="55"/>
      <c r="I111" s="56"/>
      <c r="J111" s="82">
        <v>424950</v>
      </c>
      <c r="K111" s="83"/>
      <c r="L111" s="59">
        <f t="shared" si="38"/>
        <v>362897.39819603856</v>
      </c>
      <c r="M111" s="63">
        <f t="shared" si="31"/>
        <v>62052.601803961443</v>
      </c>
      <c r="N111" s="97">
        <f t="shared" si="9"/>
        <v>1.1709921374813506</v>
      </c>
      <c r="O111" s="80"/>
      <c r="P111" s="59">
        <f>IF(D111=0,0,$L$111)</f>
        <v>362897.39819603856</v>
      </c>
      <c r="Q111" s="59">
        <f>IF(D111=0,0,$J$111)</f>
        <v>424950</v>
      </c>
      <c r="R111" s="63">
        <f t="shared" si="32"/>
        <v>62052.601803961443</v>
      </c>
      <c r="S111" s="499">
        <f t="shared" si="39"/>
        <v>1.1709921374813506</v>
      </c>
      <c r="T111" s="73"/>
      <c r="U111" s="59">
        <f>IF(D111=0,0,SUM($L$21:L111))</f>
        <v>18246055.292932879</v>
      </c>
      <c r="V111" s="59">
        <f>IF(D111=0,0,SUM($J$21:J111))</f>
        <v>18989540</v>
      </c>
      <c r="W111" s="66">
        <f t="shared" si="33"/>
        <v>743484.70706712082</v>
      </c>
      <c r="X111" s="500">
        <f t="shared" si="40"/>
        <v>1.0407476956049284</v>
      </c>
      <c r="Y111" s="68">
        <f t="shared" si="44"/>
        <v>45748</v>
      </c>
      <c r="Z111" s="69">
        <f t="shared" si="44"/>
        <v>45748</v>
      </c>
      <c r="AA111" s="1"/>
      <c r="AB111" s="1"/>
      <c r="AC111" s="1"/>
      <c r="AD111" s="1"/>
      <c r="AE111" s="1"/>
      <c r="AF111" s="1"/>
      <c r="AG111" s="1"/>
    </row>
    <row r="112" spans="1:33" ht="20">
      <c r="A112" s="1"/>
      <c r="B112" s="11"/>
      <c r="C112" s="50">
        <v>92</v>
      </c>
      <c r="D112" s="51">
        <v>1</v>
      </c>
      <c r="E112" s="52">
        <f t="shared" si="35"/>
        <v>4</v>
      </c>
      <c r="F112" s="53">
        <f t="shared" si="36"/>
        <v>45749</v>
      </c>
      <c r="G112" s="54" t="str">
        <f t="shared" si="37"/>
        <v>Wed</v>
      </c>
      <c r="H112" s="55"/>
      <c r="I112" s="56"/>
      <c r="J112" s="82">
        <v>282410</v>
      </c>
      <c r="K112" s="83"/>
      <c r="L112" s="59">
        <f t="shared" si="38"/>
        <v>251969.24306974519</v>
      </c>
      <c r="M112" s="60">
        <f t="shared" si="31"/>
        <v>30440.756930254807</v>
      </c>
      <c r="N112" s="61">
        <f t="shared" si="9"/>
        <v>1.1208113996747959</v>
      </c>
      <c r="O112" s="80"/>
      <c r="P112" s="59">
        <f>IF(D112=0,0,SUM($L$111:L112))</f>
        <v>614866.64126578369</v>
      </c>
      <c r="Q112" s="59">
        <f>IF(D112=0,0,SUM($J$111:J112))</f>
        <v>707360</v>
      </c>
      <c r="R112" s="63">
        <f t="shared" si="32"/>
        <v>92493.358734216308</v>
      </c>
      <c r="S112" s="64">
        <f t="shared" si="39"/>
        <v>1.1504283246588343</v>
      </c>
      <c r="T112" s="73"/>
      <c r="U112" s="59">
        <f>IF(D112=0,0,SUM($L$21:L112))</f>
        <v>18498024.536002625</v>
      </c>
      <c r="V112" s="59">
        <f>IF(D112=0,0,SUM($J$21:J112))</f>
        <v>19271950</v>
      </c>
      <c r="W112" s="66">
        <f t="shared" si="33"/>
        <v>773925.46399737522</v>
      </c>
      <c r="X112" s="67">
        <f t="shared" si="40"/>
        <v>1.0418382764327665</v>
      </c>
      <c r="Y112" s="68">
        <f t="shared" si="44"/>
        <v>45749</v>
      </c>
      <c r="Z112" s="69">
        <f t="shared" si="44"/>
        <v>45749</v>
      </c>
      <c r="AA112" s="1"/>
      <c r="AB112" s="1"/>
      <c r="AC112" s="1"/>
      <c r="AD112" s="1"/>
      <c r="AE112" s="1"/>
      <c r="AF112" s="1"/>
      <c r="AG112" s="1"/>
    </row>
    <row r="113" spans="1:33" ht="20">
      <c r="A113" s="1"/>
      <c r="B113" s="11"/>
      <c r="C113" s="50">
        <v>93</v>
      </c>
      <c r="D113" s="51">
        <v>1</v>
      </c>
      <c r="E113" s="52">
        <f t="shared" si="35"/>
        <v>4</v>
      </c>
      <c r="F113" s="53">
        <f t="shared" si="36"/>
        <v>45750</v>
      </c>
      <c r="G113" s="54" t="str">
        <f t="shared" si="37"/>
        <v>Thu</v>
      </c>
      <c r="H113" s="55"/>
      <c r="I113" s="56"/>
      <c r="J113" s="82">
        <v>393710</v>
      </c>
      <c r="K113" s="83"/>
      <c r="L113" s="59">
        <f t="shared" si="38"/>
        <v>299179.04353378614</v>
      </c>
      <c r="M113" s="60">
        <f t="shared" si="31"/>
        <v>94530.956466213858</v>
      </c>
      <c r="N113" s="61">
        <f t="shared" si="9"/>
        <v>1.3159678410280715</v>
      </c>
      <c r="O113" s="80"/>
      <c r="P113" s="59">
        <f>IF(D113=0,0,SUM($L$111:L113))</f>
        <v>914045.68479956989</v>
      </c>
      <c r="Q113" s="59">
        <f>IF(D113=0,0,SUM($J$111:J113))</f>
        <v>1101070</v>
      </c>
      <c r="R113" s="63">
        <f t="shared" si="32"/>
        <v>187024.31520043011</v>
      </c>
      <c r="S113" s="64">
        <f t="shared" si="39"/>
        <v>1.2046115618842841</v>
      </c>
      <c r="T113" s="73"/>
      <c r="U113" s="59">
        <f>IF(D113=0,0,SUM($L$21:L113))</f>
        <v>18797203.579536412</v>
      </c>
      <c r="V113" s="59">
        <f>IF(D113=0,0,SUM($J$21:J113))</f>
        <v>19665660</v>
      </c>
      <c r="W113" s="66">
        <f t="shared" si="33"/>
        <v>868456.42046358809</v>
      </c>
      <c r="X113" s="67">
        <f t="shared" si="40"/>
        <v>1.0462013627074314</v>
      </c>
      <c r="Y113" s="68">
        <f t="shared" si="44"/>
        <v>45750</v>
      </c>
      <c r="Z113" s="69">
        <f t="shared" si="44"/>
        <v>45750</v>
      </c>
      <c r="AA113" s="1"/>
      <c r="AB113" s="1"/>
      <c r="AC113" s="1"/>
      <c r="AD113" s="1"/>
      <c r="AE113" s="1"/>
      <c r="AF113" s="1"/>
      <c r="AG113" s="1"/>
    </row>
    <row r="114" spans="1:33" ht="20">
      <c r="A114" s="1"/>
      <c r="B114" s="11"/>
      <c r="C114" s="50">
        <v>94</v>
      </c>
      <c r="D114" s="51">
        <v>1</v>
      </c>
      <c r="E114" s="52">
        <f t="shared" si="35"/>
        <v>4</v>
      </c>
      <c r="F114" s="53">
        <f t="shared" si="36"/>
        <v>45751</v>
      </c>
      <c r="G114" s="54" t="str">
        <f t="shared" si="37"/>
        <v>Fri</v>
      </c>
      <c r="H114" s="55"/>
      <c r="I114" s="56"/>
      <c r="J114" s="82">
        <v>305950</v>
      </c>
      <c r="K114" s="83"/>
      <c r="L114" s="59">
        <f t="shared" si="38"/>
        <v>356302.2080629493</v>
      </c>
      <c r="M114" s="60">
        <f t="shared" si="31"/>
        <v>-50352.208062949299</v>
      </c>
      <c r="N114" s="61">
        <f t="shared" si="9"/>
        <v>0.85868117871991023</v>
      </c>
      <c r="O114" s="80"/>
      <c r="P114" s="59">
        <f>IF(D114=0,0,SUM($L$111:L114))</f>
        <v>1270347.8928625192</v>
      </c>
      <c r="Q114" s="59">
        <f>IF(D114=0,0,SUM($J$111:J114))</f>
        <v>1407020</v>
      </c>
      <c r="R114" s="63">
        <f t="shared" si="32"/>
        <v>136672.10713748075</v>
      </c>
      <c r="S114" s="64">
        <f t="shared" si="39"/>
        <v>1.1075863611105086</v>
      </c>
      <c r="T114" s="73"/>
      <c r="U114" s="59">
        <f>IF(D114=0,0,SUM($L$21:L114))</f>
        <v>19153505.787599362</v>
      </c>
      <c r="V114" s="59">
        <f>IF(D114=0,0,SUM($J$21:J114))</f>
        <v>19971610</v>
      </c>
      <c r="W114" s="66">
        <f t="shared" si="33"/>
        <v>818104.21240063757</v>
      </c>
      <c r="X114" s="67">
        <f t="shared" si="40"/>
        <v>1.042713027133148</v>
      </c>
      <c r="Y114" s="68">
        <f t="shared" si="44"/>
        <v>45751</v>
      </c>
      <c r="Z114" s="69">
        <f t="shared" si="44"/>
        <v>45751</v>
      </c>
      <c r="AA114" s="1"/>
      <c r="AB114" s="1"/>
      <c r="AC114" s="1"/>
      <c r="AD114" s="1"/>
      <c r="AE114" s="1"/>
      <c r="AF114" s="1"/>
      <c r="AG114" s="1"/>
    </row>
    <row r="115" spans="1:33" ht="20">
      <c r="A115" s="1"/>
      <c r="B115" s="11"/>
      <c r="C115" s="50">
        <v>95</v>
      </c>
      <c r="D115" s="51">
        <v>1</v>
      </c>
      <c r="E115" s="52">
        <f t="shared" si="35"/>
        <v>4</v>
      </c>
      <c r="F115" s="53">
        <f t="shared" si="36"/>
        <v>45752</v>
      </c>
      <c r="G115" s="54" t="str">
        <f t="shared" si="37"/>
        <v>Sat</v>
      </c>
      <c r="H115" s="55"/>
      <c r="I115" s="56"/>
      <c r="J115" s="82">
        <v>144770</v>
      </c>
      <c r="K115" s="83"/>
      <c r="L115" s="59">
        <f t="shared" si="38"/>
        <v>216987.32377753209</v>
      </c>
      <c r="M115" s="60">
        <f t="shared" si="31"/>
        <v>-72217.323777532089</v>
      </c>
      <c r="N115" s="61">
        <f t="shared" si="9"/>
        <v>0.66718183108441187</v>
      </c>
      <c r="O115" s="80"/>
      <c r="P115" s="59">
        <f>IF(D115=0,0,SUM($L$111:L115))</f>
        <v>1487335.2166400515</v>
      </c>
      <c r="Q115" s="59">
        <f>IF(D115=0,0,SUM($J$111:J115))</f>
        <v>1551790</v>
      </c>
      <c r="R115" s="63">
        <f t="shared" si="32"/>
        <v>64454.783359948546</v>
      </c>
      <c r="S115" s="64">
        <f t="shared" si="39"/>
        <v>1.0433357474756459</v>
      </c>
      <c r="T115" s="73"/>
      <c r="U115" s="59">
        <f>IF(D115=0,0,SUM($L$21:L115))</f>
        <v>19370493.111376893</v>
      </c>
      <c r="V115" s="59">
        <f>IF(D115=0,0,SUM($J$21:J115))</f>
        <v>20116380</v>
      </c>
      <c r="W115" s="66">
        <f t="shared" si="33"/>
        <v>745886.88862310722</v>
      </c>
      <c r="X115" s="67">
        <f t="shared" si="40"/>
        <v>1.038506344899657</v>
      </c>
      <c r="Y115" s="68">
        <f t="shared" si="44"/>
        <v>45752</v>
      </c>
      <c r="Z115" s="69">
        <f t="shared" si="44"/>
        <v>45752</v>
      </c>
      <c r="AA115" s="1"/>
      <c r="AB115" s="1"/>
      <c r="AC115" s="1"/>
      <c r="AD115" s="1"/>
      <c r="AE115" s="1"/>
      <c r="AF115" s="1"/>
      <c r="AG115" s="1"/>
    </row>
    <row r="116" spans="1:33" ht="20">
      <c r="A116" s="1"/>
      <c r="B116" s="11"/>
      <c r="C116" s="50">
        <v>96</v>
      </c>
      <c r="D116" s="51">
        <v>0</v>
      </c>
      <c r="E116" s="52">
        <f t="shared" si="35"/>
        <v>4</v>
      </c>
      <c r="F116" s="53">
        <f t="shared" si="36"/>
        <v>45753</v>
      </c>
      <c r="G116" s="54" t="str">
        <f t="shared" si="37"/>
        <v>Sun</v>
      </c>
      <c r="H116" s="55"/>
      <c r="I116" s="56"/>
      <c r="J116" s="82"/>
      <c r="K116" s="83"/>
      <c r="L116" s="59">
        <f t="shared" si="38"/>
        <v>0</v>
      </c>
      <c r="M116" s="60">
        <f t="shared" si="31"/>
        <v>0</v>
      </c>
      <c r="N116" s="61" t="str">
        <f t="shared" si="9"/>
        <v>¥0</v>
      </c>
      <c r="O116" s="81"/>
      <c r="P116" s="59">
        <f>IF(D116=0,0,SUM($L$111:L116))</f>
        <v>0</v>
      </c>
      <c r="Q116" s="59">
        <f>IF(D116=0,0,SUM($J$111:J116))</f>
        <v>0</v>
      </c>
      <c r="R116" s="63">
        <f t="shared" si="32"/>
        <v>0</v>
      </c>
      <c r="S116" s="64">
        <f t="shared" si="39"/>
        <v>0</v>
      </c>
      <c r="T116" s="78"/>
      <c r="U116" s="59">
        <f>IF(D116=0,0,SUM($L$21:L116))</f>
        <v>0</v>
      </c>
      <c r="V116" s="59">
        <f>IF(D116=0,0,SUM($J$21:J116))</f>
        <v>0</v>
      </c>
      <c r="W116" s="66">
        <f t="shared" si="33"/>
        <v>0</v>
      </c>
      <c r="X116" s="67">
        <f t="shared" si="40"/>
        <v>0</v>
      </c>
      <c r="Y116" s="68">
        <f t="shared" si="44"/>
        <v>45753</v>
      </c>
      <c r="Z116" s="69">
        <f t="shared" si="44"/>
        <v>45753</v>
      </c>
      <c r="AA116" s="1"/>
      <c r="AB116" s="1"/>
      <c r="AC116" s="1"/>
      <c r="AD116" s="1"/>
      <c r="AE116" s="1"/>
      <c r="AF116" s="1"/>
      <c r="AG116" s="1"/>
    </row>
    <row r="117" spans="1:33" ht="20">
      <c r="A117" s="1"/>
      <c r="B117" s="11"/>
      <c r="C117" s="50">
        <v>97</v>
      </c>
      <c r="D117" s="51">
        <v>1</v>
      </c>
      <c r="E117" s="52">
        <f t="shared" si="35"/>
        <v>4</v>
      </c>
      <c r="F117" s="53">
        <f t="shared" si="36"/>
        <v>45754</v>
      </c>
      <c r="G117" s="54" t="str">
        <f t="shared" si="37"/>
        <v>Mon</v>
      </c>
      <c r="H117" s="55"/>
      <c r="I117" s="56"/>
      <c r="J117" s="82">
        <v>152630</v>
      </c>
      <c r="K117" s="83"/>
      <c r="L117" s="59">
        <f t="shared" si="38"/>
        <v>245725.10417145962</v>
      </c>
      <c r="M117" s="60">
        <f t="shared" si="31"/>
        <v>-93095.104171459621</v>
      </c>
      <c r="N117" s="61">
        <f t="shared" si="9"/>
        <v>0.62114125666826192</v>
      </c>
      <c r="O117" s="80"/>
      <c r="P117" s="59">
        <f>IF(D117=0,0,SUM($L$111:L117))</f>
        <v>1733060.320811511</v>
      </c>
      <c r="Q117" s="59">
        <f>IF(D117=0,0,SUM($J$111:J117))</f>
        <v>1704420</v>
      </c>
      <c r="R117" s="63">
        <f t="shared" si="32"/>
        <v>-28640.320811511017</v>
      </c>
      <c r="S117" s="64">
        <f t="shared" si="39"/>
        <v>0.9834741350502445</v>
      </c>
      <c r="T117" s="73"/>
      <c r="U117" s="59">
        <f>IF(D117=0,0,SUM($L$21:L117))</f>
        <v>19616218.215548351</v>
      </c>
      <c r="V117" s="59">
        <f>IF(D117=0,0,SUM($J$21:J117))</f>
        <v>20269010</v>
      </c>
      <c r="W117" s="66">
        <f t="shared" si="33"/>
        <v>652791.78445164859</v>
      </c>
      <c r="X117" s="67">
        <f t="shared" si="40"/>
        <v>1.0332781669371025</v>
      </c>
      <c r="Y117" s="68">
        <f t="shared" si="44"/>
        <v>45754</v>
      </c>
      <c r="Z117" s="69">
        <f t="shared" si="44"/>
        <v>45754</v>
      </c>
      <c r="AA117" s="1"/>
      <c r="AB117" s="1"/>
      <c r="AC117" s="1"/>
      <c r="AD117" s="1"/>
      <c r="AE117" s="1"/>
      <c r="AF117" s="1"/>
      <c r="AG117" s="1"/>
    </row>
    <row r="118" spans="1:33" ht="20">
      <c r="A118" s="1"/>
      <c r="B118" s="11"/>
      <c r="C118" s="50">
        <v>98</v>
      </c>
      <c r="D118" s="51">
        <v>1</v>
      </c>
      <c r="E118" s="52">
        <f t="shared" si="35"/>
        <v>4</v>
      </c>
      <c r="F118" s="53">
        <f t="shared" si="36"/>
        <v>45755</v>
      </c>
      <c r="G118" s="54" t="str">
        <f t="shared" si="37"/>
        <v>Tue</v>
      </c>
      <c r="H118" s="55"/>
      <c r="I118" s="56"/>
      <c r="J118" s="82">
        <v>195950</v>
      </c>
      <c r="K118" s="83"/>
      <c r="L118" s="59">
        <f t="shared" si="38"/>
        <v>362897.39819603856</v>
      </c>
      <c r="M118" s="60">
        <f t="shared" si="31"/>
        <v>-166947.39819603856</v>
      </c>
      <c r="N118" s="61">
        <f t="shared" si="9"/>
        <v>0.53995978194957206</v>
      </c>
      <c r="O118" s="80"/>
      <c r="P118" s="59">
        <f>IF(D118=0,0,SUM($L$111:L118))</f>
        <v>2095957.7190075496</v>
      </c>
      <c r="Q118" s="59">
        <f>IF(D118=0,0,SUM($J$111:J118))</f>
        <v>1900370</v>
      </c>
      <c r="R118" s="63">
        <f t="shared" si="32"/>
        <v>-195587.71900754957</v>
      </c>
      <c r="S118" s="64">
        <f t="shared" si="39"/>
        <v>0.90668336616057232</v>
      </c>
      <c r="T118" s="73"/>
      <c r="U118" s="59">
        <f>IF(D118=0,0,SUM($L$21:L118))</f>
        <v>19979115.613744389</v>
      </c>
      <c r="V118" s="59">
        <f>IF(D118=0,0,SUM($J$21:J118))</f>
        <v>20464960</v>
      </c>
      <c r="W118" s="66">
        <f t="shared" si="33"/>
        <v>485844.38625561073</v>
      </c>
      <c r="X118" s="67">
        <f t="shared" si="40"/>
        <v>1.024317612233115</v>
      </c>
      <c r="Y118" s="68">
        <f t="shared" si="44"/>
        <v>45755</v>
      </c>
      <c r="Z118" s="69">
        <f t="shared" si="44"/>
        <v>45755</v>
      </c>
      <c r="AA118" s="1"/>
      <c r="AB118" s="1"/>
      <c r="AC118" s="1"/>
      <c r="AD118" s="1"/>
      <c r="AE118" s="1"/>
      <c r="AF118" s="1"/>
      <c r="AG118" s="1"/>
    </row>
    <row r="119" spans="1:33" ht="20">
      <c r="A119" s="1"/>
      <c r="B119" s="11"/>
      <c r="C119" s="50">
        <v>99</v>
      </c>
      <c r="D119" s="51">
        <v>1</v>
      </c>
      <c r="E119" s="52">
        <f t="shared" si="35"/>
        <v>4</v>
      </c>
      <c r="F119" s="53">
        <f t="shared" si="36"/>
        <v>45756</v>
      </c>
      <c r="G119" s="54" t="str">
        <f t="shared" si="37"/>
        <v>Wed</v>
      </c>
      <c r="H119" s="55"/>
      <c r="I119" s="56"/>
      <c r="J119" s="82">
        <v>304550</v>
      </c>
      <c r="K119" s="83"/>
      <c r="L119" s="59">
        <f t="shared" si="38"/>
        <v>251969.24306974519</v>
      </c>
      <c r="M119" s="60">
        <f t="shared" si="31"/>
        <v>52580.756930254807</v>
      </c>
      <c r="N119" s="61">
        <f t="shared" si="9"/>
        <v>1.2086792669202902</v>
      </c>
      <c r="O119" s="80"/>
      <c r="P119" s="59">
        <f>IF(D119=0,0,SUM($L$111:L119))</f>
        <v>2347926.9620772949</v>
      </c>
      <c r="Q119" s="59">
        <f>IF(D119=0,0,SUM($J$111:J119))</f>
        <v>2204920</v>
      </c>
      <c r="R119" s="63">
        <f t="shared" si="32"/>
        <v>-143006.96207729494</v>
      </c>
      <c r="S119" s="64">
        <f t="shared" si="39"/>
        <v>0.93909224418515491</v>
      </c>
      <c r="T119" s="73"/>
      <c r="U119" s="59">
        <f>IF(D119=0,0,SUM($L$21:L119))</f>
        <v>20231084.856814135</v>
      </c>
      <c r="V119" s="59">
        <f>IF(D119=0,0,SUM($J$21:J119))</f>
        <v>20769510</v>
      </c>
      <c r="W119" s="66">
        <f t="shared" si="33"/>
        <v>538425.14318586513</v>
      </c>
      <c r="X119" s="67">
        <f t="shared" si="40"/>
        <v>1.026613755366881</v>
      </c>
      <c r="Y119" s="68">
        <f t="shared" ref="Y119:Z134" si="45">Y118+1</f>
        <v>45756</v>
      </c>
      <c r="Z119" s="69">
        <f t="shared" si="45"/>
        <v>45756</v>
      </c>
      <c r="AA119" s="1"/>
      <c r="AB119" s="1"/>
      <c r="AC119" s="1"/>
      <c r="AD119" s="1"/>
      <c r="AE119" s="1"/>
      <c r="AF119" s="1"/>
      <c r="AG119" s="1"/>
    </row>
    <row r="120" spans="1:33" ht="20">
      <c r="A120" s="1"/>
      <c r="B120" s="11"/>
      <c r="C120" s="50">
        <v>100</v>
      </c>
      <c r="D120" s="51">
        <v>1</v>
      </c>
      <c r="E120" s="52">
        <f t="shared" si="35"/>
        <v>4</v>
      </c>
      <c r="F120" s="53">
        <f t="shared" si="36"/>
        <v>45757</v>
      </c>
      <c r="G120" s="54" t="str">
        <f t="shared" si="37"/>
        <v>Thu</v>
      </c>
      <c r="H120" s="55"/>
      <c r="I120" s="56"/>
      <c r="J120" s="82">
        <v>387170</v>
      </c>
      <c r="K120" s="83"/>
      <c r="L120" s="59">
        <f t="shared" si="38"/>
        <v>299179.04353378614</v>
      </c>
      <c r="M120" s="60">
        <f t="shared" si="31"/>
        <v>87990.956466213858</v>
      </c>
      <c r="N120" s="61">
        <f t="shared" si="9"/>
        <v>1.2941080211598346</v>
      </c>
      <c r="O120" s="80"/>
      <c r="P120" s="59">
        <f>IF(D120=0,0,SUM($L$111:L120))</f>
        <v>2647106.0056110811</v>
      </c>
      <c r="Q120" s="59">
        <f>IF(D120=0,0,SUM($J$111:J120))</f>
        <v>2592090</v>
      </c>
      <c r="R120" s="63">
        <f t="shared" si="32"/>
        <v>-55016.005611081142</v>
      </c>
      <c r="S120" s="64">
        <f t="shared" si="39"/>
        <v>0.97921654610942532</v>
      </c>
      <c r="T120" s="73"/>
      <c r="U120" s="59">
        <f>IF(D120=0,0,SUM($L$21:L120))</f>
        <v>20530263.900347922</v>
      </c>
      <c r="V120" s="59">
        <f>IF(D120=0,0,SUM($J$21:J120))</f>
        <v>21156680</v>
      </c>
      <c r="W120" s="66">
        <f t="shared" si="33"/>
        <v>626416.099652078</v>
      </c>
      <c r="X120" s="67">
        <f t="shared" si="40"/>
        <v>1.0305118386540302</v>
      </c>
      <c r="Y120" s="68">
        <f t="shared" si="45"/>
        <v>45757</v>
      </c>
      <c r="Z120" s="69">
        <f t="shared" si="45"/>
        <v>45757</v>
      </c>
      <c r="AA120" s="1"/>
      <c r="AB120" s="1"/>
      <c r="AC120" s="1"/>
      <c r="AD120" s="1"/>
      <c r="AE120" s="1"/>
      <c r="AF120" s="1"/>
      <c r="AG120" s="1"/>
    </row>
    <row r="121" spans="1:33" ht="20">
      <c r="A121" s="1"/>
      <c r="B121" s="11"/>
      <c r="C121" s="50">
        <v>101</v>
      </c>
      <c r="D121" s="51">
        <v>1</v>
      </c>
      <c r="E121" s="52">
        <f t="shared" si="35"/>
        <v>4</v>
      </c>
      <c r="F121" s="53">
        <f t="shared" si="36"/>
        <v>45758</v>
      </c>
      <c r="G121" s="54" t="str">
        <f t="shared" si="37"/>
        <v>Fri</v>
      </c>
      <c r="H121" s="55"/>
      <c r="I121" s="56"/>
      <c r="J121" s="82">
        <v>528790</v>
      </c>
      <c r="K121" s="83"/>
      <c r="L121" s="59">
        <f t="shared" si="38"/>
        <v>356302.2080629493</v>
      </c>
      <c r="M121" s="60">
        <f t="shared" si="31"/>
        <v>172487.7919370507</v>
      </c>
      <c r="N121" s="61">
        <f t="shared" si="9"/>
        <v>1.4841053129442763</v>
      </c>
      <c r="O121" s="80"/>
      <c r="P121" s="59">
        <f>IF(D121=0,0,SUM($L$111:L121))</f>
        <v>3003408.2136740303</v>
      </c>
      <c r="Q121" s="59">
        <f>IF(D121=0,0,SUM($J$111:J121))</f>
        <v>3120880</v>
      </c>
      <c r="R121" s="63">
        <f t="shared" si="32"/>
        <v>117471.78632596973</v>
      </c>
      <c r="S121" s="64">
        <f t="shared" si="39"/>
        <v>1.0391128271512142</v>
      </c>
      <c r="T121" s="73"/>
      <c r="U121" s="59">
        <f>IF(D121=0,0,SUM($L$21:L121))</f>
        <v>20886566.108410873</v>
      </c>
      <c r="V121" s="59">
        <f>IF(D121=0,0,SUM($J$21:J121))</f>
        <v>21685470</v>
      </c>
      <c r="W121" s="66">
        <f t="shared" si="33"/>
        <v>798903.89158912748</v>
      </c>
      <c r="X121" s="67">
        <f t="shared" si="40"/>
        <v>1.0382496523096449</v>
      </c>
      <c r="Y121" s="68">
        <f t="shared" si="45"/>
        <v>45758</v>
      </c>
      <c r="Z121" s="69">
        <f t="shared" si="45"/>
        <v>45758</v>
      </c>
      <c r="AA121" s="1"/>
      <c r="AB121" s="1"/>
      <c r="AC121" s="1"/>
      <c r="AD121" s="1"/>
      <c r="AE121" s="1"/>
      <c r="AF121" s="1"/>
      <c r="AG121" s="1"/>
    </row>
    <row r="122" spans="1:33" ht="20">
      <c r="A122" s="1"/>
      <c r="B122" s="11"/>
      <c r="C122" s="50">
        <v>102</v>
      </c>
      <c r="D122" s="51">
        <v>1</v>
      </c>
      <c r="E122" s="52">
        <f t="shared" si="35"/>
        <v>4</v>
      </c>
      <c r="F122" s="53">
        <f t="shared" si="36"/>
        <v>45759</v>
      </c>
      <c r="G122" s="54" t="str">
        <f t="shared" si="37"/>
        <v>Sat</v>
      </c>
      <c r="H122" s="55"/>
      <c r="I122" s="56"/>
      <c r="J122" s="82">
        <v>89880</v>
      </c>
      <c r="K122" s="83"/>
      <c r="L122" s="59">
        <f t="shared" si="38"/>
        <v>216987.32377753209</v>
      </c>
      <c r="M122" s="60">
        <f t="shared" si="31"/>
        <v>-127107.32377753209</v>
      </c>
      <c r="N122" s="61">
        <f t="shared" si="9"/>
        <v>0.4142177452363538</v>
      </c>
      <c r="O122" s="80"/>
      <c r="P122" s="59">
        <f>IF(D122=0,0,SUM($L$111:L122))</f>
        <v>3220395.5374515625</v>
      </c>
      <c r="Q122" s="59">
        <f>IF(D122=0,0,SUM($J$111:J122))</f>
        <v>3210760</v>
      </c>
      <c r="R122" s="63">
        <f t="shared" si="32"/>
        <v>-9635.5374515624717</v>
      </c>
      <c r="S122" s="64">
        <f t="shared" si="39"/>
        <v>0.99700796459953256</v>
      </c>
      <c r="T122" s="73"/>
      <c r="U122" s="59">
        <f>IF(D122=0,0,SUM($L$21:L122))</f>
        <v>21103553.432188403</v>
      </c>
      <c r="V122" s="59">
        <f>IF(D122=0,0,SUM($J$21:J122))</f>
        <v>21775350</v>
      </c>
      <c r="W122" s="66">
        <f t="shared" si="33"/>
        <v>671796.56781159714</v>
      </c>
      <c r="X122" s="67">
        <f t="shared" si="40"/>
        <v>1.0318333388720655</v>
      </c>
      <c r="Y122" s="68">
        <f t="shared" si="45"/>
        <v>45759</v>
      </c>
      <c r="Z122" s="69">
        <f t="shared" si="45"/>
        <v>45759</v>
      </c>
      <c r="AA122" s="1"/>
      <c r="AB122" s="1"/>
      <c r="AC122" s="1"/>
      <c r="AD122" s="1"/>
      <c r="AE122" s="1"/>
      <c r="AF122" s="1"/>
      <c r="AG122" s="1"/>
    </row>
    <row r="123" spans="1:33" ht="20">
      <c r="A123" s="1"/>
      <c r="B123" s="11"/>
      <c r="C123" s="50">
        <v>103</v>
      </c>
      <c r="D123" s="51">
        <v>0</v>
      </c>
      <c r="E123" s="52">
        <f t="shared" si="35"/>
        <v>4</v>
      </c>
      <c r="F123" s="53">
        <f t="shared" si="36"/>
        <v>45760</v>
      </c>
      <c r="G123" s="54" t="str">
        <f t="shared" si="37"/>
        <v>Sun</v>
      </c>
      <c r="H123" s="55"/>
      <c r="I123" s="56"/>
      <c r="J123" s="82"/>
      <c r="K123" s="83"/>
      <c r="L123" s="59">
        <f t="shared" si="38"/>
        <v>0</v>
      </c>
      <c r="M123" s="60">
        <f t="shared" si="31"/>
        <v>0</v>
      </c>
      <c r="N123" s="61" t="str">
        <f t="shared" si="9"/>
        <v>¥0</v>
      </c>
      <c r="O123" s="81"/>
      <c r="P123" s="59">
        <f>IF(D123=0,0,SUM($L$111:L123))</f>
        <v>0</v>
      </c>
      <c r="Q123" s="59">
        <f>IF(D123=0,0,SUM($J$111:J123))</f>
        <v>0</v>
      </c>
      <c r="R123" s="63">
        <f t="shared" si="32"/>
        <v>0</v>
      </c>
      <c r="S123" s="64">
        <f t="shared" si="39"/>
        <v>0</v>
      </c>
      <c r="T123" s="78"/>
      <c r="U123" s="59">
        <f>IF(D123=0,0,SUM($L$21:L123))</f>
        <v>0</v>
      </c>
      <c r="V123" s="59">
        <f>IF(D123=0,0,SUM($J$21:J123))</f>
        <v>0</v>
      </c>
      <c r="W123" s="66">
        <f t="shared" si="33"/>
        <v>0</v>
      </c>
      <c r="X123" s="67">
        <f t="shared" si="40"/>
        <v>0</v>
      </c>
      <c r="Y123" s="68">
        <f t="shared" si="45"/>
        <v>45760</v>
      </c>
      <c r="Z123" s="69">
        <f t="shared" si="45"/>
        <v>45760</v>
      </c>
      <c r="AA123" s="1"/>
      <c r="AB123" s="1"/>
      <c r="AC123" s="1"/>
      <c r="AD123" s="1"/>
      <c r="AE123" s="1"/>
      <c r="AF123" s="1"/>
      <c r="AG123" s="1"/>
    </row>
    <row r="124" spans="1:33" ht="20">
      <c r="A124" s="1"/>
      <c r="B124" s="11"/>
      <c r="C124" s="50">
        <v>104</v>
      </c>
      <c r="D124" s="51">
        <v>1</v>
      </c>
      <c r="E124" s="52">
        <f t="shared" si="35"/>
        <v>4</v>
      </c>
      <c r="F124" s="53">
        <f t="shared" si="36"/>
        <v>45761</v>
      </c>
      <c r="G124" s="54" t="str">
        <f t="shared" si="37"/>
        <v>Mon</v>
      </c>
      <c r="H124" s="55"/>
      <c r="I124" s="56"/>
      <c r="J124" s="82">
        <v>160150</v>
      </c>
      <c r="K124" s="83"/>
      <c r="L124" s="59">
        <f t="shared" si="38"/>
        <v>245725.10417145962</v>
      </c>
      <c r="M124" s="60">
        <f t="shared" si="31"/>
        <v>-85575.104171459621</v>
      </c>
      <c r="N124" s="61">
        <f t="shared" si="9"/>
        <v>0.65174456041028728</v>
      </c>
      <c r="O124" s="80"/>
      <c r="P124" s="59">
        <f>IF(D124=0,0,SUM($L$111:L124))</f>
        <v>3466120.641623022</v>
      </c>
      <c r="Q124" s="59">
        <f>IF(D124=0,0,SUM($J$111:J124))</f>
        <v>3370910</v>
      </c>
      <c r="R124" s="63">
        <f t="shared" si="32"/>
        <v>-95210.641623022035</v>
      </c>
      <c r="S124" s="64">
        <f t="shared" si="39"/>
        <v>0.97253106528385602</v>
      </c>
      <c r="T124" s="73"/>
      <c r="U124" s="59">
        <f>IF(D124=0,0,SUM($L$21:L124))</f>
        <v>21349278.536359861</v>
      </c>
      <c r="V124" s="59">
        <f>IF(D124=0,0,SUM($J$21:J124))</f>
        <v>21935500</v>
      </c>
      <c r="W124" s="66">
        <f t="shared" si="33"/>
        <v>586221.46364013851</v>
      </c>
      <c r="X124" s="67">
        <f t="shared" si="40"/>
        <v>1.0274586076827723</v>
      </c>
      <c r="Y124" s="68">
        <f t="shared" si="45"/>
        <v>45761</v>
      </c>
      <c r="Z124" s="69">
        <f t="shared" si="45"/>
        <v>45761</v>
      </c>
      <c r="AA124" s="1"/>
      <c r="AB124" s="1"/>
      <c r="AC124" s="1"/>
      <c r="AD124" s="1"/>
      <c r="AE124" s="1"/>
      <c r="AF124" s="1"/>
      <c r="AG124" s="1"/>
    </row>
    <row r="125" spans="1:33" ht="20">
      <c r="A125" s="1"/>
      <c r="B125" s="11"/>
      <c r="C125" s="50">
        <v>105</v>
      </c>
      <c r="D125" s="51">
        <v>1</v>
      </c>
      <c r="E125" s="52">
        <f t="shared" si="35"/>
        <v>4</v>
      </c>
      <c r="F125" s="53">
        <f t="shared" si="36"/>
        <v>45762</v>
      </c>
      <c r="G125" s="54" t="str">
        <f t="shared" si="37"/>
        <v>Tue</v>
      </c>
      <c r="H125" s="55"/>
      <c r="I125" s="56"/>
      <c r="J125" s="82">
        <v>169010</v>
      </c>
      <c r="K125" s="83"/>
      <c r="L125" s="59">
        <f t="shared" si="38"/>
        <v>362897.39819603856</v>
      </c>
      <c r="M125" s="60">
        <f t="shared" si="31"/>
        <v>-193887.39819603856</v>
      </c>
      <c r="N125" s="61">
        <f t="shared" si="9"/>
        <v>0.46572392318089906</v>
      </c>
      <c r="O125" s="80"/>
      <c r="P125" s="59">
        <f>IF(D125=0,0,SUM($L$111:L125))</f>
        <v>3829018.0398190608</v>
      </c>
      <c r="Q125" s="59">
        <f>IF(D125=0,0,SUM($J$111:J125))</f>
        <v>3539920</v>
      </c>
      <c r="R125" s="63">
        <f t="shared" si="32"/>
        <v>-289098.03981906082</v>
      </c>
      <c r="S125" s="64">
        <f t="shared" si="39"/>
        <v>0.92449812541684395</v>
      </c>
      <c r="T125" s="73"/>
      <c r="U125" s="59">
        <f>IF(D125=0,0,SUM($L$21:L125))</f>
        <v>21712175.934555899</v>
      </c>
      <c r="V125" s="59">
        <f>IF(D125=0,0,SUM($J$21:J125))</f>
        <v>22104510</v>
      </c>
      <c r="W125" s="66">
        <f t="shared" si="33"/>
        <v>392334.06544410065</v>
      </c>
      <c r="X125" s="67">
        <f t="shared" si="40"/>
        <v>1.0180697718472189</v>
      </c>
      <c r="Y125" s="68">
        <f t="shared" si="45"/>
        <v>45762</v>
      </c>
      <c r="Z125" s="69">
        <f t="shared" si="45"/>
        <v>45762</v>
      </c>
      <c r="AA125" s="1"/>
      <c r="AB125" s="1"/>
      <c r="AC125" s="1"/>
      <c r="AD125" s="1"/>
      <c r="AE125" s="1"/>
      <c r="AF125" s="1"/>
      <c r="AG125" s="1"/>
    </row>
    <row r="126" spans="1:33" ht="20">
      <c r="A126" s="1"/>
      <c r="B126" s="11"/>
      <c r="C126" s="50">
        <v>106</v>
      </c>
      <c r="D126" s="51">
        <v>1</v>
      </c>
      <c r="E126" s="52">
        <f t="shared" si="35"/>
        <v>4</v>
      </c>
      <c r="F126" s="53">
        <f t="shared" si="36"/>
        <v>45763</v>
      </c>
      <c r="G126" s="54" t="str">
        <f t="shared" si="37"/>
        <v>Wed</v>
      </c>
      <c r="H126" s="55"/>
      <c r="I126" s="56"/>
      <c r="J126" s="82">
        <v>334900</v>
      </c>
      <c r="K126" s="83"/>
      <c r="L126" s="59">
        <f t="shared" si="38"/>
        <v>251969.24306974519</v>
      </c>
      <c r="M126" s="60">
        <f t="shared" si="31"/>
        <v>82930.756930254807</v>
      </c>
      <c r="N126" s="61">
        <f t="shared" si="9"/>
        <v>1.329130476084732</v>
      </c>
      <c r="O126" s="80"/>
      <c r="P126" s="59">
        <f>IF(D126=0,0,SUM($L$111:L126))</f>
        <v>4080987.282888806</v>
      </c>
      <c r="Q126" s="59">
        <f>IF(D126=0,0,SUM($J$111:J126))</f>
        <v>3874820</v>
      </c>
      <c r="R126" s="63">
        <f t="shared" si="32"/>
        <v>-206167.28288880596</v>
      </c>
      <c r="S126" s="64">
        <f t="shared" si="39"/>
        <v>0.94948102784998967</v>
      </c>
      <c r="T126" s="73"/>
      <c r="U126" s="59">
        <f>IF(D126=0,0,SUM($L$21:L126))</f>
        <v>21964145.177625645</v>
      </c>
      <c r="V126" s="59">
        <f>IF(D126=0,0,SUM($J$21:J126))</f>
        <v>22439410</v>
      </c>
      <c r="W126" s="66">
        <f t="shared" si="33"/>
        <v>475264.82237435505</v>
      </c>
      <c r="X126" s="67">
        <f t="shared" si="40"/>
        <v>1.0216382116640941</v>
      </c>
      <c r="Y126" s="68">
        <f t="shared" si="45"/>
        <v>45763</v>
      </c>
      <c r="Z126" s="69">
        <f t="shared" si="45"/>
        <v>45763</v>
      </c>
      <c r="AA126" s="1"/>
      <c r="AB126" s="1"/>
      <c r="AC126" s="1"/>
      <c r="AD126" s="1"/>
      <c r="AE126" s="1"/>
      <c r="AF126" s="1"/>
      <c r="AG126" s="1"/>
    </row>
    <row r="127" spans="1:33" ht="20">
      <c r="A127" s="1"/>
      <c r="B127" s="11"/>
      <c r="C127" s="50">
        <v>107</v>
      </c>
      <c r="D127" s="51">
        <v>1</v>
      </c>
      <c r="E127" s="52">
        <f t="shared" si="35"/>
        <v>4</v>
      </c>
      <c r="F127" s="53">
        <f t="shared" si="36"/>
        <v>45764</v>
      </c>
      <c r="G127" s="54" t="str">
        <f t="shared" si="37"/>
        <v>Thu</v>
      </c>
      <c r="H127" s="55"/>
      <c r="I127" s="56"/>
      <c r="J127" s="82">
        <v>178350</v>
      </c>
      <c r="K127" s="83"/>
      <c r="L127" s="59">
        <f t="shared" si="38"/>
        <v>299179.04353378614</v>
      </c>
      <c r="M127" s="60">
        <f t="shared" si="31"/>
        <v>-120829.04353378614</v>
      </c>
      <c r="N127" s="61">
        <f t="shared" si="9"/>
        <v>0.59613132622325204</v>
      </c>
      <c r="O127" s="80"/>
      <c r="P127" s="59">
        <f>IF(D127=0,0,SUM($L$111:L127))</f>
        <v>4380166.3264225917</v>
      </c>
      <c r="Q127" s="59">
        <f>IF(D127=0,0,SUM($J$111:J127))</f>
        <v>4053170</v>
      </c>
      <c r="R127" s="63">
        <f t="shared" si="32"/>
        <v>-326996.32642259169</v>
      </c>
      <c r="S127" s="64">
        <f t="shared" si="39"/>
        <v>0.92534613938058852</v>
      </c>
      <c r="T127" s="73"/>
      <c r="U127" s="59">
        <f>IF(D127=0,0,SUM($L$21:L127))</f>
        <v>22263324.221159432</v>
      </c>
      <c r="V127" s="59">
        <f>IF(D127=0,0,SUM($J$21:J127))</f>
        <v>22617760</v>
      </c>
      <c r="W127" s="66">
        <f t="shared" si="33"/>
        <v>354435.77884056792</v>
      </c>
      <c r="X127" s="67">
        <f t="shared" si="40"/>
        <v>1.0159201642719511</v>
      </c>
      <c r="Y127" s="68">
        <f t="shared" si="45"/>
        <v>45764</v>
      </c>
      <c r="Z127" s="69">
        <f t="shared" si="45"/>
        <v>45764</v>
      </c>
      <c r="AA127" s="1"/>
      <c r="AB127" s="1"/>
      <c r="AC127" s="1"/>
      <c r="AD127" s="1"/>
      <c r="AE127" s="1"/>
      <c r="AF127" s="1"/>
      <c r="AG127" s="1"/>
    </row>
    <row r="128" spans="1:33" ht="20">
      <c r="A128" s="1"/>
      <c r="B128" s="11"/>
      <c r="C128" s="50">
        <v>108</v>
      </c>
      <c r="D128" s="51">
        <v>1</v>
      </c>
      <c r="E128" s="52">
        <f t="shared" si="35"/>
        <v>4</v>
      </c>
      <c r="F128" s="53">
        <f t="shared" si="36"/>
        <v>45765</v>
      </c>
      <c r="G128" s="54" t="str">
        <f t="shared" si="37"/>
        <v>Fri</v>
      </c>
      <c r="H128" s="55"/>
      <c r="I128" s="56"/>
      <c r="J128" s="82">
        <v>379670</v>
      </c>
      <c r="K128" s="83"/>
      <c r="L128" s="59">
        <f t="shared" si="38"/>
        <v>356302.2080629493</v>
      </c>
      <c r="M128" s="60">
        <f t="shared" si="31"/>
        <v>23367.791937050701</v>
      </c>
      <c r="N128" s="61">
        <f t="shared" si="9"/>
        <v>1.0655841906343793</v>
      </c>
      <c r="O128" s="80"/>
      <c r="P128" s="59">
        <f>IF(D128=0,0,SUM($L$111:L128))</f>
        <v>4736468.5344855413</v>
      </c>
      <c r="Q128" s="59">
        <f>IF(D128=0,0,SUM($J$111:J128))</f>
        <v>4432840</v>
      </c>
      <c r="R128" s="63">
        <f t="shared" si="32"/>
        <v>-303628.53448554128</v>
      </c>
      <c r="S128" s="64">
        <f t="shared" si="39"/>
        <v>0.93589558712891985</v>
      </c>
      <c r="T128" s="73"/>
      <c r="U128" s="59">
        <f>IF(D128=0,0,SUM($L$21:L128))</f>
        <v>22619626.429222383</v>
      </c>
      <c r="V128" s="59">
        <f>IF(D128=0,0,SUM($J$21:J128))</f>
        <v>22997430</v>
      </c>
      <c r="W128" s="66">
        <f t="shared" si="33"/>
        <v>377803.57077761739</v>
      </c>
      <c r="X128" s="67">
        <f t="shared" si="40"/>
        <v>1.0167024673002349</v>
      </c>
      <c r="Y128" s="68">
        <f t="shared" si="45"/>
        <v>45765</v>
      </c>
      <c r="Z128" s="69">
        <f t="shared" si="45"/>
        <v>45765</v>
      </c>
      <c r="AA128" s="1"/>
      <c r="AB128" s="1"/>
      <c r="AC128" s="1"/>
      <c r="AD128" s="1"/>
      <c r="AE128" s="1"/>
      <c r="AF128" s="1"/>
      <c r="AG128" s="1"/>
    </row>
    <row r="129" spans="1:33" ht="20">
      <c r="A129" s="1"/>
      <c r="B129" s="11"/>
      <c r="C129" s="50">
        <v>109</v>
      </c>
      <c r="D129" s="51">
        <v>1</v>
      </c>
      <c r="E129" s="52">
        <f t="shared" si="35"/>
        <v>4</v>
      </c>
      <c r="F129" s="53">
        <f t="shared" si="36"/>
        <v>45766</v>
      </c>
      <c r="G129" s="54" t="str">
        <f t="shared" si="37"/>
        <v>Sat</v>
      </c>
      <c r="H129" s="55"/>
      <c r="I129" s="56"/>
      <c r="J129" s="82">
        <v>191600</v>
      </c>
      <c r="K129" s="83"/>
      <c r="L129" s="59">
        <f t="shared" si="38"/>
        <v>216987.32377753209</v>
      </c>
      <c r="M129" s="60">
        <f t="shared" si="31"/>
        <v>-25387.323777532089</v>
      </c>
      <c r="N129" s="61">
        <f t="shared" si="9"/>
        <v>0.88300088993419434</v>
      </c>
      <c r="O129" s="80"/>
      <c r="P129" s="59">
        <f>IF(D129=0,0,SUM($L$111:L129))</f>
        <v>4953455.8582630735</v>
      </c>
      <c r="Q129" s="59">
        <f>IF(D129=0,0,SUM($J$111:J129))</f>
        <v>4624440</v>
      </c>
      <c r="R129" s="63">
        <f t="shared" si="32"/>
        <v>-329015.85826307349</v>
      </c>
      <c r="S129" s="64">
        <f t="shared" si="39"/>
        <v>0.93357852221207782</v>
      </c>
      <c r="T129" s="73"/>
      <c r="U129" s="59">
        <f>IF(D129=0,0,SUM($L$21:L129))</f>
        <v>22836613.752999913</v>
      </c>
      <c r="V129" s="59">
        <f>IF(D129=0,0,SUM($J$21:J129))</f>
        <v>23189030</v>
      </c>
      <c r="W129" s="66">
        <f t="shared" si="33"/>
        <v>352416.24700008705</v>
      </c>
      <c r="X129" s="67">
        <f t="shared" si="40"/>
        <v>1.0154320710947695</v>
      </c>
      <c r="Y129" s="68">
        <f t="shared" si="45"/>
        <v>45766</v>
      </c>
      <c r="Z129" s="69">
        <f t="shared" si="45"/>
        <v>45766</v>
      </c>
      <c r="AA129" s="1"/>
      <c r="AB129" s="1"/>
      <c r="AC129" s="1"/>
      <c r="AD129" s="1"/>
      <c r="AE129" s="1"/>
      <c r="AF129" s="1"/>
      <c r="AG129" s="1"/>
    </row>
    <row r="130" spans="1:33" ht="20">
      <c r="A130" s="1"/>
      <c r="B130" s="11"/>
      <c r="C130" s="50">
        <v>110</v>
      </c>
      <c r="D130" s="51">
        <v>0</v>
      </c>
      <c r="E130" s="52">
        <f t="shared" si="35"/>
        <v>4</v>
      </c>
      <c r="F130" s="53">
        <f t="shared" si="36"/>
        <v>45767</v>
      </c>
      <c r="G130" s="54" t="str">
        <f t="shared" si="37"/>
        <v>Sun</v>
      </c>
      <c r="H130" s="55"/>
      <c r="I130" s="56"/>
      <c r="J130" s="82"/>
      <c r="K130" s="83"/>
      <c r="L130" s="59">
        <f t="shared" si="38"/>
        <v>0</v>
      </c>
      <c r="M130" s="60">
        <f t="shared" si="31"/>
        <v>0</v>
      </c>
      <c r="N130" s="61" t="str">
        <f t="shared" si="9"/>
        <v>¥0</v>
      </c>
      <c r="O130" s="81"/>
      <c r="P130" s="59">
        <f>IF(D130=0,0,SUM($L$111:L130))</f>
        <v>0</v>
      </c>
      <c r="Q130" s="59">
        <f>IF(D130=0,0,SUM($J$111:J130))</f>
        <v>0</v>
      </c>
      <c r="R130" s="63">
        <f t="shared" si="32"/>
        <v>0</v>
      </c>
      <c r="S130" s="64">
        <f t="shared" si="39"/>
        <v>0</v>
      </c>
      <c r="T130" s="78"/>
      <c r="U130" s="59">
        <f>IF(D130=0,0,SUM($L$21:L130))</f>
        <v>0</v>
      </c>
      <c r="V130" s="59">
        <f>IF(D130=0,0,SUM($J$21:J130))</f>
        <v>0</v>
      </c>
      <c r="W130" s="66">
        <f t="shared" si="33"/>
        <v>0</v>
      </c>
      <c r="X130" s="67">
        <f t="shared" si="40"/>
        <v>0</v>
      </c>
      <c r="Y130" s="68">
        <f t="shared" si="45"/>
        <v>45767</v>
      </c>
      <c r="Z130" s="69">
        <f t="shared" si="45"/>
        <v>45767</v>
      </c>
      <c r="AA130" s="1"/>
      <c r="AB130" s="1"/>
      <c r="AC130" s="1"/>
      <c r="AD130" s="1"/>
      <c r="AE130" s="1"/>
      <c r="AF130" s="1"/>
      <c r="AG130" s="1"/>
    </row>
    <row r="131" spans="1:33" ht="20">
      <c r="A131" s="1"/>
      <c r="B131" s="11"/>
      <c r="C131" s="50">
        <v>111</v>
      </c>
      <c r="D131" s="51">
        <v>1</v>
      </c>
      <c r="E131" s="52">
        <f t="shared" si="35"/>
        <v>4</v>
      </c>
      <c r="F131" s="53">
        <f t="shared" si="36"/>
        <v>45768</v>
      </c>
      <c r="G131" s="54" t="str">
        <f t="shared" si="37"/>
        <v>Mon</v>
      </c>
      <c r="H131" s="55"/>
      <c r="I131" s="56"/>
      <c r="J131" s="82">
        <v>308210</v>
      </c>
      <c r="K131" s="83"/>
      <c r="L131" s="59">
        <f t="shared" si="38"/>
        <v>245725.10417145962</v>
      </c>
      <c r="M131" s="60">
        <f t="shared" si="31"/>
        <v>62484.895828540379</v>
      </c>
      <c r="N131" s="61">
        <f t="shared" si="9"/>
        <v>1.2542877987140471</v>
      </c>
      <c r="O131" s="80"/>
      <c r="P131" s="59">
        <f>IF(D131=0,0,SUM($L$111:L131))</f>
        <v>5199180.9624345331</v>
      </c>
      <c r="Q131" s="59">
        <f>IF(D131=0,0,SUM($J$111:J131))</f>
        <v>4932650</v>
      </c>
      <c r="R131" s="63">
        <f t="shared" si="32"/>
        <v>-266530.96243453305</v>
      </c>
      <c r="S131" s="64">
        <f t="shared" si="39"/>
        <v>0.94873597123079767</v>
      </c>
      <c r="T131" s="73"/>
      <c r="U131" s="59">
        <f>IF(D131=0,0,SUM($L$21:L131))</f>
        <v>23082338.857171372</v>
      </c>
      <c r="V131" s="59">
        <f>IF(D131=0,0,SUM($J$21:J131))</f>
        <v>23497240</v>
      </c>
      <c r="W131" s="66">
        <f t="shared" si="33"/>
        <v>414901.14282862842</v>
      </c>
      <c r="X131" s="67">
        <f t="shared" si="40"/>
        <v>1.0179748311207086</v>
      </c>
      <c r="Y131" s="68">
        <f t="shared" si="45"/>
        <v>45768</v>
      </c>
      <c r="Z131" s="69">
        <f t="shared" si="45"/>
        <v>45768</v>
      </c>
      <c r="AA131" s="1"/>
      <c r="AB131" s="1"/>
      <c r="AC131" s="1"/>
      <c r="AD131" s="1"/>
      <c r="AE131" s="1"/>
      <c r="AF131" s="1"/>
      <c r="AG131" s="1"/>
    </row>
    <row r="132" spans="1:33" ht="20">
      <c r="A132" s="1"/>
      <c r="B132" s="11"/>
      <c r="C132" s="50">
        <v>112</v>
      </c>
      <c r="D132" s="51">
        <v>1</v>
      </c>
      <c r="E132" s="52">
        <f t="shared" si="35"/>
        <v>4</v>
      </c>
      <c r="F132" s="53">
        <f t="shared" si="36"/>
        <v>45769</v>
      </c>
      <c r="G132" s="54" t="str">
        <f t="shared" si="37"/>
        <v>Tue</v>
      </c>
      <c r="H132" s="55"/>
      <c r="I132" s="56"/>
      <c r="J132" s="82">
        <v>290850</v>
      </c>
      <c r="K132" s="83"/>
      <c r="L132" s="59">
        <f t="shared" si="38"/>
        <v>362897.39819603856</v>
      </c>
      <c r="M132" s="60">
        <f>IF(D132=0,0,J132-L132)</f>
        <v>-72047.398196038557</v>
      </c>
      <c r="N132" s="61">
        <f>IFERROR(J132/L132,"¥0")</f>
        <v>0.80146620352147502</v>
      </c>
      <c r="O132" s="80"/>
      <c r="P132" s="59">
        <f>IF(D132=0,0,SUM($L$111:L132))</f>
        <v>5562078.3606305718</v>
      </c>
      <c r="Q132" s="59">
        <f>IF(D132=0,0,SUM($J$111:J132))</f>
        <v>5223500</v>
      </c>
      <c r="R132" s="63">
        <f t="shared" si="32"/>
        <v>-338578.36063057184</v>
      </c>
      <c r="S132" s="64">
        <f t="shared" si="39"/>
        <v>0.9391273659452386</v>
      </c>
      <c r="T132" s="73"/>
      <c r="U132" s="59">
        <f>IF(D132=0,0,SUM($L$21:L132))</f>
        <v>23445236.255367409</v>
      </c>
      <c r="V132" s="59">
        <f>IF(D132=0,0,SUM($J$21:J132))</f>
        <v>23788090</v>
      </c>
      <c r="W132" s="66">
        <f t="shared" si="33"/>
        <v>342853.74463259056</v>
      </c>
      <c r="X132" s="67">
        <f t="shared" si="40"/>
        <v>1.0146235994765931</v>
      </c>
      <c r="Y132" s="68">
        <f t="shared" si="45"/>
        <v>45769</v>
      </c>
      <c r="Z132" s="69">
        <f t="shared" si="45"/>
        <v>45769</v>
      </c>
      <c r="AA132" s="1"/>
      <c r="AB132" s="1"/>
      <c r="AC132" s="1"/>
      <c r="AD132" s="1"/>
      <c r="AE132" s="1"/>
      <c r="AF132" s="1"/>
      <c r="AG132" s="1"/>
    </row>
    <row r="133" spans="1:33" ht="20">
      <c r="A133" s="1"/>
      <c r="B133" s="11"/>
      <c r="C133" s="50">
        <v>113</v>
      </c>
      <c r="D133" s="51">
        <v>1</v>
      </c>
      <c r="E133" s="52">
        <f t="shared" si="35"/>
        <v>4</v>
      </c>
      <c r="F133" s="53">
        <f t="shared" si="36"/>
        <v>45770</v>
      </c>
      <c r="G133" s="54" t="str">
        <f t="shared" si="37"/>
        <v>Wed</v>
      </c>
      <c r="H133" s="55"/>
      <c r="I133" s="56"/>
      <c r="J133" s="82">
        <v>322750</v>
      </c>
      <c r="K133" s="83"/>
      <c r="L133" s="59">
        <f t="shared" si="38"/>
        <v>251969.24306974519</v>
      </c>
      <c r="M133" s="60">
        <f>IF(D133=0,0,J133-L133)</f>
        <v>70780.756930254807</v>
      </c>
      <c r="N133" s="61">
        <f>IFERROR(J133/L133,"¥0")</f>
        <v>1.2809103050353756</v>
      </c>
      <c r="O133" s="80"/>
      <c r="P133" s="59">
        <f>IF(D133=0,0,SUM($L$111:L133))</f>
        <v>5814047.6037003174</v>
      </c>
      <c r="Q133" s="59">
        <f>IF(D133=0,0,SUM($J$111:J133))</f>
        <v>5546250</v>
      </c>
      <c r="R133" s="63">
        <f t="shared" si="32"/>
        <v>-267797.60370031744</v>
      </c>
      <c r="S133" s="64">
        <f t="shared" si="39"/>
        <v>0.9539395577824511</v>
      </c>
      <c r="T133" s="73"/>
      <c r="U133" s="59">
        <f>IF(D133=0,0,SUM($L$21:L133))</f>
        <v>23697205.498437155</v>
      </c>
      <c r="V133" s="59">
        <f>IF(D133=0,0,SUM($J$21:J133))</f>
        <v>24110840</v>
      </c>
      <c r="W133" s="66">
        <f t="shared" si="33"/>
        <v>413634.50156284496</v>
      </c>
      <c r="X133" s="67">
        <f t="shared" si="40"/>
        <v>1.0174549906988031</v>
      </c>
      <c r="Y133" s="68">
        <f t="shared" si="45"/>
        <v>45770</v>
      </c>
      <c r="Z133" s="69">
        <f t="shared" si="45"/>
        <v>45770</v>
      </c>
      <c r="AA133" s="1"/>
      <c r="AB133" s="1"/>
      <c r="AC133" s="1"/>
      <c r="AD133" s="1"/>
      <c r="AE133" s="1"/>
      <c r="AF133" s="1"/>
      <c r="AG133" s="1"/>
    </row>
    <row r="134" spans="1:33" ht="20">
      <c r="A134" s="1"/>
      <c r="B134" s="11"/>
      <c r="C134" s="50">
        <v>114</v>
      </c>
      <c r="D134" s="51">
        <v>1</v>
      </c>
      <c r="E134" s="52">
        <f t="shared" si="35"/>
        <v>4</v>
      </c>
      <c r="F134" s="53">
        <f t="shared" si="36"/>
        <v>45771</v>
      </c>
      <c r="G134" s="54" t="str">
        <f t="shared" si="37"/>
        <v>Thu</v>
      </c>
      <c r="H134" s="55"/>
      <c r="I134" s="56"/>
      <c r="J134" s="82">
        <v>384160</v>
      </c>
      <c r="K134" s="83"/>
      <c r="L134" s="59">
        <f t="shared" si="38"/>
        <v>299179.04353378614</v>
      </c>
      <c r="M134" s="60">
        <f t="shared" si="31"/>
        <v>84980.956466213858</v>
      </c>
      <c r="N134" s="61">
        <f t="shared" si="9"/>
        <v>1.2840471560522821</v>
      </c>
      <c r="O134" s="80"/>
      <c r="P134" s="59">
        <f>IF(D134=0,0,SUM($L$111:L134))</f>
        <v>6113226.6472341036</v>
      </c>
      <c r="Q134" s="59">
        <f>IF(D134=0,0,SUM($J$111:J134))</f>
        <v>5930410</v>
      </c>
      <c r="R134" s="63">
        <f t="shared" si="32"/>
        <v>-182816.64723410364</v>
      </c>
      <c r="S134" s="64">
        <f t="shared" si="39"/>
        <v>0.97009490114082098</v>
      </c>
      <c r="T134" s="73"/>
      <c r="U134" s="59">
        <f>IF(D134=0,0,SUM($L$21:L134))</f>
        <v>23996384.541970942</v>
      </c>
      <c r="V134" s="59">
        <f>IF(D134=0,0,SUM($J$21:J134))</f>
        <v>24495000</v>
      </c>
      <c r="W134" s="66">
        <f t="shared" si="33"/>
        <v>498615.45802905783</v>
      </c>
      <c r="X134" s="67">
        <f t="shared" si="40"/>
        <v>1.020778774283974</v>
      </c>
      <c r="Y134" s="68">
        <f t="shared" si="45"/>
        <v>45771</v>
      </c>
      <c r="Z134" s="69">
        <f t="shared" si="45"/>
        <v>45771</v>
      </c>
      <c r="AA134" s="1"/>
      <c r="AB134" s="1"/>
      <c r="AC134" s="1"/>
      <c r="AD134" s="1"/>
      <c r="AE134" s="1"/>
      <c r="AF134" s="1"/>
      <c r="AG134" s="1"/>
    </row>
    <row r="135" spans="1:33" ht="20">
      <c r="A135" s="1"/>
      <c r="B135" s="11"/>
      <c r="C135" s="50">
        <v>115</v>
      </c>
      <c r="D135" s="51">
        <v>1</v>
      </c>
      <c r="E135" s="52">
        <f t="shared" si="35"/>
        <v>4</v>
      </c>
      <c r="F135" s="53">
        <f t="shared" si="36"/>
        <v>45772</v>
      </c>
      <c r="G135" s="54" t="str">
        <f t="shared" si="37"/>
        <v>Fri</v>
      </c>
      <c r="H135" s="55"/>
      <c r="I135" s="56"/>
      <c r="J135" s="82">
        <v>463090</v>
      </c>
      <c r="K135" s="83"/>
      <c r="L135" s="59">
        <f t="shared" si="38"/>
        <v>356302.2080629493</v>
      </c>
      <c r="M135" s="60">
        <f t="shared" si="31"/>
        <v>106787.7919370507</v>
      </c>
      <c r="N135" s="61">
        <f t="shared" si="9"/>
        <v>1.2997112830639099</v>
      </c>
      <c r="O135" s="80"/>
      <c r="P135" s="59">
        <f>IF(D135=0,0,SUM($L$111:L135))</f>
        <v>6469528.8552970532</v>
      </c>
      <c r="Q135" s="59">
        <f>IF(D135=0,0,SUM($J$111:J135))</f>
        <v>6393500</v>
      </c>
      <c r="R135" s="63">
        <f t="shared" si="32"/>
        <v>-76028.855297053233</v>
      </c>
      <c r="S135" s="64">
        <f t="shared" si="39"/>
        <v>0.98824816196085086</v>
      </c>
      <c r="T135" s="73"/>
      <c r="U135" s="59">
        <f>IF(D135=0,0,SUM($L$21:L135))</f>
        <v>24352686.750033893</v>
      </c>
      <c r="V135" s="59">
        <f>IF(D135=0,0,SUM($J$21:J135))</f>
        <v>24958090</v>
      </c>
      <c r="W135" s="66">
        <f t="shared" si="33"/>
        <v>605403.24996610731</v>
      </c>
      <c r="X135" s="67">
        <f t="shared" si="40"/>
        <v>1.0248598134645355</v>
      </c>
      <c r="Y135" s="68">
        <f t="shared" ref="Y135:Z150" si="46">Y134+1</f>
        <v>45772</v>
      </c>
      <c r="Z135" s="69">
        <f t="shared" si="46"/>
        <v>45772</v>
      </c>
      <c r="AA135" s="1"/>
      <c r="AB135" s="1"/>
      <c r="AC135" s="1"/>
      <c r="AD135" s="1"/>
      <c r="AE135" s="1"/>
      <c r="AF135" s="1"/>
      <c r="AG135" s="1"/>
    </row>
    <row r="136" spans="1:33" ht="20">
      <c r="A136" s="1"/>
      <c r="B136" s="11"/>
      <c r="C136" s="50">
        <v>116</v>
      </c>
      <c r="D136" s="51">
        <v>1</v>
      </c>
      <c r="E136" s="52">
        <f t="shared" si="35"/>
        <v>4</v>
      </c>
      <c r="F136" s="53">
        <f t="shared" si="36"/>
        <v>45773</v>
      </c>
      <c r="G136" s="54" t="str">
        <f t="shared" si="37"/>
        <v>Sat</v>
      </c>
      <c r="H136" s="55"/>
      <c r="I136" s="56"/>
      <c r="J136" s="82">
        <v>216490</v>
      </c>
      <c r="K136" s="83"/>
      <c r="L136" s="59">
        <f t="shared" si="38"/>
        <v>216987.32377753209</v>
      </c>
      <c r="M136" s="60">
        <f t="shared" si="31"/>
        <v>-497.32377753208857</v>
      </c>
      <c r="N136" s="61">
        <f t="shared" si="9"/>
        <v>0.9977080514710529</v>
      </c>
      <c r="O136" s="80"/>
      <c r="P136" s="59">
        <f>IF(D136=0,0,SUM($L$111:L136))</f>
        <v>6686516.1790745854</v>
      </c>
      <c r="Q136" s="59">
        <f>IF(D136=0,0,SUM($J$111:J136))</f>
        <v>6609990</v>
      </c>
      <c r="R136" s="63">
        <f t="shared" si="32"/>
        <v>-76526.179074585438</v>
      </c>
      <c r="S136" s="64">
        <f t="shared" si="39"/>
        <v>0.98855514934457589</v>
      </c>
      <c r="T136" s="73"/>
      <c r="U136" s="59">
        <f>IF(D136=0,0,SUM($L$21:L136))</f>
        <v>24569674.073811423</v>
      </c>
      <c r="V136" s="59">
        <f>IF(D136=0,0,SUM($J$21:J136))</f>
        <v>25174580</v>
      </c>
      <c r="W136" s="66">
        <f t="shared" si="33"/>
        <v>604905.92618857697</v>
      </c>
      <c r="X136" s="67">
        <f t="shared" si="40"/>
        <v>1.0246200224053172</v>
      </c>
      <c r="Y136" s="68">
        <f t="shared" si="46"/>
        <v>45773</v>
      </c>
      <c r="Z136" s="69">
        <f t="shared" si="46"/>
        <v>45773</v>
      </c>
      <c r="AA136" s="1"/>
      <c r="AB136" s="1"/>
      <c r="AC136" s="1"/>
      <c r="AD136" s="1"/>
      <c r="AE136" s="1"/>
      <c r="AF136" s="1"/>
      <c r="AG136" s="1"/>
    </row>
    <row r="137" spans="1:33" ht="20">
      <c r="A137" s="1"/>
      <c r="B137" s="11"/>
      <c r="C137" s="50">
        <v>117</v>
      </c>
      <c r="D137" s="51">
        <v>0</v>
      </c>
      <c r="E137" s="52">
        <f t="shared" si="35"/>
        <v>4</v>
      </c>
      <c r="F137" s="53">
        <f t="shared" si="36"/>
        <v>45774</v>
      </c>
      <c r="G137" s="54" t="str">
        <f t="shared" si="37"/>
        <v>Sun</v>
      </c>
      <c r="H137" s="55"/>
      <c r="I137" s="56"/>
      <c r="J137" s="82"/>
      <c r="K137" s="83"/>
      <c r="L137" s="59">
        <f t="shared" si="38"/>
        <v>0</v>
      </c>
      <c r="M137" s="60">
        <f t="shared" si="31"/>
        <v>0</v>
      </c>
      <c r="N137" s="61" t="str">
        <f t="shared" si="9"/>
        <v>¥0</v>
      </c>
      <c r="O137" s="81"/>
      <c r="P137" s="59">
        <f>IF(D137=0,0,SUM($L$111:L137))</f>
        <v>0</v>
      </c>
      <c r="Q137" s="59">
        <f>IF(D137=0,0,SUM($J$111:J137))</f>
        <v>0</v>
      </c>
      <c r="R137" s="63">
        <f t="shared" si="32"/>
        <v>0</v>
      </c>
      <c r="S137" s="64">
        <f t="shared" si="39"/>
        <v>0</v>
      </c>
      <c r="T137" s="78"/>
      <c r="U137" s="59">
        <f>IF(D137=0,0,SUM($L$21:L137))</f>
        <v>0</v>
      </c>
      <c r="V137" s="59">
        <f>IF(D137=0,0,SUM($J$21:J137))</f>
        <v>0</v>
      </c>
      <c r="W137" s="66">
        <f t="shared" si="33"/>
        <v>0</v>
      </c>
      <c r="X137" s="67">
        <f t="shared" si="40"/>
        <v>0</v>
      </c>
      <c r="Y137" s="68">
        <f t="shared" si="46"/>
        <v>45774</v>
      </c>
      <c r="Z137" s="69">
        <f t="shared" si="46"/>
        <v>45774</v>
      </c>
      <c r="AA137" s="1"/>
      <c r="AB137" s="1"/>
      <c r="AC137" s="1"/>
      <c r="AD137" s="1"/>
      <c r="AE137" s="1"/>
      <c r="AF137" s="1"/>
      <c r="AG137" s="1"/>
    </row>
    <row r="138" spans="1:33" ht="20">
      <c r="A138" s="1"/>
      <c r="B138" s="11"/>
      <c r="C138" s="50">
        <v>118</v>
      </c>
      <c r="D138" s="51">
        <v>1</v>
      </c>
      <c r="E138" s="52">
        <f t="shared" si="35"/>
        <v>4</v>
      </c>
      <c r="F138" s="53">
        <f t="shared" si="36"/>
        <v>45775</v>
      </c>
      <c r="G138" s="54" t="str">
        <f t="shared" si="37"/>
        <v>Mon</v>
      </c>
      <c r="H138" s="55"/>
      <c r="I138" s="56"/>
      <c r="J138" s="82">
        <v>358350</v>
      </c>
      <c r="K138" s="83"/>
      <c r="L138" s="59">
        <f t="shared" si="38"/>
        <v>245725.10417145962</v>
      </c>
      <c r="M138" s="60">
        <f t="shared" si="31"/>
        <v>112624.89582854038</v>
      </c>
      <c r="N138" s="61">
        <f t="shared" si="9"/>
        <v>1.4583369542493065</v>
      </c>
      <c r="O138" s="80"/>
      <c r="P138" s="59">
        <f>IF(D138=0,0,SUM($L$111:L138))</f>
        <v>6932241.283246045</v>
      </c>
      <c r="Q138" s="59">
        <f>IF(D138=0,0,SUM($J$111:J138))</f>
        <v>6968340</v>
      </c>
      <c r="R138" s="63">
        <f t="shared" si="32"/>
        <v>36098.716753954999</v>
      </c>
      <c r="S138" s="64">
        <f t="shared" si="39"/>
        <v>1.005207365883412</v>
      </c>
      <c r="T138" s="73"/>
      <c r="U138" s="59">
        <f>IF(D138=0,0,SUM($L$21:L138))</f>
        <v>24815399.177982882</v>
      </c>
      <c r="V138" s="59">
        <f>IF(D138=0,0,SUM($J$21:J138))</f>
        <v>25532930</v>
      </c>
      <c r="W138" s="66">
        <f t="shared" si="33"/>
        <v>717530.82201711833</v>
      </c>
      <c r="X138" s="67">
        <f t="shared" si="40"/>
        <v>1.0289147402736014</v>
      </c>
      <c r="Y138" s="68">
        <f t="shared" si="46"/>
        <v>45775</v>
      </c>
      <c r="Z138" s="69">
        <f t="shared" si="46"/>
        <v>45775</v>
      </c>
      <c r="AA138" s="1"/>
      <c r="AB138" s="1"/>
      <c r="AC138" s="1"/>
      <c r="AD138" s="1"/>
      <c r="AE138" s="1"/>
      <c r="AF138" s="1"/>
      <c r="AG138" s="1"/>
    </row>
    <row r="139" spans="1:33" ht="20">
      <c r="A139" s="1"/>
      <c r="B139" s="11"/>
      <c r="C139" s="50">
        <v>119</v>
      </c>
      <c r="D139" s="51">
        <v>0</v>
      </c>
      <c r="E139" s="52">
        <f t="shared" si="35"/>
        <v>4</v>
      </c>
      <c r="F139" s="53">
        <f t="shared" si="36"/>
        <v>45776</v>
      </c>
      <c r="G139" s="54" t="str">
        <f t="shared" si="37"/>
        <v>Tue</v>
      </c>
      <c r="H139" s="55"/>
      <c r="I139" s="56"/>
      <c r="J139" s="82"/>
      <c r="K139" s="83"/>
      <c r="L139" s="59">
        <f t="shared" si="38"/>
        <v>0</v>
      </c>
      <c r="M139" s="60">
        <f t="shared" si="31"/>
        <v>0</v>
      </c>
      <c r="N139" s="61" t="str">
        <f t="shared" si="9"/>
        <v>¥0</v>
      </c>
      <c r="O139" s="81"/>
      <c r="P139" s="59">
        <f>IF(D139=0,0,SUM($L$111:L139))</f>
        <v>0</v>
      </c>
      <c r="Q139" s="59">
        <f>IF(D139=0,0,SUM($J$111:J139))</f>
        <v>0</v>
      </c>
      <c r="R139" s="63">
        <f t="shared" si="32"/>
        <v>0</v>
      </c>
      <c r="S139" s="64">
        <f t="shared" si="39"/>
        <v>0</v>
      </c>
      <c r="T139" s="78"/>
      <c r="U139" s="59">
        <f>IF(D139=0,0,SUM($L$21:L139))</f>
        <v>0</v>
      </c>
      <c r="V139" s="59">
        <f>IF(D139=0,0,SUM($J$21:J139))</f>
        <v>0</v>
      </c>
      <c r="W139" s="66">
        <f t="shared" si="33"/>
        <v>0</v>
      </c>
      <c r="X139" s="67">
        <f t="shared" si="40"/>
        <v>0</v>
      </c>
      <c r="Y139" s="68">
        <f t="shared" si="46"/>
        <v>45776</v>
      </c>
      <c r="Z139" s="69">
        <f t="shared" si="46"/>
        <v>45776</v>
      </c>
      <c r="AA139" s="1"/>
      <c r="AB139" s="1"/>
      <c r="AC139" s="1"/>
      <c r="AD139" s="1"/>
      <c r="AE139" s="1"/>
      <c r="AF139" s="1"/>
      <c r="AG139" s="1"/>
    </row>
    <row r="140" spans="1:33" ht="21" thickBot="1">
      <c r="A140" s="1"/>
      <c r="B140" s="11"/>
      <c r="C140" s="84">
        <v>120</v>
      </c>
      <c r="D140" s="85">
        <v>1</v>
      </c>
      <c r="E140" s="501">
        <f t="shared" si="35"/>
        <v>4</v>
      </c>
      <c r="F140" s="86">
        <f t="shared" si="36"/>
        <v>45777</v>
      </c>
      <c r="G140" s="87" t="str">
        <f t="shared" si="37"/>
        <v>Wed</v>
      </c>
      <c r="H140" s="508"/>
      <c r="I140" s="502"/>
      <c r="J140" s="89">
        <v>264600</v>
      </c>
      <c r="K140" s="503"/>
      <c r="L140" s="534">
        <f t="shared" si="38"/>
        <v>251969.24306974519</v>
      </c>
      <c r="M140" s="91">
        <f t="shared" si="31"/>
        <v>12630.756930254807</v>
      </c>
      <c r="N140" s="98">
        <f t="shared" si="9"/>
        <v>1.0501281695193194</v>
      </c>
      <c r="O140" s="504"/>
      <c r="P140" s="534">
        <f>IF(D140=0,0,SUM($L$111:L140))</f>
        <v>7184210.5263157906</v>
      </c>
      <c r="Q140" s="90">
        <f>IF(D140=0,0,SUM($J$111:J140))</f>
        <v>7232940</v>
      </c>
      <c r="R140" s="91">
        <f t="shared" si="32"/>
        <v>48729.473684209399</v>
      </c>
      <c r="S140" s="505">
        <f t="shared" si="39"/>
        <v>1.006782857142857</v>
      </c>
      <c r="T140" s="506"/>
      <c r="U140" s="94">
        <f>IF(D140=0,0,SUM($L$21:L140))</f>
        <v>25067368.421052627</v>
      </c>
      <c r="V140" s="90">
        <f>IF(D140=0,0,SUM($J$21:J140))</f>
        <v>25797530</v>
      </c>
      <c r="W140" s="95">
        <f t="shared" si="33"/>
        <v>730161.57894737273</v>
      </c>
      <c r="X140" s="507">
        <f t="shared" si="40"/>
        <v>1.0291279709414631</v>
      </c>
      <c r="Y140" s="68">
        <f t="shared" si="46"/>
        <v>45777</v>
      </c>
      <c r="Z140" s="69">
        <f t="shared" si="46"/>
        <v>45777</v>
      </c>
      <c r="AA140" s="1"/>
      <c r="AB140" s="1"/>
      <c r="AC140" s="1"/>
      <c r="AD140" s="1"/>
      <c r="AE140" s="1"/>
      <c r="AF140" s="1"/>
      <c r="AG140" s="1"/>
    </row>
    <row r="141" spans="1:33" ht="21" thickTop="1">
      <c r="A141" s="1"/>
      <c r="B141" s="11"/>
      <c r="C141" s="50">
        <v>121</v>
      </c>
      <c r="D141" s="96">
        <v>1</v>
      </c>
      <c r="E141" s="52">
        <f t="shared" si="35"/>
        <v>5</v>
      </c>
      <c r="F141" s="53">
        <f t="shared" si="36"/>
        <v>45778</v>
      </c>
      <c r="G141" s="54" t="str">
        <f t="shared" si="37"/>
        <v>Thu</v>
      </c>
      <c r="H141" s="55"/>
      <c r="I141" s="56"/>
      <c r="J141" s="82">
        <v>153420</v>
      </c>
      <c r="K141" s="83"/>
      <c r="L141" s="59">
        <f t="shared" si="38"/>
        <v>208647.35729715382</v>
      </c>
      <c r="M141" s="63">
        <f t="shared" si="31"/>
        <v>-55227.357297153823</v>
      </c>
      <c r="N141" s="97">
        <f t="shared" si="9"/>
        <v>0.73530765971552914</v>
      </c>
      <c r="O141" s="80"/>
      <c r="P141" s="59">
        <f>IF(D141=0,0,$L$141)</f>
        <v>208647.35729715382</v>
      </c>
      <c r="Q141" s="59">
        <f>IF(D141=0,0,$J$141)</f>
        <v>153420</v>
      </c>
      <c r="R141" s="63">
        <f t="shared" si="32"/>
        <v>-55227.357297153823</v>
      </c>
      <c r="S141" s="499">
        <f t="shared" si="39"/>
        <v>0.73530765971552914</v>
      </c>
      <c r="T141" s="73"/>
      <c r="U141" s="59">
        <f>IF(D141=0,0,SUM($L$21:L141))</f>
        <v>25276015.77834978</v>
      </c>
      <c r="V141" s="59">
        <f>IF(D141=0,0,SUM($J$21:J141))</f>
        <v>25950950</v>
      </c>
      <c r="W141" s="66">
        <f t="shared" si="33"/>
        <v>674934.22165022045</v>
      </c>
      <c r="X141" s="500">
        <f t="shared" si="40"/>
        <v>1.0267025557971181</v>
      </c>
      <c r="Y141" s="68">
        <f t="shared" si="46"/>
        <v>45778</v>
      </c>
      <c r="Z141" s="69">
        <f t="shared" si="46"/>
        <v>45778</v>
      </c>
      <c r="AA141" s="1"/>
      <c r="AB141" s="1"/>
      <c r="AC141" s="1"/>
      <c r="AD141" s="1"/>
      <c r="AE141" s="1"/>
      <c r="AF141" s="1"/>
      <c r="AG141" s="1"/>
    </row>
    <row r="142" spans="1:33" ht="20">
      <c r="A142" s="1"/>
      <c r="B142" s="11"/>
      <c r="C142" s="50">
        <v>122</v>
      </c>
      <c r="D142" s="51">
        <v>1</v>
      </c>
      <c r="E142" s="52">
        <f t="shared" si="35"/>
        <v>5</v>
      </c>
      <c r="F142" s="53">
        <f t="shared" si="36"/>
        <v>45779</v>
      </c>
      <c r="G142" s="54" t="str">
        <f t="shared" si="37"/>
        <v>Fri</v>
      </c>
      <c r="H142" s="55"/>
      <c r="I142" s="56"/>
      <c r="J142" s="82">
        <v>143350</v>
      </c>
      <c r="K142" s="83"/>
      <c r="L142" s="59">
        <f t="shared" si="38"/>
        <v>265057.05757595133</v>
      </c>
      <c r="M142" s="60">
        <f t="shared" si="31"/>
        <v>-121707.05757595133</v>
      </c>
      <c r="N142" s="61">
        <f t="shared" si="9"/>
        <v>0.54082694990652525</v>
      </c>
      <c r="O142" s="80"/>
      <c r="P142" s="59">
        <f>IF(D142=0,0,SUM($L$141:L142))</f>
        <v>473704.41487310512</v>
      </c>
      <c r="Q142" s="59">
        <f>IF(D142=0,0,SUM($J$141:J142))</f>
        <v>296770</v>
      </c>
      <c r="R142" s="63">
        <f t="shared" si="32"/>
        <v>-176934.41487310512</v>
      </c>
      <c r="S142" s="64">
        <f t="shared" si="39"/>
        <v>0.62648772247456908</v>
      </c>
      <c r="T142" s="73"/>
      <c r="U142" s="59">
        <f>IF(D142=0,0,SUM($L$21:L142))</f>
        <v>25541072.835925732</v>
      </c>
      <c r="V142" s="59">
        <f>IF(D142=0,0,SUM($J$21:J142))</f>
        <v>26094300</v>
      </c>
      <c r="W142" s="66">
        <f t="shared" si="33"/>
        <v>553227.16407426819</v>
      </c>
      <c r="X142" s="67">
        <f t="shared" si="40"/>
        <v>1.0216602946801869</v>
      </c>
      <c r="Y142" s="68">
        <f t="shared" si="46"/>
        <v>45779</v>
      </c>
      <c r="Z142" s="69">
        <f t="shared" si="46"/>
        <v>45779</v>
      </c>
      <c r="AA142" s="1"/>
      <c r="AB142" s="1"/>
      <c r="AC142" s="1"/>
      <c r="AD142" s="1"/>
      <c r="AE142" s="1"/>
      <c r="AF142" s="1"/>
      <c r="AG142" s="1"/>
    </row>
    <row r="143" spans="1:33" ht="20">
      <c r="A143" s="1"/>
      <c r="B143" s="11"/>
      <c r="C143" s="50">
        <v>123</v>
      </c>
      <c r="D143" s="51">
        <v>0</v>
      </c>
      <c r="E143" s="52">
        <f t="shared" si="35"/>
        <v>5</v>
      </c>
      <c r="F143" s="53">
        <f t="shared" si="36"/>
        <v>45780</v>
      </c>
      <c r="G143" s="54" t="str">
        <f t="shared" si="37"/>
        <v>Sat</v>
      </c>
      <c r="H143" s="55"/>
      <c r="I143" s="56"/>
      <c r="J143" s="82"/>
      <c r="K143" s="83"/>
      <c r="L143" s="59">
        <f t="shared" si="38"/>
        <v>0</v>
      </c>
      <c r="M143" s="60">
        <f t="shared" si="31"/>
        <v>0</v>
      </c>
      <c r="N143" s="61" t="str">
        <f t="shared" si="9"/>
        <v>¥0</v>
      </c>
      <c r="O143" s="81"/>
      <c r="P143" s="59">
        <f>IF(D143=0,0,SUM($L$141:L143))</f>
        <v>0</v>
      </c>
      <c r="Q143" s="59">
        <f>IF(D143=0,0,SUM($J$141:J143))</f>
        <v>0</v>
      </c>
      <c r="R143" s="63">
        <f t="shared" si="32"/>
        <v>0</v>
      </c>
      <c r="S143" s="64">
        <f t="shared" si="39"/>
        <v>0</v>
      </c>
      <c r="T143" s="78"/>
      <c r="U143" s="59">
        <f>IF(D143=0,0,SUM($L$21:L143))</f>
        <v>0</v>
      </c>
      <c r="V143" s="59">
        <f>IF(D143=0,0,SUM($J$21:J143))</f>
        <v>0</v>
      </c>
      <c r="W143" s="66">
        <f t="shared" si="33"/>
        <v>0</v>
      </c>
      <c r="X143" s="67">
        <f t="shared" si="40"/>
        <v>0</v>
      </c>
      <c r="Y143" s="68">
        <f t="shared" si="46"/>
        <v>45780</v>
      </c>
      <c r="Z143" s="69">
        <f t="shared" si="46"/>
        <v>45780</v>
      </c>
      <c r="AA143" s="1"/>
      <c r="AB143" s="1"/>
      <c r="AC143" s="1"/>
      <c r="AD143" s="1"/>
      <c r="AE143" s="1"/>
      <c r="AF143" s="1"/>
      <c r="AG143" s="1"/>
    </row>
    <row r="144" spans="1:33" ht="20">
      <c r="A144" s="1"/>
      <c r="B144" s="11"/>
      <c r="C144" s="50">
        <v>124</v>
      </c>
      <c r="D144" s="51">
        <v>0</v>
      </c>
      <c r="E144" s="52">
        <f t="shared" si="35"/>
        <v>5</v>
      </c>
      <c r="F144" s="53">
        <f t="shared" si="36"/>
        <v>45781</v>
      </c>
      <c r="G144" s="54" t="str">
        <f t="shared" si="37"/>
        <v>Sun</v>
      </c>
      <c r="H144" s="55"/>
      <c r="I144" s="56"/>
      <c r="J144" s="82"/>
      <c r="K144" s="83"/>
      <c r="L144" s="59">
        <f t="shared" si="38"/>
        <v>0</v>
      </c>
      <c r="M144" s="60">
        <f t="shared" si="31"/>
        <v>0</v>
      </c>
      <c r="N144" s="61" t="str">
        <f t="shared" si="9"/>
        <v>¥0</v>
      </c>
      <c r="O144" s="81"/>
      <c r="P144" s="59">
        <f>IF(D144=0,0,SUM($L$141:L144))</f>
        <v>0</v>
      </c>
      <c r="Q144" s="59">
        <f>IF(D144=0,0,SUM($J$141:J144))</f>
        <v>0</v>
      </c>
      <c r="R144" s="63">
        <f t="shared" si="32"/>
        <v>0</v>
      </c>
      <c r="S144" s="64">
        <f t="shared" si="39"/>
        <v>0</v>
      </c>
      <c r="T144" s="78"/>
      <c r="U144" s="59">
        <f>IF(D144=0,0,SUM($L$21:L144))</f>
        <v>0</v>
      </c>
      <c r="V144" s="59">
        <f>IF(D144=0,0,SUM($J$21:J144))</f>
        <v>0</v>
      </c>
      <c r="W144" s="66">
        <f t="shared" si="33"/>
        <v>0</v>
      </c>
      <c r="X144" s="67">
        <f t="shared" si="40"/>
        <v>0</v>
      </c>
      <c r="Y144" s="68">
        <f t="shared" si="46"/>
        <v>45781</v>
      </c>
      <c r="Z144" s="69">
        <f t="shared" si="46"/>
        <v>45781</v>
      </c>
      <c r="AA144" s="1"/>
      <c r="AB144" s="1"/>
      <c r="AC144" s="1"/>
      <c r="AD144" s="1"/>
      <c r="AE144" s="1"/>
      <c r="AF144" s="1"/>
      <c r="AG144" s="1"/>
    </row>
    <row r="145" spans="1:33" ht="20">
      <c r="A145" s="1"/>
      <c r="B145" s="11"/>
      <c r="C145" s="50">
        <v>125</v>
      </c>
      <c r="D145" s="51">
        <v>0</v>
      </c>
      <c r="E145" s="52">
        <f t="shared" si="35"/>
        <v>5</v>
      </c>
      <c r="F145" s="53">
        <f t="shared" si="36"/>
        <v>45782</v>
      </c>
      <c r="G145" s="54" t="str">
        <f t="shared" si="37"/>
        <v>Mon</v>
      </c>
      <c r="H145" s="55"/>
      <c r="I145" s="56"/>
      <c r="J145" s="82"/>
      <c r="K145" s="83"/>
      <c r="L145" s="59">
        <f t="shared" si="38"/>
        <v>0</v>
      </c>
      <c r="M145" s="60">
        <f t="shared" si="31"/>
        <v>0</v>
      </c>
      <c r="N145" s="61" t="str">
        <f t="shared" si="9"/>
        <v>¥0</v>
      </c>
      <c r="O145" s="81"/>
      <c r="P145" s="59">
        <f>IF(D145=0,0,SUM($L$141:L145))</f>
        <v>0</v>
      </c>
      <c r="Q145" s="59">
        <f>IF(D145=0,0,SUM($J$141:J145))</f>
        <v>0</v>
      </c>
      <c r="R145" s="63">
        <f t="shared" si="32"/>
        <v>0</v>
      </c>
      <c r="S145" s="64">
        <f t="shared" si="39"/>
        <v>0</v>
      </c>
      <c r="T145" s="78"/>
      <c r="U145" s="59">
        <f>IF(D145=0,0,SUM($L$21:L145))</f>
        <v>0</v>
      </c>
      <c r="V145" s="59">
        <f>IF(D145=0,0,SUM($J$21:J145))</f>
        <v>0</v>
      </c>
      <c r="W145" s="66">
        <f t="shared" si="33"/>
        <v>0</v>
      </c>
      <c r="X145" s="67">
        <f t="shared" si="40"/>
        <v>0</v>
      </c>
      <c r="Y145" s="68">
        <f t="shared" si="46"/>
        <v>45782</v>
      </c>
      <c r="Z145" s="69">
        <f t="shared" si="46"/>
        <v>45782</v>
      </c>
      <c r="AA145" s="1"/>
      <c r="AB145" s="1"/>
      <c r="AC145" s="1"/>
      <c r="AD145" s="1"/>
      <c r="AE145" s="1"/>
      <c r="AF145" s="1"/>
      <c r="AG145" s="1"/>
    </row>
    <row r="146" spans="1:33" ht="20">
      <c r="A146" s="1"/>
      <c r="B146" s="11"/>
      <c r="C146" s="50">
        <v>126</v>
      </c>
      <c r="D146" s="51">
        <v>0</v>
      </c>
      <c r="E146" s="52">
        <f t="shared" si="35"/>
        <v>5</v>
      </c>
      <c r="F146" s="53">
        <f t="shared" si="36"/>
        <v>45783</v>
      </c>
      <c r="G146" s="54" t="str">
        <f t="shared" si="37"/>
        <v>Tue</v>
      </c>
      <c r="H146" s="55"/>
      <c r="I146" s="56"/>
      <c r="J146" s="82"/>
      <c r="K146" s="83"/>
      <c r="L146" s="59">
        <f t="shared" si="38"/>
        <v>0</v>
      </c>
      <c r="M146" s="60">
        <f t="shared" si="31"/>
        <v>0</v>
      </c>
      <c r="N146" s="61" t="str">
        <f t="shared" si="9"/>
        <v>¥0</v>
      </c>
      <c r="O146" s="81"/>
      <c r="P146" s="59">
        <f>IF(D146=0,0,SUM($L$141:L146))</f>
        <v>0</v>
      </c>
      <c r="Q146" s="59">
        <f>IF(D146=0,0,SUM($J$141:J146))</f>
        <v>0</v>
      </c>
      <c r="R146" s="63">
        <f t="shared" si="32"/>
        <v>0</v>
      </c>
      <c r="S146" s="64">
        <f t="shared" si="39"/>
        <v>0</v>
      </c>
      <c r="T146" s="78"/>
      <c r="U146" s="59">
        <f>IF(D146=0,0,SUM($L$21:L146))</f>
        <v>0</v>
      </c>
      <c r="V146" s="59">
        <f>IF(D146=0,0,SUM($J$21:J146))</f>
        <v>0</v>
      </c>
      <c r="W146" s="66">
        <f t="shared" si="33"/>
        <v>0</v>
      </c>
      <c r="X146" s="67">
        <f t="shared" si="40"/>
        <v>0</v>
      </c>
      <c r="Y146" s="68">
        <f t="shared" si="46"/>
        <v>45783</v>
      </c>
      <c r="Z146" s="69">
        <f t="shared" si="46"/>
        <v>45783</v>
      </c>
      <c r="AA146" s="1"/>
      <c r="AB146" s="1"/>
      <c r="AC146" s="1"/>
      <c r="AD146" s="1"/>
      <c r="AE146" s="1"/>
      <c r="AF146" s="1"/>
      <c r="AG146" s="1"/>
    </row>
    <row r="147" spans="1:33" ht="20">
      <c r="A147" s="1"/>
      <c r="B147" s="11"/>
      <c r="C147" s="50">
        <v>127</v>
      </c>
      <c r="D147" s="51">
        <v>1</v>
      </c>
      <c r="E147" s="52">
        <f t="shared" si="35"/>
        <v>5</v>
      </c>
      <c r="F147" s="53">
        <f t="shared" si="36"/>
        <v>45784</v>
      </c>
      <c r="G147" s="54" t="str">
        <f t="shared" si="37"/>
        <v>Wed</v>
      </c>
      <c r="H147" s="55"/>
      <c r="I147" s="56"/>
      <c r="J147" s="82">
        <v>211480</v>
      </c>
      <c r="K147" s="83"/>
      <c r="L147" s="59">
        <f t="shared" si="38"/>
        <v>379546.96790947282</v>
      </c>
      <c r="M147" s="60">
        <f t="shared" si="31"/>
        <v>-168066.96790947282</v>
      </c>
      <c r="N147" s="61">
        <f t="shared" si="9"/>
        <v>0.55719059268164384</v>
      </c>
      <c r="O147" s="80"/>
      <c r="P147" s="59">
        <f>IF(D147=0,0,SUM($L$141:L147))</f>
        <v>853251.382782578</v>
      </c>
      <c r="Q147" s="59">
        <f>IF(D147=0,0,SUM($J$141:J147))</f>
        <v>508250</v>
      </c>
      <c r="R147" s="63">
        <f t="shared" si="32"/>
        <v>-345001.382782578</v>
      </c>
      <c r="S147" s="64">
        <f t="shared" si="39"/>
        <v>0.59566267369239079</v>
      </c>
      <c r="T147" s="73"/>
      <c r="U147" s="59">
        <f>IF(D147=0,0,SUM($L$21:L147))</f>
        <v>25920619.803835206</v>
      </c>
      <c r="V147" s="59">
        <f>IF(D147=0,0,SUM($J$21:J147))</f>
        <v>26305780</v>
      </c>
      <c r="W147" s="66">
        <f t="shared" si="33"/>
        <v>385160.19616479427</v>
      </c>
      <c r="X147" s="67">
        <f t="shared" si="40"/>
        <v>1.0148592201528994</v>
      </c>
      <c r="Y147" s="68">
        <f t="shared" si="46"/>
        <v>45784</v>
      </c>
      <c r="Z147" s="69">
        <f t="shared" si="46"/>
        <v>45784</v>
      </c>
      <c r="AA147" s="1"/>
      <c r="AB147" s="1"/>
      <c r="AC147" s="1"/>
      <c r="AD147" s="1"/>
      <c r="AE147" s="1"/>
      <c r="AF147" s="1"/>
      <c r="AG147" s="1"/>
    </row>
    <row r="148" spans="1:33" ht="20">
      <c r="A148" s="1"/>
      <c r="B148" s="11"/>
      <c r="C148" s="50">
        <v>128</v>
      </c>
      <c r="D148" s="51">
        <v>1</v>
      </c>
      <c r="E148" s="52">
        <f t="shared" si="35"/>
        <v>5</v>
      </c>
      <c r="F148" s="53">
        <f t="shared" si="36"/>
        <v>45785</v>
      </c>
      <c r="G148" s="54" t="str">
        <f t="shared" si="37"/>
        <v>Thu</v>
      </c>
      <c r="H148" s="55"/>
      <c r="I148" s="56"/>
      <c r="J148" s="82">
        <v>274550</v>
      </c>
      <c r="K148" s="83"/>
      <c r="L148" s="59">
        <f t="shared" si="38"/>
        <v>208647.35729715382</v>
      </c>
      <c r="M148" s="60">
        <f t="shared" si="31"/>
        <v>65902.642702846177</v>
      </c>
      <c r="N148" s="61">
        <f t="shared" si="9"/>
        <v>1.3158565895900047</v>
      </c>
      <c r="O148" s="80"/>
      <c r="P148" s="59">
        <f>IF(D148=0,0,SUM($L$141:L148))</f>
        <v>1061898.7400797319</v>
      </c>
      <c r="Q148" s="59">
        <f>IF(D148=0,0,SUM($J$141:J148))</f>
        <v>782800</v>
      </c>
      <c r="R148" s="63">
        <f t="shared" si="32"/>
        <v>-279098.74007973191</v>
      </c>
      <c r="S148" s="64">
        <f t="shared" si="39"/>
        <v>0.73717009960970858</v>
      </c>
      <c r="T148" s="73"/>
      <c r="U148" s="59">
        <f>IF(D148=0,0,SUM($L$21:L148))</f>
        <v>26129267.161132358</v>
      </c>
      <c r="V148" s="59">
        <f>IF(D148=0,0,SUM($J$21:J148))</f>
        <v>26580330</v>
      </c>
      <c r="W148" s="66">
        <f t="shared" si="33"/>
        <v>451062.83886764199</v>
      </c>
      <c r="X148" s="67">
        <f t="shared" si="40"/>
        <v>1.017262743577386</v>
      </c>
      <c r="Y148" s="68">
        <f t="shared" si="46"/>
        <v>45785</v>
      </c>
      <c r="Z148" s="69">
        <f t="shared" si="46"/>
        <v>45785</v>
      </c>
      <c r="AA148" s="1"/>
      <c r="AB148" s="1"/>
      <c r="AC148" s="1"/>
      <c r="AD148" s="1"/>
      <c r="AE148" s="1"/>
      <c r="AF148" s="1"/>
      <c r="AG148" s="1"/>
    </row>
    <row r="149" spans="1:33" ht="20">
      <c r="A149" s="1"/>
      <c r="B149" s="11"/>
      <c r="C149" s="50">
        <v>129</v>
      </c>
      <c r="D149" s="51">
        <v>1</v>
      </c>
      <c r="E149" s="52">
        <f t="shared" si="35"/>
        <v>5</v>
      </c>
      <c r="F149" s="53">
        <f t="shared" si="36"/>
        <v>45786</v>
      </c>
      <c r="G149" s="54" t="str">
        <f t="shared" si="37"/>
        <v>Fri</v>
      </c>
      <c r="H149" s="55"/>
      <c r="I149" s="56"/>
      <c r="J149" s="82">
        <v>292800</v>
      </c>
      <c r="K149" s="83"/>
      <c r="L149" s="59">
        <f t="shared" si="38"/>
        <v>265057.05757595133</v>
      </c>
      <c r="M149" s="60">
        <f t="shared" ref="M149:M169" si="47">IF(D149=0,0,J149-L149)</f>
        <v>27742.94242404867</v>
      </c>
      <c r="N149" s="61">
        <f t="shared" si="9"/>
        <v>1.1046678125750302</v>
      </c>
      <c r="O149" s="80"/>
      <c r="P149" s="59">
        <f>IF(D149=0,0,SUM($L$141:L149))</f>
        <v>1326955.7976556832</v>
      </c>
      <c r="Q149" s="59">
        <f>IF(D149=0,0,SUM($J$141:J149))</f>
        <v>1075600</v>
      </c>
      <c r="R149" s="63">
        <f t="shared" ref="R149:R212" si="48">IF(D149=0,0,Q149-P149)</f>
        <v>-251355.79765568324</v>
      </c>
      <c r="S149" s="64">
        <f t="shared" si="39"/>
        <v>0.81057711334488269</v>
      </c>
      <c r="T149" s="73"/>
      <c r="U149" s="59">
        <f>IF(D149=0,0,SUM($L$21:L149))</f>
        <v>26394324.21870831</v>
      </c>
      <c r="V149" s="59">
        <f>IF(D149=0,0,SUM($J$21:J149))</f>
        <v>26873130</v>
      </c>
      <c r="W149" s="66">
        <f t="shared" ref="W149:W212" si="49">IF(D149=0,0,V149-U149)</f>
        <v>478805.78129168972</v>
      </c>
      <c r="X149" s="67">
        <f t="shared" si="40"/>
        <v>1.0181404826781779</v>
      </c>
      <c r="Y149" s="68">
        <f t="shared" si="46"/>
        <v>45786</v>
      </c>
      <c r="Z149" s="69">
        <f t="shared" si="46"/>
        <v>45786</v>
      </c>
      <c r="AA149" s="1"/>
      <c r="AB149" s="1"/>
      <c r="AC149" s="1"/>
      <c r="AD149" s="1"/>
      <c r="AE149" s="1"/>
      <c r="AF149" s="1"/>
      <c r="AG149" s="1"/>
    </row>
    <row r="150" spans="1:33" ht="20">
      <c r="A150" s="1"/>
      <c r="B150" s="11"/>
      <c r="C150" s="50">
        <v>130</v>
      </c>
      <c r="D150" s="51">
        <v>1</v>
      </c>
      <c r="E150" s="52">
        <f t="shared" ref="E150:E213" si="50">MONTH(Y150)</f>
        <v>5</v>
      </c>
      <c r="F150" s="53">
        <f t="shared" ref="F150:F213" si="51">F149+1</f>
        <v>45787</v>
      </c>
      <c r="G150" s="54" t="str">
        <f t="shared" ref="G150:G169" si="52">TEXT(Z150,"ddd")</f>
        <v>Sat</v>
      </c>
      <c r="H150" s="55"/>
      <c r="I150" s="56"/>
      <c r="J150" s="82">
        <v>176980</v>
      </c>
      <c r="K150" s="83"/>
      <c r="L150" s="59">
        <f t="shared" ref="L150:L213" si="53">IF(D150=0,0,IFERROR(SUMIFS($AE$21:$AE$104,$AA$21:$AA$104,$E150,$AB$21:$AB$104,$G150),0))</f>
        <v>98247.462611363837</v>
      </c>
      <c r="M150" s="60">
        <f t="shared" si="47"/>
        <v>78732.537388636163</v>
      </c>
      <c r="N150" s="61">
        <f t="shared" si="9"/>
        <v>1.8013696770987093</v>
      </c>
      <c r="O150" s="80"/>
      <c r="P150" s="59">
        <f>IF(D150=0,0,SUM($L$141:L150))</f>
        <v>1425203.260267047</v>
      </c>
      <c r="Q150" s="59">
        <f>IF(D150=0,0,SUM($J$141:J150))</f>
        <v>1252580</v>
      </c>
      <c r="R150" s="63">
        <f t="shared" si="48"/>
        <v>-172623.26026704698</v>
      </c>
      <c r="S150" s="64">
        <f t="shared" ref="S150:S213" si="54">IF(D150=0,0,Q150/P150)</f>
        <v>0.87887814666190023</v>
      </c>
      <c r="T150" s="73"/>
      <c r="U150" s="59">
        <f>IF(D150=0,0,SUM($L$21:L150))</f>
        <v>26492571.681319673</v>
      </c>
      <c r="V150" s="59">
        <f>IF(D150=0,0,SUM($J$21:J150))</f>
        <v>27050110</v>
      </c>
      <c r="W150" s="66">
        <f t="shared" si="49"/>
        <v>557538.31868032739</v>
      </c>
      <c r="X150" s="67">
        <f t="shared" ref="X150:X213" si="55">IF(D150=0,0,V150/U150)</f>
        <v>1.0210450810660052</v>
      </c>
      <c r="Y150" s="68">
        <f t="shared" si="46"/>
        <v>45787</v>
      </c>
      <c r="Z150" s="69">
        <f t="shared" si="46"/>
        <v>45787</v>
      </c>
      <c r="AA150" s="1"/>
      <c r="AB150" s="1"/>
      <c r="AC150" s="1"/>
      <c r="AD150" s="1"/>
      <c r="AE150" s="1"/>
      <c r="AF150" s="1"/>
      <c r="AG150" s="1"/>
    </row>
    <row r="151" spans="1:33" ht="20">
      <c r="A151" s="1"/>
      <c r="B151" s="11"/>
      <c r="C151" s="50">
        <v>131</v>
      </c>
      <c r="D151" s="51">
        <v>0</v>
      </c>
      <c r="E151" s="52">
        <f t="shared" si="50"/>
        <v>5</v>
      </c>
      <c r="F151" s="53">
        <f t="shared" si="51"/>
        <v>45788</v>
      </c>
      <c r="G151" s="54" t="str">
        <f t="shared" si="52"/>
        <v>Sun</v>
      </c>
      <c r="H151" s="55"/>
      <c r="I151" s="56"/>
      <c r="J151" s="82"/>
      <c r="K151" s="83"/>
      <c r="L151" s="59">
        <f t="shared" si="53"/>
        <v>0</v>
      </c>
      <c r="M151" s="60">
        <f t="shared" si="47"/>
        <v>0</v>
      </c>
      <c r="N151" s="61" t="str">
        <f t="shared" si="9"/>
        <v>¥0</v>
      </c>
      <c r="O151" s="81"/>
      <c r="P151" s="59">
        <f>IF(D151=0,0,SUM($L$141:L151))</f>
        <v>0</v>
      </c>
      <c r="Q151" s="59">
        <f>IF(D151=0,0,SUM($J$141:J151))</f>
        <v>0</v>
      </c>
      <c r="R151" s="63">
        <f t="shared" si="48"/>
        <v>0</v>
      </c>
      <c r="S151" s="64">
        <f t="shared" si="54"/>
        <v>0</v>
      </c>
      <c r="T151" s="78"/>
      <c r="U151" s="59">
        <f>IF(D151=0,0,SUM($L$21:L151))</f>
        <v>0</v>
      </c>
      <c r="V151" s="59">
        <f>IF(D151=0,0,SUM($J$21:J151))</f>
        <v>0</v>
      </c>
      <c r="W151" s="66">
        <f t="shared" si="49"/>
        <v>0</v>
      </c>
      <c r="X151" s="67">
        <f t="shared" si="55"/>
        <v>0</v>
      </c>
      <c r="Y151" s="68">
        <f t="shared" ref="Y151:Z166" si="56">Y150+1</f>
        <v>45788</v>
      </c>
      <c r="Z151" s="69">
        <f t="shared" si="56"/>
        <v>45788</v>
      </c>
      <c r="AA151" s="1"/>
      <c r="AB151" s="1"/>
      <c r="AC151" s="1"/>
      <c r="AD151" s="1"/>
      <c r="AE151" s="1"/>
      <c r="AF151" s="1"/>
      <c r="AG151" s="1"/>
    </row>
    <row r="152" spans="1:33" ht="20">
      <c r="A152" s="1"/>
      <c r="B152" s="11"/>
      <c r="C152" s="50">
        <v>132</v>
      </c>
      <c r="D152" s="51">
        <v>1</v>
      </c>
      <c r="E152" s="52">
        <f t="shared" si="50"/>
        <v>5</v>
      </c>
      <c r="F152" s="53">
        <f t="shared" si="51"/>
        <v>45789</v>
      </c>
      <c r="G152" s="54" t="str">
        <f t="shared" si="52"/>
        <v>Mon</v>
      </c>
      <c r="H152" s="55"/>
      <c r="I152" s="56"/>
      <c r="J152" s="82">
        <v>111890</v>
      </c>
      <c r="K152" s="83"/>
      <c r="L152" s="59">
        <f t="shared" si="53"/>
        <v>225867.87796220757</v>
      </c>
      <c r="M152" s="60">
        <f t="shared" si="47"/>
        <v>-113977.87796220757</v>
      </c>
      <c r="N152" s="61">
        <f t="shared" si="9"/>
        <v>0.49537809895536161</v>
      </c>
      <c r="O152" s="80"/>
      <c r="P152" s="59">
        <f>IF(D152=0,0,SUM($L$141:L152))</f>
        <v>1651071.1382292546</v>
      </c>
      <c r="Q152" s="59">
        <f>IF(D152=0,0,SUM($J$141:J152))</f>
        <v>1364470</v>
      </c>
      <c r="R152" s="63">
        <f t="shared" si="48"/>
        <v>-286601.13822925463</v>
      </c>
      <c r="S152" s="64">
        <f t="shared" si="54"/>
        <v>0.8264150274368981</v>
      </c>
      <c r="T152" s="73"/>
      <c r="U152" s="59">
        <f>IF(D152=0,0,SUM($L$21:L152))</f>
        <v>26718439.559281882</v>
      </c>
      <c r="V152" s="59">
        <f>IF(D152=0,0,SUM($J$21:J152))</f>
        <v>27162000</v>
      </c>
      <c r="W152" s="66">
        <f t="shared" si="49"/>
        <v>443560.4407181181</v>
      </c>
      <c r="X152" s="67">
        <f t="shared" si="55"/>
        <v>1.0166012854056825</v>
      </c>
      <c r="Y152" s="68">
        <f t="shared" si="56"/>
        <v>45789</v>
      </c>
      <c r="Z152" s="69">
        <f t="shared" si="56"/>
        <v>45789</v>
      </c>
      <c r="AA152" s="1"/>
      <c r="AB152" s="1"/>
      <c r="AC152" s="1"/>
      <c r="AD152" s="1"/>
      <c r="AE152" s="1"/>
      <c r="AF152" s="1"/>
      <c r="AG152" s="1"/>
    </row>
    <row r="153" spans="1:33" ht="20">
      <c r="A153" s="1"/>
      <c r="B153" s="11"/>
      <c r="C153" s="50">
        <v>133</v>
      </c>
      <c r="D153" s="51">
        <v>1</v>
      </c>
      <c r="E153" s="52">
        <f t="shared" si="50"/>
        <v>5</v>
      </c>
      <c r="F153" s="53">
        <f t="shared" si="51"/>
        <v>45790</v>
      </c>
      <c r="G153" s="54" t="str">
        <f t="shared" si="52"/>
        <v>Tue</v>
      </c>
      <c r="H153" s="55"/>
      <c r="I153" s="56"/>
      <c r="J153" s="82">
        <v>219520</v>
      </c>
      <c r="K153" s="83"/>
      <c r="L153" s="59">
        <f t="shared" si="53"/>
        <v>292828.68111623841</v>
      </c>
      <c r="M153" s="60">
        <f t="shared" si="47"/>
        <v>-73308.681116238411</v>
      </c>
      <c r="N153" s="61">
        <f t="shared" si="9"/>
        <v>0.74965334393887972</v>
      </c>
      <c r="O153" s="80"/>
      <c r="P153" s="59">
        <f>IF(D153=0,0,SUM($L$141:L153))</f>
        <v>1943899.8193454931</v>
      </c>
      <c r="Q153" s="59">
        <f>IF(D153=0,0,SUM($J$141:J153))</f>
        <v>1583990</v>
      </c>
      <c r="R153" s="63">
        <f t="shared" si="48"/>
        <v>-359909.8193454931</v>
      </c>
      <c r="S153" s="64">
        <f t="shared" si="54"/>
        <v>0.81485166274326115</v>
      </c>
      <c r="T153" s="73"/>
      <c r="U153" s="59">
        <f>IF(D153=0,0,SUM($L$21:L153))</f>
        <v>27011268.24039812</v>
      </c>
      <c r="V153" s="59">
        <f>IF(D153=0,0,SUM($J$21:J153))</f>
        <v>27381520</v>
      </c>
      <c r="W153" s="66">
        <f t="shared" si="49"/>
        <v>370251.75960187986</v>
      </c>
      <c r="X153" s="67">
        <f t="shared" si="55"/>
        <v>1.0137073074950302</v>
      </c>
      <c r="Y153" s="68">
        <f t="shared" si="56"/>
        <v>45790</v>
      </c>
      <c r="Z153" s="69">
        <f t="shared" si="56"/>
        <v>45790</v>
      </c>
      <c r="AA153" s="1"/>
      <c r="AB153" s="1"/>
      <c r="AC153" s="1"/>
      <c r="AD153" s="1"/>
      <c r="AE153" s="1"/>
      <c r="AF153" s="1"/>
      <c r="AG153" s="1"/>
    </row>
    <row r="154" spans="1:33" ht="20">
      <c r="A154" s="1"/>
      <c r="B154" s="11"/>
      <c r="C154" s="50">
        <v>134</v>
      </c>
      <c r="D154" s="51">
        <v>1</v>
      </c>
      <c r="E154" s="52">
        <f t="shared" si="50"/>
        <v>5</v>
      </c>
      <c r="F154" s="53">
        <f t="shared" si="51"/>
        <v>45791</v>
      </c>
      <c r="G154" s="54" t="str">
        <f t="shared" si="52"/>
        <v>Wed</v>
      </c>
      <c r="H154" s="55"/>
      <c r="I154" s="56"/>
      <c r="J154" s="82">
        <v>310450</v>
      </c>
      <c r="K154" s="83"/>
      <c r="L154" s="59">
        <f t="shared" si="53"/>
        <v>379546.96790947282</v>
      </c>
      <c r="M154" s="60">
        <f t="shared" si="47"/>
        <v>-69096.96790947282</v>
      </c>
      <c r="N154" s="61">
        <f t="shared" si="9"/>
        <v>0.81794883439576471</v>
      </c>
      <c r="O154" s="80"/>
      <c r="P154" s="59">
        <f>IF(D154=0,0,SUM($L$141:L154))</f>
        <v>2323446.7872549659</v>
      </c>
      <c r="Q154" s="59">
        <f>IF(D154=0,0,SUM($J$141:J154))</f>
        <v>1894440</v>
      </c>
      <c r="R154" s="63">
        <f t="shared" si="48"/>
        <v>-429006.78725496586</v>
      </c>
      <c r="S154" s="64">
        <f t="shared" si="54"/>
        <v>0.8153576016424221</v>
      </c>
      <c r="T154" s="73"/>
      <c r="U154" s="59">
        <f>IF(D154=0,0,SUM($L$21:L154))</f>
        <v>27390815.208307594</v>
      </c>
      <c r="V154" s="59">
        <f>IF(D154=0,0,SUM($J$21:J154))</f>
        <v>27691970</v>
      </c>
      <c r="W154" s="66">
        <f t="shared" si="49"/>
        <v>301154.79169240594</v>
      </c>
      <c r="X154" s="67">
        <f t="shared" si="55"/>
        <v>1.010994736352391</v>
      </c>
      <c r="Y154" s="68">
        <f t="shared" si="56"/>
        <v>45791</v>
      </c>
      <c r="Z154" s="69">
        <f t="shared" si="56"/>
        <v>45791</v>
      </c>
      <c r="AA154" s="1"/>
      <c r="AB154" s="1"/>
      <c r="AC154" s="1"/>
      <c r="AD154" s="1"/>
      <c r="AE154" s="1"/>
      <c r="AF154" s="1"/>
      <c r="AG154" s="1"/>
    </row>
    <row r="155" spans="1:33" ht="20">
      <c r="A155" s="1"/>
      <c r="B155" s="11"/>
      <c r="C155" s="50">
        <v>135</v>
      </c>
      <c r="D155" s="51">
        <v>1</v>
      </c>
      <c r="E155" s="52">
        <f t="shared" si="50"/>
        <v>5</v>
      </c>
      <c r="F155" s="53">
        <f t="shared" si="51"/>
        <v>45792</v>
      </c>
      <c r="G155" s="54" t="str">
        <f t="shared" si="52"/>
        <v>Thu</v>
      </c>
      <c r="H155" s="55"/>
      <c r="I155" s="56"/>
      <c r="J155" s="82">
        <v>238200</v>
      </c>
      <c r="K155" s="83"/>
      <c r="L155" s="59">
        <f t="shared" si="53"/>
        <v>208647.35729715382</v>
      </c>
      <c r="M155" s="60">
        <f t="shared" si="47"/>
        <v>29552.642702846177</v>
      </c>
      <c r="N155" s="61">
        <f t="shared" si="9"/>
        <v>1.1416391900941143</v>
      </c>
      <c r="O155" s="80"/>
      <c r="P155" s="59">
        <f>IF(D155=0,0,SUM($L$141:L155))</f>
        <v>2532094.1445521195</v>
      </c>
      <c r="Q155" s="59">
        <f>IF(D155=0,0,SUM($J$141:J155))</f>
        <v>2132640</v>
      </c>
      <c r="R155" s="63">
        <f t="shared" si="48"/>
        <v>-399454.14455211954</v>
      </c>
      <c r="S155" s="64">
        <f t="shared" si="54"/>
        <v>0.84224356530678068</v>
      </c>
      <c r="T155" s="73"/>
      <c r="U155" s="59">
        <f>IF(D155=0,0,SUM($L$21:L155))</f>
        <v>27599462.565604746</v>
      </c>
      <c r="V155" s="59">
        <f>IF(D155=0,0,SUM($J$21:J155))</f>
        <v>27930170</v>
      </c>
      <c r="W155" s="66">
        <f t="shared" si="49"/>
        <v>330707.43439525366</v>
      </c>
      <c r="X155" s="67">
        <f t="shared" si="55"/>
        <v>1.0119823867442763</v>
      </c>
      <c r="Y155" s="68">
        <f t="shared" si="56"/>
        <v>45792</v>
      </c>
      <c r="Z155" s="69">
        <f t="shared" si="56"/>
        <v>45792</v>
      </c>
      <c r="AA155" s="1"/>
      <c r="AB155" s="1"/>
      <c r="AC155" s="1"/>
      <c r="AD155" s="1"/>
      <c r="AE155" s="1"/>
      <c r="AF155" s="1"/>
      <c r="AG155" s="1"/>
    </row>
    <row r="156" spans="1:33" ht="20">
      <c r="A156" s="1"/>
      <c r="B156" s="11"/>
      <c r="C156" s="50">
        <v>136</v>
      </c>
      <c r="D156" s="51">
        <v>1</v>
      </c>
      <c r="E156" s="52">
        <f t="shared" si="50"/>
        <v>5</v>
      </c>
      <c r="F156" s="53">
        <f t="shared" si="51"/>
        <v>45793</v>
      </c>
      <c r="G156" s="54" t="str">
        <f t="shared" si="52"/>
        <v>Fri</v>
      </c>
      <c r="H156" s="55"/>
      <c r="I156" s="56"/>
      <c r="J156" s="82">
        <v>328500</v>
      </c>
      <c r="K156" s="83"/>
      <c r="L156" s="59">
        <f t="shared" si="53"/>
        <v>265057.05757595133</v>
      </c>
      <c r="M156" s="60">
        <f t="shared" si="47"/>
        <v>63442.94242404867</v>
      </c>
      <c r="N156" s="61">
        <f t="shared" si="9"/>
        <v>1.2393557938213711</v>
      </c>
      <c r="O156" s="80"/>
      <c r="P156" s="59">
        <f>IF(D156=0,0,SUM($L$141:L156))</f>
        <v>2797151.2021280709</v>
      </c>
      <c r="Q156" s="59">
        <f>IF(D156=0,0,SUM($J$141:J156))</f>
        <v>2461140</v>
      </c>
      <c r="R156" s="63">
        <f t="shared" si="48"/>
        <v>-336011.20212807087</v>
      </c>
      <c r="S156" s="64">
        <f t="shared" si="54"/>
        <v>0.87987377948234125</v>
      </c>
      <c r="T156" s="73"/>
      <c r="U156" s="59">
        <f>IF(D156=0,0,SUM($L$21:L156))</f>
        <v>27864519.623180699</v>
      </c>
      <c r="V156" s="59">
        <f>IF(D156=0,0,SUM($J$21:J156))</f>
        <v>28258670</v>
      </c>
      <c r="W156" s="66">
        <f t="shared" si="49"/>
        <v>394150.3768193014</v>
      </c>
      <c r="X156" s="67">
        <f t="shared" si="55"/>
        <v>1.0141452421268875</v>
      </c>
      <c r="Y156" s="68">
        <f t="shared" si="56"/>
        <v>45793</v>
      </c>
      <c r="Z156" s="69">
        <f t="shared" si="56"/>
        <v>45793</v>
      </c>
      <c r="AA156" s="1"/>
      <c r="AB156" s="1"/>
      <c r="AC156" s="1"/>
      <c r="AD156" s="1"/>
      <c r="AE156" s="1"/>
      <c r="AF156" s="1"/>
      <c r="AG156" s="1"/>
    </row>
    <row r="157" spans="1:33" ht="20">
      <c r="A157" s="1"/>
      <c r="B157" s="11"/>
      <c r="C157" s="50">
        <v>137</v>
      </c>
      <c r="D157" s="51">
        <v>1</v>
      </c>
      <c r="E157" s="52">
        <f t="shared" si="50"/>
        <v>5</v>
      </c>
      <c r="F157" s="53">
        <f t="shared" si="51"/>
        <v>45794</v>
      </c>
      <c r="G157" s="54" t="str">
        <f t="shared" si="52"/>
        <v>Sat</v>
      </c>
      <c r="H157" s="55"/>
      <c r="I157" s="56"/>
      <c r="J157" s="82">
        <v>182350</v>
      </c>
      <c r="K157" s="83"/>
      <c r="L157" s="59">
        <f t="shared" si="53"/>
        <v>98247.462611363837</v>
      </c>
      <c r="M157" s="60">
        <f t="shared" si="47"/>
        <v>84102.537388636163</v>
      </c>
      <c r="N157" s="61">
        <f t="shared" si="9"/>
        <v>1.8560275772344315</v>
      </c>
      <c r="O157" s="80"/>
      <c r="P157" s="59">
        <f>IF(D157=0,0,SUM($L$141:L157))</f>
        <v>2895398.6647394346</v>
      </c>
      <c r="Q157" s="59">
        <f>IF(D157=0,0,SUM($J$141:J157))</f>
        <v>2643490</v>
      </c>
      <c r="R157" s="63">
        <f t="shared" si="48"/>
        <v>-251908.66473943461</v>
      </c>
      <c r="S157" s="64">
        <f t="shared" si="54"/>
        <v>0.91299689821397889</v>
      </c>
      <c r="T157" s="73"/>
      <c r="U157" s="59">
        <f>IF(D157=0,0,SUM($L$21:L157))</f>
        <v>27962767.085792061</v>
      </c>
      <c r="V157" s="59">
        <f>IF(D157=0,0,SUM($J$21:J157))</f>
        <v>28441020</v>
      </c>
      <c r="W157" s="66">
        <f t="shared" si="49"/>
        <v>478252.91420793906</v>
      </c>
      <c r="X157" s="67">
        <f t="shared" si="55"/>
        <v>1.017103204155033</v>
      </c>
      <c r="Y157" s="68">
        <f t="shared" si="56"/>
        <v>45794</v>
      </c>
      <c r="Z157" s="69">
        <f t="shared" si="56"/>
        <v>45794</v>
      </c>
      <c r="AA157" s="1"/>
      <c r="AB157" s="1"/>
      <c r="AC157" s="1"/>
      <c r="AD157" s="1"/>
      <c r="AE157" s="1"/>
      <c r="AF157" s="1"/>
      <c r="AG157" s="1"/>
    </row>
    <row r="158" spans="1:33" ht="20">
      <c r="A158" s="1"/>
      <c r="B158" s="11"/>
      <c r="C158" s="50">
        <v>138</v>
      </c>
      <c r="D158" s="51">
        <v>0</v>
      </c>
      <c r="E158" s="52">
        <f t="shared" si="50"/>
        <v>5</v>
      </c>
      <c r="F158" s="53">
        <f t="shared" si="51"/>
        <v>45795</v>
      </c>
      <c r="G158" s="54" t="str">
        <f t="shared" si="52"/>
        <v>Sun</v>
      </c>
      <c r="H158" s="55"/>
      <c r="I158" s="56"/>
      <c r="J158" s="82"/>
      <c r="K158" s="83"/>
      <c r="L158" s="59">
        <f t="shared" si="53"/>
        <v>0</v>
      </c>
      <c r="M158" s="60">
        <f t="shared" si="47"/>
        <v>0</v>
      </c>
      <c r="N158" s="61" t="str">
        <f t="shared" si="9"/>
        <v>¥0</v>
      </c>
      <c r="O158" s="81"/>
      <c r="P158" s="59">
        <f>IF(D158=0,0,SUM($L$141:L158))</f>
        <v>0</v>
      </c>
      <c r="Q158" s="59">
        <f>IF(D158=0,0,SUM($J$141:J158))</f>
        <v>0</v>
      </c>
      <c r="R158" s="63">
        <f t="shared" si="48"/>
        <v>0</v>
      </c>
      <c r="S158" s="64">
        <f t="shared" si="54"/>
        <v>0</v>
      </c>
      <c r="T158" s="78"/>
      <c r="U158" s="59">
        <f>IF(D158=0,0,SUM($L$21:L158))</f>
        <v>0</v>
      </c>
      <c r="V158" s="59">
        <f>IF(D158=0,0,SUM($J$21:J158))</f>
        <v>0</v>
      </c>
      <c r="W158" s="66">
        <f t="shared" si="49"/>
        <v>0</v>
      </c>
      <c r="X158" s="67">
        <f t="shared" si="55"/>
        <v>0</v>
      </c>
      <c r="Y158" s="68">
        <f t="shared" si="56"/>
        <v>45795</v>
      </c>
      <c r="Z158" s="69">
        <f t="shared" si="56"/>
        <v>45795</v>
      </c>
      <c r="AA158" s="1"/>
      <c r="AB158" s="1"/>
      <c r="AC158" s="1"/>
      <c r="AD158" s="1"/>
      <c r="AE158" s="1"/>
      <c r="AF158" s="1"/>
      <c r="AG158" s="1"/>
    </row>
    <row r="159" spans="1:33" ht="20">
      <c r="A159" s="1"/>
      <c r="B159" s="11"/>
      <c r="C159" s="50">
        <v>139</v>
      </c>
      <c r="D159" s="51">
        <v>1</v>
      </c>
      <c r="E159" s="52">
        <f t="shared" si="50"/>
        <v>5</v>
      </c>
      <c r="F159" s="53">
        <f t="shared" si="51"/>
        <v>45796</v>
      </c>
      <c r="G159" s="54" t="str">
        <f t="shared" si="52"/>
        <v>Mon</v>
      </c>
      <c r="H159" s="55"/>
      <c r="I159" s="56"/>
      <c r="J159" s="82">
        <v>228700</v>
      </c>
      <c r="K159" s="83"/>
      <c r="L159" s="59">
        <f t="shared" si="53"/>
        <v>225867.87796220757</v>
      </c>
      <c r="M159" s="60">
        <f t="shared" si="47"/>
        <v>2832.1220377924328</v>
      </c>
      <c r="N159" s="61">
        <f t="shared" si="9"/>
        <v>1.0125388437848888</v>
      </c>
      <c r="O159" s="80"/>
      <c r="P159" s="59">
        <f>IF(D159=0,0,SUM($L$141:L159))</f>
        <v>3121266.542701642</v>
      </c>
      <c r="Q159" s="59">
        <f>IF(D159=0,0,SUM($J$141:J159))</f>
        <v>2872190</v>
      </c>
      <c r="R159" s="63">
        <f t="shared" si="48"/>
        <v>-249076.54270164203</v>
      </c>
      <c r="S159" s="64">
        <f t="shared" si="54"/>
        <v>0.92020016897177537</v>
      </c>
      <c r="T159" s="73"/>
      <c r="U159" s="59">
        <f>IF(D159=0,0,SUM($L$21:L159))</f>
        <v>28188634.96375427</v>
      </c>
      <c r="V159" s="59">
        <f>IF(D159=0,0,SUM($J$21:J159))</f>
        <v>28669720</v>
      </c>
      <c r="W159" s="66">
        <f t="shared" si="49"/>
        <v>481085.03624572977</v>
      </c>
      <c r="X159" s="67">
        <f t="shared" si="55"/>
        <v>1.0170666311747385</v>
      </c>
      <c r="Y159" s="68">
        <f t="shared" si="56"/>
        <v>45796</v>
      </c>
      <c r="Z159" s="69">
        <f t="shared" si="56"/>
        <v>45796</v>
      </c>
      <c r="AA159" s="1"/>
      <c r="AB159" s="1"/>
      <c r="AC159" s="1"/>
      <c r="AD159" s="1"/>
      <c r="AE159" s="1"/>
      <c r="AF159" s="1"/>
      <c r="AG159" s="1"/>
    </row>
    <row r="160" spans="1:33" ht="20">
      <c r="A160" s="1"/>
      <c r="B160" s="11"/>
      <c r="C160" s="50">
        <v>140</v>
      </c>
      <c r="D160" s="51">
        <v>1</v>
      </c>
      <c r="E160" s="52">
        <f t="shared" si="50"/>
        <v>5</v>
      </c>
      <c r="F160" s="53">
        <f t="shared" si="51"/>
        <v>45797</v>
      </c>
      <c r="G160" s="54" t="str">
        <f t="shared" si="52"/>
        <v>Tue</v>
      </c>
      <c r="H160" s="55"/>
      <c r="I160" s="56"/>
      <c r="J160" s="82">
        <v>235040</v>
      </c>
      <c r="K160" s="83"/>
      <c r="L160" s="59">
        <f t="shared" si="53"/>
        <v>292828.68111623841</v>
      </c>
      <c r="M160" s="60">
        <f t="shared" si="47"/>
        <v>-57788.681116238411</v>
      </c>
      <c r="N160" s="61">
        <f t="shared" si="9"/>
        <v>0.80265361679753222</v>
      </c>
      <c r="O160" s="80"/>
      <c r="P160" s="59">
        <f>IF(D160=0,0,SUM($L$141:L160))</f>
        <v>3414095.2238178803</v>
      </c>
      <c r="Q160" s="59">
        <f>IF(D160=0,0,SUM($J$141:J160))</f>
        <v>3107230</v>
      </c>
      <c r="R160" s="63">
        <f t="shared" si="48"/>
        <v>-306865.22381788027</v>
      </c>
      <c r="S160" s="64">
        <f t="shared" si="54"/>
        <v>0.91011814149848991</v>
      </c>
      <c r="T160" s="73"/>
      <c r="U160" s="59">
        <f>IF(D160=0,0,SUM($L$21:L160))</f>
        <v>28481463.644870508</v>
      </c>
      <c r="V160" s="59">
        <f>IF(D160=0,0,SUM($J$21:J160))</f>
        <v>28904760</v>
      </c>
      <c r="W160" s="66">
        <f t="shared" si="49"/>
        <v>423296.35512949154</v>
      </c>
      <c r="X160" s="67">
        <f t="shared" si="55"/>
        <v>1.0148621700207365</v>
      </c>
      <c r="Y160" s="68">
        <f t="shared" si="56"/>
        <v>45797</v>
      </c>
      <c r="Z160" s="69">
        <f t="shared" si="56"/>
        <v>45797</v>
      </c>
      <c r="AA160" s="1"/>
      <c r="AB160" s="1"/>
      <c r="AC160" s="1"/>
      <c r="AD160" s="1"/>
      <c r="AE160" s="1"/>
      <c r="AF160" s="1"/>
      <c r="AG160" s="1"/>
    </row>
    <row r="161" spans="1:33" ht="20">
      <c r="A161" s="1"/>
      <c r="B161" s="11"/>
      <c r="C161" s="50">
        <v>141</v>
      </c>
      <c r="D161" s="51">
        <v>1</v>
      </c>
      <c r="E161" s="52">
        <f t="shared" si="50"/>
        <v>5</v>
      </c>
      <c r="F161" s="53">
        <f t="shared" si="51"/>
        <v>45798</v>
      </c>
      <c r="G161" s="54" t="str">
        <f t="shared" si="52"/>
        <v>Wed</v>
      </c>
      <c r="H161" s="55"/>
      <c r="I161" s="56"/>
      <c r="J161" s="82">
        <v>541300</v>
      </c>
      <c r="K161" s="83"/>
      <c r="L161" s="59">
        <f t="shared" si="53"/>
        <v>379546.96790947282</v>
      </c>
      <c r="M161" s="60">
        <f t="shared" si="47"/>
        <v>161753.03209052718</v>
      </c>
      <c r="N161" s="61">
        <f t="shared" si="9"/>
        <v>1.4261739541260345</v>
      </c>
      <c r="O161" s="80"/>
      <c r="P161" s="59">
        <f>IF(D161=0,0,SUM($L$141:L161))</f>
        <v>3793642.1917273533</v>
      </c>
      <c r="Q161" s="59">
        <f>IF(D161=0,0,SUM($J$141:J161))</f>
        <v>3648530</v>
      </c>
      <c r="R161" s="63">
        <f t="shared" si="48"/>
        <v>-145112.19172735326</v>
      </c>
      <c r="S161" s="64">
        <f t="shared" si="54"/>
        <v>0.96174858239298533</v>
      </c>
      <c r="T161" s="73"/>
      <c r="U161" s="59">
        <f>IF(D161=0,0,SUM($L$21:L161))</f>
        <v>28861010.612779982</v>
      </c>
      <c r="V161" s="59">
        <f>IF(D161=0,0,SUM($J$21:J161))</f>
        <v>29446060</v>
      </c>
      <c r="W161" s="66">
        <f t="shared" si="49"/>
        <v>585049.38722001761</v>
      </c>
      <c r="X161" s="67">
        <f t="shared" si="55"/>
        <v>1.0202712716844693</v>
      </c>
      <c r="Y161" s="68">
        <f t="shared" si="56"/>
        <v>45798</v>
      </c>
      <c r="Z161" s="69">
        <f t="shared" si="56"/>
        <v>45798</v>
      </c>
      <c r="AA161" s="1"/>
      <c r="AB161" s="1"/>
      <c r="AC161" s="1"/>
      <c r="AD161" s="1"/>
      <c r="AE161" s="1"/>
      <c r="AF161" s="1"/>
      <c r="AG161" s="1"/>
    </row>
    <row r="162" spans="1:33" ht="20">
      <c r="A162" s="1"/>
      <c r="B162" s="11"/>
      <c r="C162" s="50">
        <v>142</v>
      </c>
      <c r="D162" s="51">
        <v>1</v>
      </c>
      <c r="E162" s="52">
        <f t="shared" si="50"/>
        <v>5</v>
      </c>
      <c r="F162" s="53">
        <f t="shared" si="51"/>
        <v>45799</v>
      </c>
      <c r="G162" s="54" t="str">
        <f t="shared" si="52"/>
        <v>Thu</v>
      </c>
      <c r="H162" s="55"/>
      <c r="I162" s="56"/>
      <c r="J162" s="82">
        <v>203350</v>
      </c>
      <c r="K162" s="83"/>
      <c r="L162" s="59">
        <f t="shared" si="53"/>
        <v>208647.35729715382</v>
      </c>
      <c r="M162" s="60">
        <f t="shared" si="47"/>
        <v>-5297.3572971538233</v>
      </c>
      <c r="N162" s="61">
        <f t="shared" si="9"/>
        <v>0.97461095426380417</v>
      </c>
      <c r="O162" s="80"/>
      <c r="P162" s="59">
        <f>IF(D162=0,0,SUM($L$141:L162))</f>
        <v>4002289.5490245069</v>
      </c>
      <c r="Q162" s="59">
        <f>IF(D162=0,0,SUM($J$141:J162))</f>
        <v>3851880</v>
      </c>
      <c r="R162" s="63">
        <f t="shared" si="48"/>
        <v>-150409.54902450694</v>
      </c>
      <c r="S162" s="64">
        <f t="shared" si="54"/>
        <v>0.96241912355862236</v>
      </c>
      <c r="T162" s="73"/>
      <c r="U162" s="59">
        <f>IF(D162=0,0,SUM($L$21:L162))</f>
        <v>29069657.970077135</v>
      </c>
      <c r="V162" s="59">
        <f>IF(D162=0,0,SUM($J$21:J162))</f>
        <v>29649410</v>
      </c>
      <c r="W162" s="66">
        <f t="shared" si="49"/>
        <v>579752.02992286533</v>
      </c>
      <c r="X162" s="67">
        <f t="shared" si="55"/>
        <v>1.0199435449333334</v>
      </c>
      <c r="Y162" s="68">
        <f t="shared" si="56"/>
        <v>45799</v>
      </c>
      <c r="Z162" s="69">
        <f t="shared" si="56"/>
        <v>45799</v>
      </c>
      <c r="AA162" s="1"/>
      <c r="AB162" s="1"/>
      <c r="AC162" s="1"/>
      <c r="AD162" s="1"/>
      <c r="AE162" s="1"/>
      <c r="AF162" s="1"/>
      <c r="AG162" s="1"/>
    </row>
    <row r="163" spans="1:33" ht="20">
      <c r="A163" s="1"/>
      <c r="B163" s="11"/>
      <c r="C163" s="50">
        <v>143</v>
      </c>
      <c r="D163" s="51">
        <v>1</v>
      </c>
      <c r="E163" s="52">
        <f t="shared" si="50"/>
        <v>5</v>
      </c>
      <c r="F163" s="53">
        <f t="shared" si="51"/>
        <v>45800</v>
      </c>
      <c r="G163" s="54" t="str">
        <f t="shared" si="52"/>
        <v>Fri</v>
      </c>
      <c r="H163" s="55"/>
      <c r="I163" s="56"/>
      <c r="J163" s="82">
        <v>363600</v>
      </c>
      <c r="K163" s="83"/>
      <c r="L163" s="59">
        <f t="shared" si="53"/>
        <v>265057.05757595133</v>
      </c>
      <c r="M163" s="60">
        <f t="shared" si="47"/>
        <v>98542.94242404867</v>
      </c>
      <c r="N163" s="61">
        <f t="shared" si="9"/>
        <v>1.3717801115173531</v>
      </c>
      <c r="O163" s="80"/>
      <c r="P163" s="59">
        <f>IF(D163=0,0,SUM($L$141:L163))</f>
        <v>4267346.6066004578</v>
      </c>
      <c r="Q163" s="59">
        <f>IF(D163=0,0,SUM($J$141:J163))</f>
        <v>4215480</v>
      </c>
      <c r="R163" s="63">
        <f t="shared" si="48"/>
        <v>-51866.606600457802</v>
      </c>
      <c r="S163" s="64">
        <f t="shared" si="54"/>
        <v>0.9878457009983127</v>
      </c>
      <c r="T163" s="73"/>
      <c r="U163" s="59">
        <f>IF(D163=0,0,SUM($L$21:L163))</f>
        <v>29334715.027653087</v>
      </c>
      <c r="V163" s="59">
        <f>IF(D163=0,0,SUM($J$21:J163))</f>
        <v>30013010</v>
      </c>
      <c r="W163" s="66">
        <f t="shared" si="49"/>
        <v>678294.97234691307</v>
      </c>
      <c r="X163" s="67">
        <f t="shared" si="55"/>
        <v>1.0231226030901444</v>
      </c>
      <c r="Y163" s="68">
        <f t="shared" si="56"/>
        <v>45800</v>
      </c>
      <c r="Z163" s="69">
        <f t="shared" si="56"/>
        <v>45800</v>
      </c>
      <c r="AA163" s="1"/>
      <c r="AB163" s="1"/>
      <c r="AC163" s="1"/>
      <c r="AD163" s="1"/>
      <c r="AE163" s="1"/>
      <c r="AF163" s="1"/>
      <c r="AG163" s="1"/>
    </row>
    <row r="164" spans="1:33" ht="20">
      <c r="A164" s="1"/>
      <c r="B164" s="11"/>
      <c r="C164" s="50">
        <v>144</v>
      </c>
      <c r="D164" s="51">
        <v>1</v>
      </c>
      <c r="E164" s="52">
        <f t="shared" si="50"/>
        <v>5</v>
      </c>
      <c r="F164" s="53">
        <f t="shared" si="51"/>
        <v>45801</v>
      </c>
      <c r="G164" s="54" t="str">
        <f t="shared" si="52"/>
        <v>Sat</v>
      </c>
      <c r="H164" s="55"/>
      <c r="I164" s="56"/>
      <c r="J164" s="82">
        <v>182700</v>
      </c>
      <c r="K164" s="83"/>
      <c r="L164" s="59">
        <f t="shared" si="53"/>
        <v>98247.462611363837</v>
      </c>
      <c r="M164" s="60">
        <f t="shared" si="47"/>
        <v>84452.537388636163</v>
      </c>
      <c r="N164" s="61">
        <f t="shared" si="9"/>
        <v>1.8595900102041711</v>
      </c>
      <c r="O164" s="80"/>
      <c r="P164" s="59">
        <f>IF(D164=0,0,SUM($L$141:L164))</f>
        <v>4365594.069211822</v>
      </c>
      <c r="Q164" s="59">
        <f>IF(D164=0,0,SUM($J$141:J164))</f>
        <v>4398180</v>
      </c>
      <c r="R164" s="63">
        <f t="shared" si="48"/>
        <v>32585.930788177997</v>
      </c>
      <c r="S164" s="64">
        <f t="shared" si="54"/>
        <v>1.0074642603667594</v>
      </c>
      <c r="T164" s="73"/>
      <c r="U164" s="59">
        <f>IF(D164=0,0,SUM($L$21:L164))</f>
        <v>29432962.490264449</v>
      </c>
      <c r="V164" s="59">
        <f>IF(D164=0,0,SUM($J$21:J164))</f>
        <v>30195710</v>
      </c>
      <c r="W164" s="66">
        <f t="shared" si="49"/>
        <v>762747.50973555073</v>
      </c>
      <c r="X164" s="67">
        <f t="shared" si="55"/>
        <v>1.0259147379400848</v>
      </c>
      <c r="Y164" s="68">
        <f t="shared" si="56"/>
        <v>45801</v>
      </c>
      <c r="Z164" s="69">
        <f t="shared" si="56"/>
        <v>45801</v>
      </c>
      <c r="AA164" s="1"/>
      <c r="AB164" s="1"/>
      <c r="AC164" s="1"/>
      <c r="AD164" s="1"/>
      <c r="AE164" s="1"/>
      <c r="AF164" s="1"/>
      <c r="AG164" s="1"/>
    </row>
    <row r="165" spans="1:33" ht="20">
      <c r="A165" s="1"/>
      <c r="B165" s="11"/>
      <c r="C165" s="50">
        <v>145</v>
      </c>
      <c r="D165" s="51">
        <v>0</v>
      </c>
      <c r="E165" s="52">
        <f t="shared" si="50"/>
        <v>5</v>
      </c>
      <c r="F165" s="53">
        <f t="shared" si="51"/>
        <v>45802</v>
      </c>
      <c r="G165" s="54" t="str">
        <f t="shared" si="52"/>
        <v>Sun</v>
      </c>
      <c r="H165" s="55"/>
      <c r="I165" s="56"/>
      <c r="J165" s="82"/>
      <c r="K165" s="83"/>
      <c r="L165" s="59">
        <f t="shared" si="53"/>
        <v>0</v>
      </c>
      <c r="M165" s="60">
        <f t="shared" si="47"/>
        <v>0</v>
      </c>
      <c r="N165" s="61" t="str">
        <f t="shared" si="9"/>
        <v>¥0</v>
      </c>
      <c r="O165" s="81"/>
      <c r="P165" s="59">
        <f>IF(D165=0,0,SUM($L$141:L165))</f>
        <v>0</v>
      </c>
      <c r="Q165" s="59">
        <f>IF(D165=0,0,SUM($J$141:J165))</f>
        <v>0</v>
      </c>
      <c r="R165" s="63">
        <f t="shared" si="48"/>
        <v>0</v>
      </c>
      <c r="S165" s="64">
        <f t="shared" si="54"/>
        <v>0</v>
      </c>
      <c r="T165" s="78"/>
      <c r="U165" s="59">
        <f>IF(D165=0,0,SUM($L$21:L165))</f>
        <v>0</v>
      </c>
      <c r="V165" s="59">
        <f>IF(D165=0,0,SUM($J$21:J165))</f>
        <v>0</v>
      </c>
      <c r="W165" s="66">
        <f t="shared" si="49"/>
        <v>0</v>
      </c>
      <c r="X165" s="67">
        <f t="shared" si="55"/>
        <v>0</v>
      </c>
      <c r="Y165" s="68">
        <f t="shared" si="56"/>
        <v>45802</v>
      </c>
      <c r="Z165" s="69">
        <f t="shared" si="56"/>
        <v>45802</v>
      </c>
      <c r="AA165" s="1"/>
      <c r="AB165" s="1"/>
      <c r="AC165" s="1"/>
      <c r="AD165" s="1"/>
      <c r="AE165" s="1"/>
      <c r="AF165" s="1"/>
      <c r="AG165" s="1"/>
    </row>
    <row r="166" spans="1:33" ht="20">
      <c r="A166" s="1"/>
      <c r="B166" s="11"/>
      <c r="C166" s="50">
        <v>146</v>
      </c>
      <c r="D166" s="51">
        <v>1</v>
      </c>
      <c r="E166" s="52">
        <f t="shared" si="50"/>
        <v>5</v>
      </c>
      <c r="F166" s="53">
        <f t="shared" si="51"/>
        <v>45803</v>
      </c>
      <c r="G166" s="54" t="str">
        <f t="shared" si="52"/>
        <v>Mon</v>
      </c>
      <c r="H166" s="55"/>
      <c r="I166" s="56"/>
      <c r="J166" s="82">
        <v>249270</v>
      </c>
      <c r="K166" s="83"/>
      <c r="L166" s="59">
        <f t="shared" si="53"/>
        <v>225867.87796220757</v>
      </c>
      <c r="M166" s="60">
        <f t="shared" si="47"/>
        <v>23402.122037792433</v>
      </c>
      <c r="N166" s="61">
        <f t="shared" si="9"/>
        <v>1.1036097839539101</v>
      </c>
      <c r="O166" s="80"/>
      <c r="P166" s="59">
        <f>IF(D166=0,0,SUM($L$141:L166))</f>
        <v>4591461.9471740294</v>
      </c>
      <c r="Q166" s="59">
        <f>IF(D166=0,0,SUM($J$141:J166))</f>
        <v>4647450</v>
      </c>
      <c r="R166" s="63">
        <f t="shared" si="48"/>
        <v>55988.052825970575</v>
      </c>
      <c r="S166" s="64">
        <f t="shared" si="54"/>
        <v>1.0121939490014571</v>
      </c>
      <c r="T166" s="73"/>
      <c r="U166" s="59">
        <f>IF(D166=0,0,SUM($L$21:L166))</f>
        <v>29658830.368226659</v>
      </c>
      <c r="V166" s="59">
        <f>IF(D166=0,0,SUM($J$21:J166))</f>
        <v>30444980</v>
      </c>
      <c r="W166" s="66">
        <f t="shared" si="49"/>
        <v>786149.63177334145</v>
      </c>
      <c r="X166" s="67">
        <f t="shared" si="55"/>
        <v>1.0265064273274762</v>
      </c>
      <c r="Y166" s="68">
        <f t="shared" si="56"/>
        <v>45803</v>
      </c>
      <c r="Z166" s="69">
        <f t="shared" si="56"/>
        <v>45803</v>
      </c>
      <c r="AA166" s="1"/>
      <c r="AB166" s="1"/>
      <c r="AC166" s="1"/>
      <c r="AD166" s="1"/>
      <c r="AE166" s="1"/>
      <c r="AF166" s="1"/>
      <c r="AG166" s="1"/>
    </row>
    <row r="167" spans="1:33" ht="20">
      <c r="A167" s="1"/>
      <c r="B167" s="11"/>
      <c r="C167" s="50">
        <v>147</v>
      </c>
      <c r="D167" s="51">
        <v>1</v>
      </c>
      <c r="E167" s="52">
        <f t="shared" si="50"/>
        <v>5</v>
      </c>
      <c r="F167" s="53">
        <f t="shared" si="51"/>
        <v>45804</v>
      </c>
      <c r="G167" s="54" t="str">
        <f t="shared" si="52"/>
        <v>Tue</v>
      </c>
      <c r="H167" s="55"/>
      <c r="I167" s="56"/>
      <c r="J167" s="82">
        <v>254800</v>
      </c>
      <c r="K167" s="83"/>
      <c r="L167" s="59">
        <f t="shared" si="53"/>
        <v>292828.68111623841</v>
      </c>
      <c r="M167" s="60">
        <f t="shared" si="47"/>
        <v>-38028.681116238411</v>
      </c>
      <c r="N167" s="61">
        <f t="shared" si="9"/>
        <v>0.87013334564334255</v>
      </c>
      <c r="O167" s="80"/>
      <c r="P167" s="59">
        <f>IF(D167=0,0,SUM($L$141:L167))</f>
        <v>4884290.6282902677</v>
      </c>
      <c r="Q167" s="59">
        <f>IF(D167=0,0,SUM($J$141:J167))</f>
        <v>4902250</v>
      </c>
      <c r="R167" s="63">
        <f t="shared" si="48"/>
        <v>17959.371709732339</v>
      </c>
      <c r="S167" s="64">
        <f t="shared" si="54"/>
        <v>1.0036769662324576</v>
      </c>
      <c r="T167" s="73"/>
      <c r="U167" s="59">
        <f>IF(D167=0,0,SUM($L$21:L167))</f>
        <v>29951659.049342897</v>
      </c>
      <c r="V167" s="59">
        <f>IF(D167=0,0,SUM($J$21:J167))</f>
        <v>30699780</v>
      </c>
      <c r="W167" s="66">
        <f t="shared" si="49"/>
        <v>748120.95065710321</v>
      </c>
      <c r="X167" s="67">
        <f t="shared" si="55"/>
        <v>1.0249776130739414</v>
      </c>
      <c r="Y167" s="68">
        <f t="shared" ref="Y167:Z182" si="57">Y166+1</f>
        <v>45804</v>
      </c>
      <c r="Z167" s="69">
        <f t="shared" si="57"/>
        <v>45804</v>
      </c>
      <c r="AA167" s="1"/>
      <c r="AB167" s="1"/>
      <c r="AC167" s="1"/>
      <c r="AD167" s="1"/>
      <c r="AE167" s="1"/>
      <c r="AF167" s="1"/>
      <c r="AG167" s="1"/>
    </row>
    <row r="168" spans="1:33" ht="20">
      <c r="A168" s="1"/>
      <c r="B168" s="11"/>
      <c r="C168" s="50">
        <v>148</v>
      </c>
      <c r="D168" s="51">
        <v>1</v>
      </c>
      <c r="E168" s="52">
        <f t="shared" si="50"/>
        <v>5</v>
      </c>
      <c r="F168" s="53">
        <f t="shared" si="51"/>
        <v>45805</v>
      </c>
      <c r="G168" s="54" t="str">
        <f t="shared" si="52"/>
        <v>Wed</v>
      </c>
      <c r="H168" s="55"/>
      <c r="I168" s="56"/>
      <c r="J168" s="82">
        <v>326330</v>
      </c>
      <c r="K168" s="83"/>
      <c r="L168" s="59">
        <f t="shared" si="53"/>
        <v>379546.96790947282</v>
      </c>
      <c r="M168" s="60">
        <f t="shared" si="47"/>
        <v>-53216.96790947282</v>
      </c>
      <c r="N168" s="61">
        <f t="shared" si="9"/>
        <v>0.85978818852752426</v>
      </c>
      <c r="O168" s="80"/>
      <c r="P168" s="59">
        <f>IF(D168=0,0,SUM($L$141:L168))</f>
        <v>5263837.5961997407</v>
      </c>
      <c r="Q168" s="59">
        <f>IF(D168=0,0,SUM($J$141:J168))</f>
        <v>5228580</v>
      </c>
      <c r="R168" s="63">
        <f t="shared" si="48"/>
        <v>-35257.596199740656</v>
      </c>
      <c r="S168" s="64">
        <f t="shared" si="54"/>
        <v>0.99330192173383258</v>
      </c>
      <c r="T168" s="73"/>
      <c r="U168" s="59">
        <f>IF(D168=0,0,SUM($L$21:L168))</f>
        <v>30331206.017252371</v>
      </c>
      <c r="V168" s="59">
        <f>IF(D168=0,0,SUM($J$21:J168))</f>
        <v>31026110</v>
      </c>
      <c r="W168" s="66">
        <f t="shared" si="49"/>
        <v>694903.98274762928</v>
      </c>
      <c r="X168" s="67">
        <f t="shared" si="55"/>
        <v>1.0229105292533494</v>
      </c>
      <c r="Y168" s="68">
        <f t="shared" si="57"/>
        <v>45805</v>
      </c>
      <c r="Z168" s="69">
        <f t="shared" si="57"/>
        <v>45805</v>
      </c>
      <c r="AA168" s="1"/>
      <c r="AB168" s="1"/>
      <c r="AC168" s="1"/>
      <c r="AD168" s="1"/>
      <c r="AE168" s="1"/>
      <c r="AF168" s="1"/>
      <c r="AG168" s="1"/>
    </row>
    <row r="169" spans="1:33" ht="20">
      <c r="A169" s="1"/>
      <c r="B169" s="11"/>
      <c r="C169" s="50">
        <v>149</v>
      </c>
      <c r="D169" s="51">
        <v>1</v>
      </c>
      <c r="E169" s="52">
        <f t="shared" si="50"/>
        <v>5</v>
      </c>
      <c r="F169" s="53">
        <f t="shared" si="51"/>
        <v>45806</v>
      </c>
      <c r="G169" s="54" t="str">
        <f t="shared" si="52"/>
        <v>Thu</v>
      </c>
      <c r="H169" s="55"/>
      <c r="I169" s="56"/>
      <c r="J169" s="82">
        <v>261180</v>
      </c>
      <c r="K169" s="83"/>
      <c r="L169" s="59">
        <f t="shared" si="53"/>
        <v>208647.35729715382</v>
      </c>
      <c r="M169" s="60">
        <f t="shared" si="47"/>
        <v>52532.642702846177</v>
      </c>
      <c r="N169" s="61">
        <f t="shared" si="9"/>
        <v>1.2517771774508011</v>
      </c>
      <c r="O169" s="80"/>
      <c r="P169" s="59">
        <f>IF(D169=0,0,SUM($L$141:L169))</f>
        <v>5472484.9534968948</v>
      </c>
      <c r="Q169" s="59">
        <f>IF(D169=0,0,SUM($J$141:J169))</f>
        <v>5489760</v>
      </c>
      <c r="R169" s="63">
        <f t="shared" si="48"/>
        <v>17275.046503105201</v>
      </c>
      <c r="S169" s="64">
        <f t="shared" si="54"/>
        <v>1.0031567097305707</v>
      </c>
      <c r="T169" s="73"/>
      <c r="U169" s="59">
        <f>IF(D169=0,0,SUM($L$21:L169))</f>
        <v>30539853.374549523</v>
      </c>
      <c r="V169" s="59">
        <f>IF(D169=0,0,SUM($J$21:J169))</f>
        <v>31287290</v>
      </c>
      <c r="W169" s="66">
        <f t="shared" si="49"/>
        <v>747436.625450477</v>
      </c>
      <c r="X169" s="67">
        <f t="shared" si="55"/>
        <v>1.0244741392921473</v>
      </c>
      <c r="Y169" s="68">
        <f t="shared" si="57"/>
        <v>45806</v>
      </c>
      <c r="Z169" s="69">
        <f t="shared" si="57"/>
        <v>45806</v>
      </c>
      <c r="AA169" s="1"/>
      <c r="AB169" s="1"/>
      <c r="AC169" s="1"/>
      <c r="AD169" s="1"/>
      <c r="AE169" s="1"/>
      <c r="AF169" s="1"/>
      <c r="AG169" s="1"/>
    </row>
    <row r="170" spans="1:33" ht="20">
      <c r="A170" s="1"/>
      <c r="B170" s="11"/>
      <c r="C170" s="50">
        <v>150</v>
      </c>
      <c r="D170" s="51">
        <v>1</v>
      </c>
      <c r="E170" s="52">
        <f t="shared" si="50"/>
        <v>5</v>
      </c>
      <c r="F170" s="53">
        <f t="shared" si="51"/>
        <v>45807</v>
      </c>
      <c r="G170" s="54" t="str">
        <f t="shared" ref="G170:G213" si="58">TEXT(Z170,"ddd")</f>
        <v>Fri</v>
      </c>
      <c r="H170" s="55"/>
      <c r="I170" s="56"/>
      <c r="J170" s="82">
        <v>327000</v>
      </c>
      <c r="K170" s="83"/>
      <c r="L170" s="59">
        <f t="shared" si="53"/>
        <v>265057.05757595133</v>
      </c>
      <c r="M170" s="60">
        <f t="shared" ref="M170:M201" si="59">IF(D170=0,0,J170-L170)</f>
        <v>61942.94242404867</v>
      </c>
      <c r="N170" s="61">
        <f t="shared" ref="N170:N201" si="60">IFERROR(J170/L170,"¥0")</f>
        <v>1.2336966349454743</v>
      </c>
      <c r="O170" s="80"/>
      <c r="P170" s="59">
        <f>IF(D170=0,0,SUM($L$141:L170))</f>
        <v>5737542.0110728461</v>
      </c>
      <c r="Q170" s="59">
        <f>IF(D170=0,0,SUM($J$141:J170))</f>
        <v>5816760</v>
      </c>
      <c r="R170" s="63">
        <f t="shared" si="48"/>
        <v>79217.98892715387</v>
      </c>
      <c r="S170" s="64">
        <f t="shared" si="54"/>
        <v>1.0138069557964493</v>
      </c>
      <c r="T170" s="73"/>
      <c r="U170" s="59">
        <f>IF(D170=0,0,SUM($L$21:L170))</f>
        <v>30804910.432125475</v>
      </c>
      <c r="V170" s="59">
        <f>IF(D170=0,0,SUM($J$21:J170))</f>
        <v>31614290</v>
      </c>
      <c r="W170" s="66">
        <f t="shared" si="49"/>
        <v>809379.56787452474</v>
      </c>
      <c r="X170" s="67">
        <f t="shared" si="55"/>
        <v>1.0262743684860856</v>
      </c>
      <c r="Y170" s="68">
        <f t="shared" si="57"/>
        <v>45807</v>
      </c>
      <c r="Z170" s="69">
        <f t="shared" si="57"/>
        <v>45807</v>
      </c>
      <c r="AA170" s="1"/>
      <c r="AB170" s="1"/>
      <c r="AC170" s="1"/>
      <c r="AD170" s="1"/>
      <c r="AE170" s="1"/>
      <c r="AF170" s="1"/>
      <c r="AG170" s="1"/>
    </row>
    <row r="171" spans="1:33" ht="21" thickBot="1">
      <c r="A171" s="1"/>
      <c r="B171" s="11"/>
      <c r="C171" s="84">
        <v>151</v>
      </c>
      <c r="D171" s="85">
        <v>1</v>
      </c>
      <c r="E171" s="501">
        <f t="shared" si="50"/>
        <v>5</v>
      </c>
      <c r="F171" s="86">
        <f t="shared" si="51"/>
        <v>45808</v>
      </c>
      <c r="G171" s="87" t="str">
        <f t="shared" si="58"/>
        <v>Sat</v>
      </c>
      <c r="H171" s="508"/>
      <c r="I171" s="502"/>
      <c r="J171" s="89">
        <v>114570</v>
      </c>
      <c r="K171" s="503"/>
      <c r="L171" s="534">
        <f t="shared" si="53"/>
        <v>98247.462611363837</v>
      </c>
      <c r="M171" s="91">
        <f t="shared" si="59"/>
        <v>16322.537388636163</v>
      </c>
      <c r="N171" s="92">
        <f t="shared" si="60"/>
        <v>1.1661369866945368</v>
      </c>
      <c r="O171" s="504"/>
      <c r="P171" s="534">
        <f>IF(D171=0,0,SUM($L$141:L171))</f>
        <v>5835789.4736842103</v>
      </c>
      <c r="Q171" s="90">
        <f>IF(D171=0,0,SUM($J$141:J171))</f>
        <v>5931330</v>
      </c>
      <c r="R171" s="91">
        <f t="shared" si="48"/>
        <v>95540.52631578967</v>
      </c>
      <c r="S171" s="505">
        <f t="shared" si="54"/>
        <v>1.0163714826839827</v>
      </c>
      <c r="T171" s="506"/>
      <c r="U171" s="94">
        <f>IF(D171=0,0,SUM($L$21:L171))</f>
        <v>30903157.894736838</v>
      </c>
      <c r="V171" s="90">
        <f>IF(D171=0,0,SUM($J$21:J171))</f>
        <v>31728860</v>
      </c>
      <c r="W171" s="95">
        <f t="shared" si="49"/>
        <v>825702.1052631624</v>
      </c>
      <c r="X171" s="507">
        <f t="shared" si="55"/>
        <v>1.0267190203692351</v>
      </c>
      <c r="Y171" s="68">
        <f t="shared" si="57"/>
        <v>45808</v>
      </c>
      <c r="Z171" s="69">
        <f t="shared" si="57"/>
        <v>45808</v>
      </c>
      <c r="AA171" s="1"/>
      <c r="AB171" s="1"/>
      <c r="AC171" s="1"/>
      <c r="AD171" s="1"/>
      <c r="AE171" s="1"/>
      <c r="AF171" s="1"/>
      <c r="AG171" s="1"/>
    </row>
    <row r="172" spans="1:33" ht="21" thickTop="1">
      <c r="A172" s="1"/>
      <c r="B172" s="11"/>
      <c r="C172" s="50">
        <v>152</v>
      </c>
      <c r="D172" s="96">
        <v>0</v>
      </c>
      <c r="E172" s="52">
        <f t="shared" si="50"/>
        <v>6</v>
      </c>
      <c r="F172" s="53">
        <f t="shared" si="51"/>
        <v>45809</v>
      </c>
      <c r="G172" s="54" t="str">
        <f t="shared" si="58"/>
        <v>Sun</v>
      </c>
      <c r="H172" s="55"/>
      <c r="I172" s="56"/>
      <c r="J172" s="82"/>
      <c r="K172" s="83"/>
      <c r="L172" s="59">
        <f t="shared" si="53"/>
        <v>0</v>
      </c>
      <c r="M172" s="63">
        <f t="shared" si="59"/>
        <v>0</v>
      </c>
      <c r="N172" s="97" t="str">
        <f t="shared" si="60"/>
        <v>¥0</v>
      </c>
      <c r="O172" s="81"/>
      <c r="P172" s="59">
        <f>IF(D172=0,0,$L$172)</f>
        <v>0</v>
      </c>
      <c r="Q172" s="59">
        <f>IF(D172=0,0,$J$172)</f>
        <v>0</v>
      </c>
      <c r="R172" s="63">
        <f t="shared" si="48"/>
        <v>0</v>
      </c>
      <c r="S172" s="499">
        <f t="shared" si="54"/>
        <v>0</v>
      </c>
      <c r="T172" s="78"/>
      <c r="U172" s="59">
        <f>IF(D172=0,0,SUM($L$21:L172))</f>
        <v>0</v>
      </c>
      <c r="V172" s="59">
        <f>IF(D172=0,0,SUM($J$21:J172))</f>
        <v>0</v>
      </c>
      <c r="W172" s="66">
        <f t="shared" si="49"/>
        <v>0</v>
      </c>
      <c r="X172" s="500">
        <f t="shared" si="55"/>
        <v>0</v>
      </c>
      <c r="Y172" s="68">
        <f t="shared" si="57"/>
        <v>45809</v>
      </c>
      <c r="Z172" s="69">
        <f t="shared" si="57"/>
        <v>45809</v>
      </c>
      <c r="AA172" s="1"/>
      <c r="AB172" s="1"/>
      <c r="AC172" s="1"/>
      <c r="AD172" s="1"/>
      <c r="AE172" s="1"/>
      <c r="AF172" s="1"/>
      <c r="AG172" s="1"/>
    </row>
    <row r="173" spans="1:33" ht="20">
      <c r="A173" s="1"/>
      <c r="B173" s="11"/>
      <c r="C173" s="50">
        <v>153</v>
      </c>
      <c r="D173" s="51">
        <v>1</v>
      </c>
      <c r="E173" s="52">
        <f t="shared" si="50"/>
        <v>6</v>
      </c>
      <c r="F173" s="53">
        <f t="shared" si="51"/>
        <v>45810</v>
      </c>
      <c r="G173" s="54" t="str">
        <f t="shared" si="58"/>
        <v>Mon</v>
      </c>
      <c r="H173" s="55"/>
      <c r="I173" s="56"/>
      <c r="J173" s="82">
        <v>171750</v>
      </c>
      <c r="K173" s="83"/>
      <c r="L173" s="59">
        <f t="shared" si="53"/>
        <v>158255.6421521224</v>
      </c>
      <c r="M173" s="60">
        <f t="shared" si="59"/>
        <v>13494.357847877603</v>
      </c>
      <c r="N173" s="61">
        <f t="shared" si="60"/>
        <v>1.0852693633185364</v>
      </c>
      <c r="O173" s="80"/>
      <c r="P173" s="59">
        <f>IF(D173=0,0,SUM($L$172:L173))</f>
        <v>158255.6421521224</v>
      </c>
      <c r="Q173" s="59">
        <f>IF(D173=0,0,SUM($J$172:J173))</f>
        <v>171750</v>
      </c>
      <c r="R173" s="63">
        <f t="shared" si="48"/>
        <v>13494.357847877603</v>
      </c>
      <c r="S173" s="64">
        <f t="shared" si="54"/>
        <v>1.0852693633185364</v>
      </c>
      <c r="T173" s="73"/>
      <c r="U173" s="59">
        <f>IF(D173=0,0,SUM($L$21:L173))</f>
        <v>31061413.536888961</v>
      </c>
      <c r="V173" s="59">
        <f>IF(D173=0,0,SUM($J$21:J173))</f>
        <v>31900610</v>
      </c>
      <c r="W173" s="66">
        <f t="shared" si="49"/>
        <v>839196.46311103925</v>
      </c>
      <c r="X173" s="67">
        <f t="shared" si="55"/>
        <v>1.0270173301068348</v>
      </c>
      <c r="Y173" s="68">
        <f t="shared" si="57"/>
        <v>45810</v>
      </c>
      <c r="Z173" s="69">
        <f t="shared" si="57"/>
        <v>45810</v>
      </c>
      <c r="AA173" s="1"/>
      <c r="AB173" s="1"/>
      <c r="AC173" s="1"/>
      <c r="AD173" s="1"/>
      <c r="AE173" s="1"/>
      <c r="AF173" s="1"/>
      <c r="AG173" s="1"/>
    </row>
    <row r="174" spans="1:33" ht="20">
      <c r="A174" s="1"/>
      <c r="B174" s="11"/>
      <c r="C174" s="50">
        <v>154</v>
      </c>
      <c r="D174" s="51">
        <v>1</v>
      </c>
      <c r="E174" s="52">
        <f t="shared" si="50"/>
        <v>6</v>
      </c>
      <c r="F174" s="53">
        <f t="shared" si="51"/>
        <v>45811</v>
      </c>
      <c r="G174" s="54" t="str">
        <f t="shared" si="58"/>
        <v>Tue</v>
      </c>
      <c r="H174" s="55"/>
      <c r="I174" s="56"/>
      <c r="J174" s="82">
        <v>268980</v>
      </c>
      <c r="K174" s="83"/>
      <c r="L174" s="59">
        <f t="shared" si="53"/>
        <v>210637.61764366567</v>
      </c>
      <c r="M174" s="60">
        <f t="shared" si="59"/>
        <v>58342.382356334332</v>
      </c>
      <c r="N174" s="61">
        <f t="shared" si="60"/>
        <v>1.2769798814143054</v>
      </c>
      <c r="O174" s="80"/>
      <c r="P174" s="59">
        <f>IF(D174=0,0,SUM($L$172:L174))</f>
        <v>368893.25979578809</v>
      </c>
      <c r="Q174" s="59">
        <f>IF(D174=0,0,SUM($J$172:J174))</f>
        <v>440730</v>
      </c>
      <c r="R174" s="63">
        <f t="shared" si="48"/>
        <v>71836.740204211907</v>
      </c>
      <c r="S174" s="64">
        <f t="shared" si="54"/>
        <v>1.1947358437613615</v>
      </c>
      <c r="T174" s="73"/>
      <c r="U174" s="59">
        <f>IF(D174=0,0,SUM($L$21:L174))</f>
        <v>31272051.154532626</v>
      </c>
      <c r="V174" s="59">
        <f>IF(D174=0,0,SUM($J$21:J174))</f>
        <v>32169590</v>
      </c>
      <c r="W174" s="66">
        <f t="shared" si="49"/>
        <v>897538.84546737373</v>
      </c>
      <c r="X174" s="67">
        <f t="shared" si="55"/>
        <v>1.0287009905756463</v>
      </c>
      <c r="Y174" s="68">
        <f t="shared" si="57"/>
        <v>45811</v>
      </c>
      <c r="Z174" s="69">
        <f t="shared" si="57"/>
        <v>45811</v>
      </c>
      <c r="AA174" s="1"/>
      <c r="AB174" s="1"/>
      <c r="AC174" s="1"/>
      <c r="AD174" s="1"/>
      <c r="AE174" s="1"/>
      <c r="AF174" s="1"/>
      <c r="AG174" s="1"/>
    </row>
    <row r="175" spans="1:33" ht="20">
      <c r="A175" s="1"/>
      <c r="B175" s="11"/>
      <c r="C175" s="50">
        <v>155</v>
      </c>
      <c r="D175" s="51">
        <v>1</v>
      </c>
      <c r="E175" s="52">
        <f t="shared" si="50"/>
        <v>6</v>
      </c>
      <c r="F175" s="53">
        <f t="shared" si="51"/>
        <v>45812</v>
      </c>
      <c r="G175" s="54" t="str">
        <f t="shared" si="58"/>
        <v>Wed</v>
      </c>
      <c r="H175" s="55"/>
      <c r="I175" s="56"/>
      <c r="J175" s="82">
        <v>266550</v>
      </c>
      <c r="K175" s="83"/>
      <c r="L175" s="59">
        <f t="shared" si="53"/>
        <v>317333.92471607169</v>
      </c>
      <c r="M175" s="60">
        <f t="shared" si="59"/>
        <v>-50783.924716071691</v>
      </c>
      <c r="N175" s="61">
        <f t="shared" si="60"/>
        <v>0.83996692203170642</v>
      </c>
      <c r="O175" s="80"/>
      <c r="P175" s="59">
        <f>IF(D175=0,0,SUM($L$172:L175))</f>
        <v>686227.18451185978</v>
      </c>
      <c r="Q175" s="59">
        <f>IF(D175=0,0,SUM($J$172:J175))</f>
        <v>707280</v>
      </c>
      <c r="R175" s="63">
        <f t="shared" si="48"/>
        <v>21052.815488140215</v>
      </c>
      <c r="S175" s="64">
        <f t="shared" si="54"/>
        <v>1.0306790753314676</v>
      </c>
      <c r="T175" s="73"/>
      <c r="U175" s="59">
        <f>IF(D175=0,0,SUM($L$21:L175))</f>
        <v>31589385.079248697</v>
      </c>
      <c r="V175" s="59">
        <f>IF(D175=0,0,SUM($J$21:J175))</f>
        <v>32436140</v>
      </c>
      <c r="W175" s="66">
        <f t="shared" si="49"/>
        <v>846754.92075130343</v>
      </c>
      <c r="X175" s="67">
        <f t="shared" si="55"/>
        <v>1.0268050460186875</v>
      </c>
      <c r="Y175" s="68">
        <f t="shared" si="57"/>
        <v>45812</v>
      </c>
      <c r="Z175" s="69">
        <f t="shared" si="57"/>
        <v>45812</v>
      </c>
      <c r="AA175" s="1"/>
      <c r="AB175" s="1"/>
      <c r="AC175" s="1"/>
      <c r="AD175" s="1"/>
      <c r="AE175" s="1"/>
      <c r="AF175" s="1"/>
      <c r="AG175" s="1"/>
    </row>
    <row r="176" spans="1:33" ht="20">
      <c r="A176" s="1"/>
      <c r="B176" s="11"/>
      <c r="C176" s="50">
        <v>156</v>
      </c>
      <c r="D176" s="51">
        <v>1</v>
      </c>
      <c r="E176" s="52">
        <f t="shared" si="50"/>
        <v>6</v>
      </c>
      <c r="F176" s="53">
        <f t="shared" si="51"/>
        <v>45813</v>
      </c>
      <c r="G176" s="54" t="str">
        <f t="shared" si="58"/>
        <v>Thu</v>
      </c>
      <c r="H176" s="55"/>
      <c r="I176" s="56"/>
      <c r="J176" s="82">
        <v>320950</v>
      </c>
      <c r="K176" s="83"/>
      <c r="L176" s="59">
        <f t="shared" si="53"/>
        <v>287558.86915979855</v>
      </c>
      <c r="M176" s="60">
        <f t="shared" si="59"/>
        <v>33391.130840201455</v>
      </c>
      <c r="N176" s="61">
        <f t="shared" si="60"/>
        <v>1.1161192869403231</v>
      </c>
      <c r="O176" s="80"/>
      <c r="P176" s="59">
        <f>IF(D176=0,0,SUM($L$172:L176))</f>
        <v>973786.05367165827</v>
      </c>
      <c r="Q176" s="59">
        <f>IF(D176=0,0,SUM($J$172:J176))</f>
        <v>1028230</v>
      </c>
      <c r="R176" s="63">
        <f t="shared" si="48"/>
        <v>54443.946328341728</v>
      </c>
      <c r="S176" s="64">
        <f t="shared" si="54"/>
        <v>1.055909556440104</v>
      </c>
      <c r="T176" s="73"/>
      <c r="U176" s="59">
        <f>IF(D176=0,0,SUM($L$21:L176))</f>
        <v>31876943.948408496</v>
      </c>
      <c r="V176" s="59">
        <f>IF(D176=0,0,SUM($J$21:J176))</f>
        <v>32757090</v>
      </c>
      <c r="W176" s="66">
        <f t="shared" si="49"/>
        <v>880146.05159150437</v>
      </c>
      <c r="X176" s="67">
        <f t="shared" si="55"/>
        <v>1.0276107412622735</v>
      </c>
      <c r="Y176" s="68">
        <f t="shared" si="57"/>
        <v>45813</v>
      </c>
      <c r="Z176" s="69">
        <f t="shared" si="57"/>
        <v>45813</v>
      </c>
      <c r="AA176" s="1"/>
      <c r="AB176" s="1"/>
      <c r="AC176" s="1"/>
      <c r="AD176" s="1"/>
      <c r="AE176" s="1"/>
      <c r="AF176" s="1"/>
      <c r="AG176" s="1"/>
    </row>
    <row r="177" spans="1:33" ht="20">
      <c r="A177" s="1"/>
      <c r="B177" s="11"/>
      <c r="C177" s="50">
        <v>157</v>
      </c>
      <c r="D177" s="51">
        <v>1</v>
      </c>
      <c r="E177" s="52">
        <f t="shared" si="50"/>
        <v>6</v>
      </c>
      <c r="F177" s="53">
        <f t="shared" si="51"/>
        <v>45814</v>
      </c>
      <c r="G177" s="54" t="str">
        <f t="shared" si="58"/>
        <v>Fri</v>
      </c>
      <c r="H177" s="55"/>
      <c r="I177" s="56"/>
      <c r="J177" s="82">
        <v>332550</v>
      </c>
      <c r="K177" s="83"/>
      <c r="L177" s="59">
        <f t="shared" si="53"/>
        <v>332088.97600512422</v>
      </c>
      <c r="M177" s="60">
        <f t="shared" si="59"/>
        <v>461.02399487578077</v>
      </c>
      <c r="N177" s="61">
        <f t="shared" si="60"/>
        <v>1.0013882544383788</v>
      </c>
      <c r="O177" s="80"/>
      <c r="P177" s="59">
        <f>IF(D177=0,0,SUM($L$172:L177))</f>
        <v>1305875.0296767824</v>
      </c>
      <c r="Q177" s="59">
        <f>IF(D177=0,0,SUM($J$172:J177))</f>
        <v>1360780</v>
      </c>
      <c r="R177" s="63">
        <f t="shared" si="48"/>
        <v>54904.970323217567</v>
      </c>
      <c r="S177" s="64">
        <f t="shared" si="54"/>
        <v>1.0420445824259363</v>
      </c>
      <c r="T177" s="73"/>
      <c r="U177" s="59">
        <f>IF(D177=0,0,SUM($L$21:L177))</f>
        <v>32209032.924413621</v>
      </c>
      <c r="V177" s="59">
        <f>IF(D177=0,0,SUM($J$21:J177))</f>
        <v>33089640</v>
      </c>
      <c r="W177" s="66">
        <f t="shared" si="49"/>
        <v>880607.07558637857</v>
      </c>
      <c r="X177" s="67">
        <f t="shared" si="55"/>
        <v>1.0273403761501607</v>
      </c>
      <c r="Y177" s="68">
        <f t="shared" si="57"/>
        <v>45814</v>
      </c>
      <c r="Z177" s="69">
        <f t="shared" si="57"/>
        <v>45814</v>
      </c>
      <c r="AA177" s="1"/>
      <c r="AB177" s="1"/>
      <c r="AC177" s="1"/>
      <c r="AD177" s="1"/>
      <c r="AE177" s="1"/>
      <c r="AF177" s="1"/>
      <c r="AG177" s="1"/>
    </row>
    <row r="178" spans="1:33" ht="20">
      <c r="A178" s="1"/>
      <c r="B178" s="11"/>
      <c r="C178" s="50">
        <v>158</v>
      </c>
      <c r="D178" s="51">
        <v>1</v>
      </c>
      <c r="E178" s="52">
        <f t="shared" si="50"/>
        <v>6</v>
      </c>
      <c r="F178" s="53">
        <f t="shared" si="51"/>
        <v>45815</v>
      </c>
      <c r="G178" s="54" t="str">
        <f t="shared" si="58"/>
        <v>Sat</v>
      </c>
      <c r="H178" s="55"/>
      <c r="I178" s="56"/>
      <c r="J178" s="82">
        <v>150260</v>
      </c>
      <c r="K178" s="83"/>
      <c r="L178" s="59">
        <f t="shared" si="53"/>
        <v>174297.90189045001</v>
      </c>
      <c r="M178" s="60">
        <f t="shared" si="59"/>
        <v>-24037.901890450012</v>
      </c>
      <c r="N178" s="61">
        <f t="shared" si="60"/>
        <v>0.86208725618763704</v>
      </c>
      <c r="O178" s="80"/>
      <c r="P178" s="59">
        <f>IF(D178=0,0,SUM($L$172:L178))</f>
        <v>1480172.9315672324</v>
      </c>
      <c r="Q178" s="59">
        <f>IF(D178=0,0,SUM($J$172:J178))</f>
        <v>1511040</v>
      </c>
      <c r="R178" s="63">
        <f t="shared" si="48"/>
        <v>30867.068432767643</v>
      </c>
      <c r="S178" s="64">
        <f t="shared" si="54"/>
        <v>1.0208536906563241</v>
      </c>
      <c r="T178" s="73"/>
      <c r="U178" s="59">
        <f>IF(D178=0,0,SUM($L$21:L178))</f>
        <v>32383330.826304071</v>
      </c>
      <c r="V178" s="59">
        <f>IF(D178=0,0,SUM($J$21:J178))</f>
        <v>33239900</v>
      </c>
      <c r="W178" s="66">
        <f t="shared" si="49"/>
        <v>856569.17369592935</v>
      </c>
      <c r="X178" s="67">
        <f t="shared" si="55"/>
        <v>1.0264509286672934</v>
      </c>
      <c r="Y178" s="68">
        <f t="shared" si="57"/>
        <v>45815</v>
      </c>
      <c r="Z178" s="69">
        <f t="shared" si="57"/>
        <v>45815</v>
      </c>
      <c r="AA178" s="1"/>
      <c r="AB178" s="1"/>
      <c r="AC178" s="1"/>
      <c r="AD178" s="1"/>
      <c r="AE178" s="1"/>
      <c r="AF178" s="1"/>
      <c r="AG178" s="1"/>
    </row>
    <row r="179" spans="1:33" ht="20">
      <c r="A179" s="1"/>
      <c r="B179" s="11"/>
      <c r="C179" s="50">
        <v>159</v>
      </c>
      <c r="D179" s="51">
        <v>0</v>
      </c>
      <c r="E179" s="52">
        <f t="shared" si="50"/>
        <v>6</v>
      </c>
      <c r="F179" s="53">
        <f t="shared" si="51"/>
        <v>45816</v>
      </c>
      <c r="G179" s="54" t="str">
        <f t="shared" si="58"/>
        <v>Sun</v>
      </c>
      <c r="H179" s="55"/>
      <c r="I179" s="56"/>
      <c r="J179" s="82"/>
      <c r="K179" s="83"/>
      <c r="L179" s="59">
        <f t="shared" si="53"/>
        <v>0</v>
      </c>
      <c r="M179" s="60">
        <f t="shared" si="59"/>
        <v>0</v>
      </c>
      <c r="N179" s="61" t="str">
        <f t="shared" si="60"/>
        <v>¥0</v>
      </c>
      <c r="O179" s="81"/>
      <c r="P179" s="59">
        <f>IF(D179=0,0,SUM($L$172:L179))</f>
        <v>0</v>
      </c>
      <c r="Q179" s="59">
        <f>IF(D179=0,0,SUM($J$172:J179))</f>
        <v>0</v>
      </c>
      <c r="R179" s="63">
        <f t="shared" si="48"/>
        <v>0</v>
      </c>
      <c r="S179" s="64">
        <f t="shared" si="54"/>
        <v>0</v>
      </c>
      <c r="T179" s="78"/>
      <c r="U179" s="59">
        <f>IF(D179=0,0,SUM($L$21:L179))</f>
        <v>0</v>
      </c>
      <c r="V179" s="59">
        <f>IF(D179=0,0,SUM($J$21:J179))</f>
        <v>0</v>
      </c>
      <c r="W179" s="66">
        <f t="shared" si="49"/>
        <v>0</v>
      </c>
      <c r="X179" s="67">
        <f t="shared" si="55"/>
        <v>0</v>
      </c>
      <c r="Y179" s="68">
        <f t="shared" si="57"/>
        <v>45816</v>
      </c>
      <c r="Z179" s="69">
        <f t="shared" si="57"/>
        <v>45816</v>
      </c>
      <c r="AA179" s="1"/>
      <c r="AB179" s="1"/>
      <c r="AC179" s="1"/>
      <c r="AD179" s="1"/>
      <c r="AE179" s="1"/>
      <c r="AF179" s="1"/>
      <c r="AG179" s="1"/>
    </row>
    <row r="180" spans="1:33" ht="20">
      <c r="A180" s="1"/>
      <c r="B180" s="11"/>
      <c r="C180" s="50">
        <v>160</v>
      </c>
      <c r="D180" s="51">
        <v>1</v>
      </c>
      <c r="E180" s="52">
        <f t="shared" si="50"/>
        <v>6</v>
      </c>
      <c r="F180" s="53">
        <f t="shared" si="51"/>
        <v>45817</v>
      </c>
      <c r="G180" s="54" t="str">
        <f t="shared" si="58"/>
        <v>Mon</v>
      </c>
      <c r="H180" s="55"/>
      <c r="I180" s="56"/>
      <c r="J180" s="82">
        <v>130390</v>
      </c>
      <c r="K180" s="83"/>
      <c r="L180" s="59">
        <f t="shared" si="53"/>
        <v>158255.6421521224</v>
      </c>
      <c r="M180" s="60">
        <f t="shared" si="59"/>
        <v>-27865.642152122397</v>
      </c>
      <c r="N180" s="61">
        <f t="shared" si="60"/>
        <v>0.8239200715173447</v>
      </c>
      <c r="O180" s="80"/>
      <c r="P180" s="59">
        <f>IF(D180=0,0,SUM($L$172:L180))</f>
        <v>1638428.5737193548</v>
      </c>
      <c r="Q180" s="59">
        <f>IF(D180=0,0,SUM($J$172:J180))</f>
        <v>1641430</v>
      </c>
      <c r="R180" s="63">
        <f t="shared" si="48"/>
        <v>3001.4262806451879</v>
      </c>
      <c r="S180" s="64">
        <f t="shared" si="54"/>
        <v>1.0018318932718755</v>
      </c>
      <c r="T180" s="73"/>
      <c r="U180" s="59">
        <f>IF(D180=0,0,SUM($L$21:L180))</f>
        <v>32541586.468456194</v>
      </c>
      <c r="V180" s="59">
        <f>IF(D180=0,0,SUM($J$21:J180))</f>
        <v>33370290</v>
      </c>
      <c r="W180" s="66">
        <f t="shared" si="49"/>
        <v>828703.5315438062</v>
      </c>
      <c r="X180" s="67">
        <f t="shared" si="55"/>
        <v>1.0254659843442822</v>
      </c>
      <c r="Y180" s="68">
        <f t="shared" si="57"/>
        <v>45817</v>
      </c>
      <c r="Z180" s="69">
        <f t="shared" si="57"/>
        <v>45817</v>
      </c>
      <c r="AA180" s="1"/>
      <c r="AB180" s="1"/>
      <c r="AC180" s="1"/>
      <c r="AD180" s="1"/>
      <c r="AE180" s="1"/>
      <c r="AF180" s="1"/>
      <c r="AG180" s="1"/>
    </row>
    <row r="181" spans="1:33" ht="20">
      <c r="A181" s="1"/>
      <c r="B181" s="11"/>
      <c r="C181" s="50">
        <v>161</v>
      </c>
      <c r="D181" s="51">
        <v>1</v>
      </c>
      <c r="E181" s="52">
        <f t="shared" si="50"/>
        <v>6</v>
      </c>
      <c r="F181" s="53">
        <f t="shared" si="51"/>
        <v>45818</v>
      </c>
      <c r="G181" s="54" t="str">
        <f t="shared" si="58"/>
        <v>Tue</v>
      </c>
      <c r="H181" s="55"/>
      <c r="I181" s="56"/>
      <c r="J181" s="82">
        <v>207540</v>
      </c>
      <c r="K181" s="83"/>
      <c r="L181" s="59">
        <f t="shared" si="53"/>
        <v>210637.61764366567</v>
      </c>
      <c r="M181" s="60">
        <f t="shared" si="59"/>
        <v>-3097.6176436656679</v>
      </c>
      <c r="N181" s="61">
        <f t="shared" si="60"/>
        <v>0.98529409096856624</v>
      </c>
      <c r="O181" s="80"/>
      <c r="P181" s="59">
        <f>IF(D181=0,0,SUM($L$172:L181))</f>
        <v>1849066.1913630206</v>
      </c>
      <c r="Q181" s="59">
        <f>IF(D181=0,0,SUM($J$172:J181))</f>
        <v>1848970</v>
      </c>
      <c r="R181" s="63">
        <f t="shared" si="48"/>
        <v>-96.191363020567223</v>
      </c>
      <c r="S181" s="64">
        <f t="shared" si="54"/>
        <v>0.99994797841014571</v>
      </c>
      <c r="T181" s="73"/>
      <c r="U181" s="59">
        <f>IF(D181=0,0,SUM($L$21:L181))</f>
        <v>32752224.086099859</v>
      </c>
      <c r="V181" s="59">
        <f>IF(D181=0,0,SUM($J$21:J181))</f>
        <v>33577830</v>
      </c>
      <c r="W181" s="66">
        <f t="shared" si="49"/>
        <v>825605.91390014067</v>
      </c>
      <c r="X181" s="67">
        <f t="shared" si="55"/>
        <v>1.0252076290064995</v>
      </c>
      <c r="Y181" s="68">
        <f t="shared" si="57"/>
        <v>45818</v>
      </c>
      <c r="Z181" s="69">
        <f t="shared" si="57"/>
        <v>45818</v>
      </c>
      <c r="AA181" s="1"/>
      <c r="AB181" s="1"/>
      <c r="AC181" s="1"/>
      <c r="AD181" s="1"/>
      <c r="AE181" s="1"/>
      <c r="AF181" s="1"/>
      <c r="AG181" s="1"/>
    </row>
    <row r="182" spans="1:33" ht="20">
      <c r="A182" s="1"/>
      <c r="B182" s="11"/>
      <c r="C182" s="50">
        <v>162</v>
      </c>
      <c r="D182" s="51">
        <v>1</v>
      </c>
      <c r="E182" s="52">
        <f t="shared" si="50"/>
        <v>6</v>
      </c>
      <c r="F182" s="53">
        <f t="shared" si="51"/>
        <v>45819</v>
      </c>
      <c r="G182" s="54" t="str">
        <f t="shared" si="58"/>
        <v>Wed</v>
      </c>
      <c r="H182" s="55"/>
      <c r="I182" s="56"/>
      <c r="J182" s="82">
        <v>165850</v>
      </c>
      <c r="K182" s="83"/>
      <c r="L182" s="59">
        <f t="shared" si="53"/>
        <v>317333.92471607169</v>
      </c>
      <c r="M182" s="60">
        <f t="shared" si="59"/>
        <v>-151483.92471607169</v>
      </c>
      <c r="N182" s="61">
        <f t="shared" si="60"/>
        <v>0.52263558063762339</v>
      </c>
      <c r="O182" s="80"/>
      <c r="P182" s="59">
        <f>IF(D182=0,0,SUM($L$172:L182))</f>
        <v>2166400.116079092</v>
      </c>
      <c r="Q182" s="59">
        <f>IF(D182=0,0,SUM($J$172:J182))</f>
        <v>2014820</v>
      </c>
      <c r="R182" s="63">
        <f t="shared" si="48"/>
        <v>-151580.11607909203</v>
      </c>
      <c r="S182" s="64">
        <f t="shared" si="54"/>
        <v>0.93003133864605181</v>
      </c>
      <c r="T182" s="73"/>
      <c r="U182" s="59">
        <f>IF(D182=0,0,SUM($L$21:L182))</f>
        <v>33069558.01081593</v>
      </c>
      <c r="V182" s="59">
        <f>IF(D182=0,0,SUM($J$21:J182))</f>
        <v>33743680</v>
      </c>
      <c r="W182" s="66">
        <f t="shared" si="49"/>
        <v>674121.98918407038</v>
      </c>
      <c r="X182" s="67">
        <f t="shared" si="55"/>
        <v>1.0203849712464734</v>
      </c>
      <c r="Y182" s="68">
        <f t="shared" si="57"/>
        <v>45819</v>
      </c>
      <c r="Z182" s="69">
        <f t="shared" si="57"/>
        <v>45819</v>
      </c>
      <c r="AA182" s="1"/>
      <c r="AB182" s="1"/>
      <c r="AC182" s="1"/>
      <c r="AD182" s="1"/>
      <c r="AE182" s="1"/>
      <c r="AF182" s="1"/>
      <c r="AG182" s="1"/>
    </row>
    <row r="183" spans="1:33" ht="20">
      <c r="A183" s="1"/>
      <c r="B183" s="11"/>
      <c r="C183" s="50">
        <v>163</v>
      </c>
      <c r="D183" s="51">
        <v>1</v>
      </c>
      <c r="E183" s="52">
        <f t="shared" si="50"/>
        <v>6</v>
      </c>
      <c r="F183" s="53">
        <f t="shared" si="51"/>
        <v>45820</v>
      </c>
      <c r="G183" s="54" t="str">
        <f t="shared" si="58"/>
        <v>Thu</v>
      </c>
      <c r="H183" s="55"/>
      <c r="I183" s="56"/>
      <c r="J183" s="82">
        <v>196700</v>
      </c>
      <c r="K183" s="83"/>
      <c r="L183" s="59">
        <f t="shared" si="53"/>
        <v>287558.86915979855</v>
      </c>
      <c r="M183" s="60">
        <f t="shared" si="59"/>
        <v>-90858.869159798545</v>
      </c>
      <c r="N183" s="61">
        <f t="shared" si="60"/>
        <v>0.68403384870279338</v>
      </c>
      <c r="O183" s="80"/>
      <c r="P183" s="59">
        <f>IF(D183=0,0,SUM($L$172:L183))</f>
        <v>2453958.9852388906</v>
      </c>
      <c r="Q183" s="59">
        <f>IF(D183=0,0,SUM($J$172:J183))</f>
        <v>2211520</v>
      </c>
      <c r="R183" s="63">
        <f t="shared" si="48"/>
        <v>-242438.98523889063</v>
      </c>
      <c r="S183" s="64">
        <f t="shared" si="54"/>
        <v>0.90120495627791053</v>
      </c>
      <c r="T183" s="73"/>
      <c r="U183" s="59">
        <f>IF(D183=0,0,SUM($L$21:L183))</f>
        <v>33357116.879975729</v>
      </c>
      <c r="V183" s="59">
        <f>IF(D183=0,0,SUM($J$21:J183))</f>
        <v>33940380</v>
      </c>
      <c r="W183" s="66">
        <f t="shared" si="49"/>
        <v>583263.12002427131</v>
      </c>
      <c r="X183" s="67">
        <f t="shared" si="55"/>
        <v>1.0174854176433457</v>
      </c>
      <c r="Y183" s="68">
        <f t="shared" ref="Y183:Z198" si="61">Y182+1</f>
        <v>45820</v>
      </c>
      <c r="Z183" s="69">
        <f t="shared" si="61"/>
        <v>45820</v>
      </c>
      <c r="AA183" s="1"/>
      <c r="AB183" s="1"/>
      <c r="AC183" s="1"/>
      <c r="AD183" s="1"/>
      <c r="AE183" s="1"/>
      <c r="AF183" s="1"/>
      <c r="AG183" s="1"/>
    </row>
    <row r="184" spans="1:33" ht="20">
      <c r="A184" s="1"/>
      <c r="B184" s="11"/>
      <c r="C184" s="50">
        <v>164</v>
      </c>
      <c r="D184" s="51">
        <v>1</v>
      </c>
      <c r="E184" s="52">
        <f t="shared" si="50"/>
        <v>6</v>
      </c>
      <c r="F184" s="53">
        <f t="shared" si="51"/>
        <v>45821</v>
      </c>
      <c r="G184" s="54" t="str">
        <f t="shared" si="58"/>
        <v>Fri</v>
      </c>
      <c r="H184" s="55"/>
      <c r="I184" s="56"/>
      <c r="J184" s="82">
        <v>321700</v>
      </c>
      <c r="K184" s="83"/>
      <c r="L184" s="59">
        <f t="shared" si="53"/>
        <v>332088.97600512422</v>
      </c>
      <c r="M184" s="60">
        <f t="shared" si="59"/>
        <v>-10388.976005124219</v>
      </c>
      <c r="N184" s="61">
        <f t="shared" si="60"/>
        <v>0.9687162876344203</v>
      </c>
      <c r="O184" s="80"/>
      <c r="P184" s="59">
        <f>IF(D184=0,0,SUM($L$172:L184))</f>
        <v>2786047.961244015</v>
      </c>
      <c r="Q184" s="59">
        <f>IF(D184=0,0,SUM($J$172:J184))</f>
        <v>2533220</v>
      </c>
      <c r="R184" s="63">
        <f t="shared" si="48"/>
        <v>-252827.96124401502</v>
      </c>
      <c r="S184" s="64">
        <f t="shared" si="54"/>
        <v>0.90925211455041743</v>
      </c>
      <c r="T184" s="73"/>
      <c r="U184" s="59">
        <f>IF(D184=0,0,SUM($L$21:L184))</f>
        <v>33689205.855980851</v>
      </c>
      <c r="V184" s="59">
        <f>IF(D184=0,0,SUM($J$21:J184))</f>
        <v>34262080</v>
      </c>
      <c r="W184" s="66">
        <f t="shared" si="49"/>
        <v>572874.14401914924</v>
      </c>
      <c r="X184" s="67">
        <f t="shared" si="55"/>
        <v>1.017004679376182</v>
      </c>
      <c r="Y184" s="68">
        <f t="shared" si="61"/>
        <v>45821</v>
      </c>
      <c r="Z184" s="69">
        <f t="shared" si="61"/>
        <v>45821</v>
      </c>
      <c r="AA184" s="1"/>
      <c r="AB184" s="1"/>
      <c r="AC184" s="1"/>
      <c r="AD184" s="1"/>
      <c r="AE184" s="1"/>
      <c r="AF184" s="1"/>
      <c r="AG184" s="1"/>
    </row>
    <row r="185" spans="1:33" ht="20">
      <c r="A185" s="1"/>
      <c r="B185" s="11"/>
      <c r="C185" s="50">
        <v>165</v>
      </c>
      <c r="D185" s="51">
        <v>1</v>
      </c>
      <c r="E185" s="52">
        <f t="shared" si="50"/>
        <v>6</v>
      </c>
      <c r="F185" s="53">
        <f t="shared" si="51"/>
        <v>45822</v>
      </c>
      <c r="G185" s="54" t="str">
        <f t="shared" si="58"/>
        <v>Sat</v>
      </c>
      <c r="H185" s="55"/>
      <c r="I185" s="56"/>
      <c r="J185" s="82">
        <v>117500</v>
      </c>
      <c r="K185" s="83"/>
      <c r="L185" s="59">
        <f t="shared" si="53"/>
        <v>174297.90189045001</v>
      </c>
      <c r="M185" s="60">
        <f t="shared" si="59"/>
        <v>-56797.901890450012</v>
      </c>
      <c r="N185" s="61">
        <f t="shared" si="60"/>
        <v>0.67413318649039899</v>
      </c>
      <c r="O185" s="80"/>
      <c r="P185" s="59">
        <f>IF(D185=0,0,SUM($L$172:L185))</f>
        <v>2960345.8631344652</v>
      </c>
      <c r="Q185" s="59">
        <f>IF(D185=0,0,SUM($J$172:J185))</f>
        <v>2650720</v>
      </c>
      <c r="R185" s="63">
        <f t="shared" si="48"/>
        <v>-309625.86313446518</v>
      </c>
      <c r="S185" s="64">
        <f t="shared" si="54"/>
        <v>0.89540888887671122</v>
      </c>
      <c r="T185" s="73"/>
      <c r="U185" s="59">
        <f>IF(D185=0,0,SUM($L$21:L185))</f>
        <v>33863503.7578713</v>
      </c>
      <c r="V185" s="59">
        <f>IF(D185=0,0,SUM($J$21:J185))</f>
        <v>34379580</v>
      </c>
      <c r="W185" s="66">
        <f t="shared" si="49"/>
        <v>516076.24212870002</v>
      </c>
      <c r="X185" s="67">
        <f t="shared" si="55"/>
        <v>1.0152398950155517</v>
      </c>
      <c r="Y185" s="68">
        <f t="shared" si="61"/>
        <v>45822</v>
      </c>
      <c r="Z185" s="69">
        <f t="shared" si="61"/>
        <v>45822</v>
      </c>
      <c r="AA185" s="1"/>
      <c r="AB185" s="1"/>
      <c r="AC185" s="1"/>
      <c r="AD185" s="1"/>
      <c r="AE185" s="1"/>
      <c r="AF185" s="1"/>
      <c r="AG185" s="1"/>
    </row>
    <row r="186" spans="1:33" ht="20">
      <c r="A186" s="1"/>
      <c r="B186" s="11"/>
      <c r="C186" s="50">
        <v>166</v>
      </c>
      <c r="D186" s="51">
        <v>0</v>
      </c>
      <c r="E186" s="52">
        <f t="shared" si="50"/>
        <v>6</v>
      </c>
      <c r="F186" s="53">
        <f t="shared" si="51"/>
        <v>45823</v>
      </c>
      <c r="G186" s="54" t="str">
        <f t="shared" si="58"/>
        <v>Sun</v>
      </c>
      <c r="H186" s="55"/>
      <c r="I186" s="56"/>
      <c r="J186" s="82"/>
      <c r="K186" s="83"/>
      <c r="L186" s="59">
        <f t="shared" si="53"/>
        <v>0</v>
      </c>
      <c r="M186" s="60">
        <f t="shared" si="59"/>
        <v>0</v>
      </c>
      <c r="N186" s="61" t="str">
        <f t="shared" si="60"/>
        <v>¥0</v>
      </c>
      <c r="O186" s="81"/>
      <c r="P186" s="59">
        <f>IF(D186=0,0,SUM($L$172:L186))</f>
        <v>0</v>
      </c>
      <c r="Q186" s="59">
        <f>IF(D186=0,0,SUM($J$172:J186))</f>
        <v>0</v>
      </c>
      <c r="R186" s="63">
        <f t="shared" si="48"/>
        <v>0</v>
      </c>
      <c r="S186" s="64">
        <f t="shared" si="54"/>
        <v>0</v>
      </c>
      <c r="T186" s="78"/>
      <c r="U186" s="59">
        <f>IF(D186=0,0,SUM($L$21:L186))</f>
        <v>0</v>
      </c>
      <c r="V186" s="59">
        <f>IF(D186=0,0,SUM($J$21:J186))</f>
        <v>0</v>
      </c>
      <c r="W186" s="66">
        <f t="shared" si="49"/>
        <v>0</v>
      </c>
      <c r="X186" s="67">
        <f t="shared" si="55"/>
        <v>0</v>
      </c>
      <c r="Y186" s="68">
        <f t="shared" si="61"/>
        <v>45823</v>
      </c>
      <c r="Z186" s="69">
        <f t="shared" si="61"/>
        <v>45823</v>
      </c>
      <c r="AA186" s="1"/>
      <c r="AB186" s="1"/>
      <c r="AC186" s="1"/>
      <c r="AD186" s="1"/>
      <c r="AE186" s="1"/>
      <c r="AF186" s="1"/>
      <c r="AG186" s="1"/>
    </row>
    <row r="187" spans="1:33" ht="20">
      <c r="A187" s="1"/>
      <c r="B187" s="11"/>
      <c r="C187" s="50">
        <v>167</v>
      </c>
      <c r="D187" s="51">
        <v>1</v>
      </c>
      <c r="E187" s="52">
        <f t="shared" si="50"/>
        <v>6</v>
      </c>
      <c r="F187" s="53">
        <f t="shared" si="51"/>
        <v>45824</v>
      </c>
      <c r="G187" s="54" t="str">
        <f t="shared" si="58"/>
        <v>Mon</v>
      </c>
      <c r="H187" s="55"/>
      <c r="I187" s="56"/>
      <c r="J187" s="82">
        <v>294250</v>
      </c>
      <c r="K187" s="83"/>
      <c r="L187" s="59">
        <f t="shared" si="53"/>
        <v>158255.6421521224</v>
      </c>
      <c r="M187" s="60">
        <f t="shared" si="59"/>
        <v>135994.3578478776</v>
      </c>
      <c r="N187" s="61">
        <f t="shared" si="60"/>
        <v>1.8593333924685842</v>
      </c>
      <c r="O187" s="80"/>
      <c r="P187" s="59">
        <f>IF(D187=0,0,SUM($L$172:L187))</f>
        <v>3118601.5052865874</v>
      </c>
      <c r="Q187" s="59">
        <f>IF(D187=0,0,SUM($J$172:J187))</f>
        <v>2944970</v>
      </c>
      <c r="R187" s="63">
        <f t="shared" si="48"/>
        <v>-173631.5052865874</v>
      </c>
      <c r="S187" s="64">
        <f t="shared" si="54"/>
        <v>0.94432392051621505</v>
      </c>
      <c r="T187" s="73"/>
      <c r="U187" s="59">
        <f>IF(D187=0,0,SUM($L$21:L187))</f>
        <v>34021759.400023423</v>
      </c>
      <c r="V187" s="59">
        <f>IF(D187=0,0,SUM($J$21:J187))</f>
        <v>34673830</v>
      </c>
      <c r="W187" s="66">
        <f t="shared" si="49"/>
        <v>652070.59997657686</v>
      </c>
      <c r="X187" s="67">
        <f t="shared" si="55"/>
        <v>1.019166280976525</v>
      </c>
      <c r="Y187" s="68">
        <f t="shared" si="61"/>
        <v>45824</v>
      </c>
      <c r="Z187" s="69">
        <f t="shared" si="61"/>
        <v>45824</v>
      </c>
      <c r="AA187" s="1"/>
      <c r="AB187" s="1"/>
      <c r="AC187" s="1"/>
      <c r="AD187" s="1"/>
      <c r="AE187" s="1"/>
      <c r="AF187" s="1"/>
      <c r="AG187" s="1"/>
    </row>
    <row r="188" spans="1:33" ht="20">
      <c r="A188" s="1"/>
      <c r="B188" s="11"/>
      <c r="C188" s="50">
        <v>168</v>
      </c>
      <c r="D188" s="51">
        <v>1</v>
      </c>
      <c r="E188" s="52">
        <f t="shared" si="50"/>
        <v>6</v>
      </c>
      <c r="F188" s="53">
        <f t="shared" si="51"/>
        <v>45825</v>
      </c>
      <c r="G188" s="54" t="str">
        <f t="shared" si="58"/>
        <v>Tue</v>
      </c>
      <c r="H188" s="55"/>
      <c r="I188" s="56"/>
      <c r="J188" s="82">
        <v>312200</v>
      </c>
      <c r="K188" s="83"/>
      <c r="L188" s="59">
        <f t="shared" si="53"/>
        <v>210637.61764366567</v>
      </c>
      <c r="M188" s="60">
        <f t="shared" si="59"/>
        <v>101562.38235633433</v>
      </c>
      <c r="N188" s="61">
        <f t="shared" si="60"/>
        <v>1.4821664026230432</v>
      </c>
      <c r="O188" s="80"/>
      <c r="P188" s="59">
        <f>IF(D188=0,0,SUM($L$172:L188))</f>
        <v>3329239.1229302529</v>
      </c>
      <c r="Q188" s="59">
        <f>IF(D188=0,0,SUM($J$172:J188))</f>
        <v>3257170</v>
      </c>
      <c r="R188" s="63">
        <f t="shared" si="48"/>
        <v>-72069.122930252925</v>
      </c>
      <c r="S188" s="64">
        <f t="shared" si="54"/>
        <v>0.97835267450935737</v>
      </c>
      <c r="T188" s="73"/>
      <c r="U188" s="59">
        <f>IF(D188=0,0,SUM($L$21:L188))</f>
        <v>34232397.017667092</v>
      </c>
      <c r="V188" s="59">
        <f>IF(D188=0,0,SUM($J$21:J188))</f>
        <v>34986030</v>
      </c>
      <c r="W188" s="66">
        <f t="shared" si="49"/>
        <v>753632.98233290762</v>
      </c>
      <c r="X188" s="67">
        <f t="shared" si="55"/>
        <v>1.0220151975318574</v>
      </c>
      <c r="Y188" s="68">
        <f t="shared" si="61"/>
        <v>45825</v>
      </c>
      <c r="Z188" s="69">
        <f t="shared" si="61"/>
        <v>45825</v>
      </c>
      <c r="AA188" s="1"/>
      <c r="AB188" s="1"/>
      <c r="AC188" s="1"/>
      <c r="AD188" s="1"/>
      <c r="AE188" s="1"/>
      <c r="AF188" s="1"/>
      <c r="AG188" s="1"/>
    </row>
    <row r="189" spans="1:33" ht="20">
      <c r="A189" s="1"/>
      <c r="B189" s="11"/>
      <c r="C189" s="50">
        <v>169</v>
      </c>
      <c r="D189" s="51">
        <v>1</v>
      </c>
      <c r="E189" s="52">
        <f t="shared" si="50"/>
        <v>6</v>
      </c>
      <c r="F189" s="53">
        <f t="shared" si="51"/>
        <v>45826</v>
      </c>
      <c r="G189" s="54" t="str">
        <f t="shared" si="58"/>
        <v>Wed</v>
      </c>
      <c r="H189" s="55"/>
      <c r="I189" s="56"/>
      <c r="J189" s="82">
        <v>323030</v>
      </c>
      <c r="K189" s="83"/>
      <c r="L189" s="59">
        <f t="shared" si="53"/>
        <v>317333.92471607169</v>
      </c>
      <c r="M189" s="60">
        <f t="shared" si="59"/>
        <v>5696.0752839283086</v>
      </c>
      <c r="N189" s="61">
        <f t="shared" si="60"/>
        <v>1.0179497836199667</v>
      </c>
      <c r="O189" s="80"/>
      <c r="P189" s="59">
        <f>IF(D189=0,0,SUM($L$172:L189))</f>
        <v>3646573.0476463246</v>
      </c>
      <c r="Q189" s="59">
        <f>IF(D189=0,0,SUM($J$172:J189))</f>
        <v>3580200</v>
      </c>
      <c r="R189" s="63">
        <f t="shared" si="48"/>
        <v>-66373.047646324616</v>
      </c>
      <c r="S189" s="64">
        <f t="shared" si="54"/>
        <v>0.98179851417232267</v>
      </c>
      <c r="T189" s="73"/>
      <c r="U189" s="59">
        <f>IF(D189=0,0,SUM($L$21:L189))</f>
        <v>34549730.942383163</v>
      </c>
      <c r="V189" s="59">
        <f>IF(D189=0,0,SUM($J$21:J189))</f>
        <v>35309060</v>
      </c>
      <c r="W189" s="66">
        <f t="shared" si="49"/>
        <v>759329.05761683732</v>
      </c>
      <c r="X189" s="67">
        <f t="shared" si="55"/>
        <v>1.0219778573350724</v>
      </c>
      <c r="Y189" s="68">
        <f t="shared" si="61"/>
        <v>45826</v>
      </c>
      <c r="Z189" s="69">
        <f t="shared" si="61"/>
        <v>45826</v>
      </c>
      <c r="AA189" s="1"/>
      <c r="AB189" s="1"/>
      <c r="AC189" s="1"/>
      <c r="AD189" s="1"/>
      <c r="AE189" s="1"/>
      <c r="AF189" s="1"/>
      <c r="AG189" s="1"/>
    </row>
    <row r="190" spans="1:33" ht="20">
      <c r="A190" s="1"/>
      <c r="B190" s="11"/>
      <c r="C190" s="50">
        <v>170</v>
      </c>
      <c r="D190" s="51">
        <v>1</v>
      </c>
      <c r="E190" s="52">
        <f t="shared" si="50"/>
        <v>6</v>
      </c>
      <c r="F190" s="53">
        <f t="shared" si="51"/>
        <v>45827</v>
      </c>
      <c r="G190" s="54" t="str">
        <f t="shared" si="58"/>
        <v>Thu</v>
      </c>
      <c r="H190" s="55"/>
      <c r="I190" s="56"/>
      <c r="J190" s="82">
        <v>281270</v>
      </c>
      <c r="K190" s="83"/>
      <c r="L190" s="59">
        <f t="shared" si="53"/>
        <v>287558.86915979855</v>
      </c>
      <c r="M190" s="60">
        <f t="shared" si="59"/>
        <v>-6288.8691597985453</v>
      </c>
      <c r="N190" s="61">
        <f t="shared" si="60"/>
        <v>0.97813015060820896</v>
      </c>
      <c r="O190" s="80"/>
      <c r="P190" s="59">
        <f>IF(D190=0,0,SUM($L$172:L190))</f>
        <v>3934131.9168061232</v>
      </c>
      <c r="Q190" s="59">
        <f>IF(D190=0,0,SUM($J$172:J190))</f>
        <v>3861470</v>
      </c>
      <c r="R190" s="63">
        <f t="shared" si="48"/>
        <v>-72661.916806123219</v>
      </c>
      <c r="S190" s="64">
        <f t="shared" si="54"/>
        <v>0.98153038120157576</v>
      </c>
      <c r="T190" s="73"/>
      <c r="U190" s="59">
        <f>IF(D190=0,0,SUM($L$21:L190))</f>
        <v>34837289.811542958</v>
      </c>
      <c r="V190" s="59">
        <f>IF(D190=0,0,SUM($J$21:J190))</f>
        <v>35590330</v>
      </c>
      <c r="W190" s="66">
        <f t="shared" si="49"/>
        <v>753040.18845704198</v>
      </c>
      <c r="X190" s="67">
        <f t="shared" si="55"/>
        <v>1.0216159234122606</v>
      </c>
      <c r="Y190" s="68">
        <f t="shared" si="61"/>
        <v>45827</v>
      </c>
      <c r="Z190" s="69">
        <f t="shared" si="61"/>
        <v>45827</v>
      </c>
      <c r="AA190" s="1"/>
      <c r="AB190" s="1"/>
      <c r="AC190" s="1"/>
      <c r="AD190" s="1"/>
      <c r="AE190" s="1"/>
      <c r="AF190" s="1"/>
      <c r="AG190" s="1"/>
    </row>
    <row r="191" spans="1:33" ht="20">
      <c r="A191" s="1"/>
      <c r="B191" s="11"/>
      <c r="C191" s="50">
        <v>171</v>
      </c>
      <c r="D191" s="51">
        <v>1</v>
      </c>
      <c r="E191" s="52">
        <f t="shared" si="50"/>
        <v>6</v>
      </c>
      <c r="F191" s="53">
        <f t="shared" si="51"/>
        <v>45828</v>
      </c>
      <c r="G191" s="54" t="str">
        <f t="shared" si="58"/>
        <v>Fri</v>
      </c>
      <c r="H191" s="55"/>
      <c r="I191" s="56"/>
      <c r="J191" s="82">
        <v>278260</v>
      </c>
      <c r="K191" s="83"/>
      <c r="L191" s="59">
        <f t="shared" si="53"/>
        <v>332088.97600512422</v>
      </c>
      <c r="M191" s="60">
        <f t="shared" si="59"/>
        <v>-53828.976005124219</v>
      </c>
      <c r="N191" s="61">
        <f t="shared" si="60"/>
        <v>0.83790797077138257</v>
      </c>
      <c r="O191" s="80"/>
      <c r="P191" s="59">
        <f>IF(D191=0,0,SUM($L$172:L191))</f>
        <v>4266220.8928112471</v>
      </c>
      <c r="Q191" s="59">
        <f>IF(D191=0,0,SUM($J$172:J191))</f>
        <v>4139730</v>
      </c>
      <c r="R191" s="63">
        <f t="shared" si="48"/>
        <v>-126490.89281124715</v>
      </c>
      <c r="S191" s="64">
        <f t="shared" si="54"/>
        <v>0.97035059927994127</v>
      </c>
      <c r="T191" s="73"/>
      <c r="U191" s="59">
        <f>IF(D191=0,0,SUM($L$21:L191))</f>
        <v>35169378.78754808</v>
      </c>
      <c r="V191" s="59">
        <f>IF(D191=0,0,SUM($J$21:J191))</f>
        <v>35868590</v>
      </c>
      <c r="W191" s="66">
        <f t="shared" si="49"/>
        <v>699211.21245191991</v>
      </c>
      <c r="X191" s="67">
        <f t="shared" si="55"/>
        <v>1.0198812500122829</v>
      </c>
      <c r="Y191" s="68">
        <f t="shared" si="61"/>
        <v>45828</v>
      </c>
      <c r="Z191" s="69">
        <f t="shared" si="61"/>
        <v>45828</v>
      </c>
      <c r="AA191" s="1"/>
      <c r="AB191" s="1"/>
      <c r="AC191" s="1"/>
      <c r="AD191" s="1"/>
      <c r="AE191" s="1"/>
      <c r="AF191" s="1"/>
      <c r="AG191" s="1"/>
    </row>
    <row r="192" spans="1:33" ht="20">
      <c r="A192" s="1"/>
      <c r="B192" s="11"/>
      <c r="C192" s="50">
        <v>172</v>
      </c>
      <c r="D192" s="51">
        <v>1</v>
      </c>
      <c r="E192" s="52">
        <f t="shared" si="50"/>
        <v>6</v>
      </c>
      <c r="F192" s="53">
        <f t="shared" si="51"/>
        <v>45829</v>
      </c>
      <c r="G192" s="54" t="str">
        <f t="shared" si="58"/>
        <v>Sat</v>
      </c>
      <c r="H192" s="55"/>
      <c r="I192" s="56"/>
      <c r="J192" s="82">
        <v>138100</v>
      </c>
      <c r="K192" s="83"/>
      <c r="L192" s="59">
        <f t="shared" si="53"/>
        <v>174297.90189045001</v>
      </c>
      <c r="M192" s="60">
        <f t="shared" si="59"/>
        <v>-36197.901890450012</v>
      </c>
      <c r="N192" s="61">
        <f t="shared" si="60"/>
        <v>0.79232164301552421</v>
      </c>
      <c r="O192" s="80"/>
      <c r="P192" s="59">
        <f>IF(D192=0,0,SUM($L$172:L192))</f>
        <v>4440518.7947016973</v>
      </c>
      <c r="Q192" s="59">
        <f>IF(D192=0,0,SUM($J$172:J192))</f>
        <v>4277830</v>
      </c>
      <c r="R192" s="63">
        <f t="shared" si="48"/>
        <v>-162688.7947016973</v>
      </c>
      <c r="S192" s="64">
        <f t="shared" si="54"/>
        <v>0.96336266048556918</v>
      </c>
      <c r="T192" s="73"/>
      <c r="U192" s="59">
        <f>IF(D192=0,0,SUM($L$21:L192))</f>
        <v>35343676.689438529</v>
      </c>
      <c r="V192" s="59">
        <f>IF(D192=0,0,SUM($J$21:J192))</f>
        <v>36006690</v>
      </c>
      <c r="W192" s="66">
        <f t="shared" si="49"/>
        <v>663013.31056147069</v>
      </c>
      <c r="X192" s="67">
        <f t="shared" si="55"/>
        <v>1.0187590362029197</v>
      </c>
      <c r="Y192" s="68">
        <f t="shared" si="61"/>
        <v>45829</v>
      </c>
      <c r="Z192" s="69">
        <f t="shared" si="61"/>
        <v>45829</v>
      </c>
      <c r="AA192" s="1"/>
      <c r="AB192" s="1"/>
      <c r="AC192" s="1"/>
      <c r="AD192" s="1"/>
      <c r="AE192" s="1"/>
      <c r="AF192" s="1"/>
      <c r="AG192" s="1"/>
    </row>
    <row r="193" spans="1:33" ht="20">
      <c r="A193" s="1"/>
      <c r="B193" s="11"/>
      <c r="C193" s="50">
        <v>173</v>
      </c>
      <c r="D193" s="51">
        <v>0</v>
      </c>
      <c r="E193" s="52">
        <f t="shared" si="50"/>
        <v>6</v>
      </c>
      <c r="F193" s="53">
        <f t="shared" si="51"/>
        <v>45830</v>
      </c>
      <c r="G193" s="54" t="str">
        <f t="shared" si="58"/>
        <v>Sun</v>
      </c>
      <c r="H193" s="55"/>
      <c r="I193" s="56"/>
      <c r="J193" s="82"/>
      <c r="K193" s="83"/>
      <c r="L193" s="59">
        <f t="shared" si="53"/>
        <v>0</v>
      </c>
      <c r="M193" s="60">
        <f t="shared" si="59"/>
        <v>0</v>
      </c>
      <c r="N193" s="61" t="str">
        <f t="shared" si="60"/>
        <v>¥0</v>
      </c>
      <c r="O193" s="81"/>
      <c r="P193" s="59">
        <f>IF(D193=0,0,SUM($L$172:L193))</f>
        <v>0</v>
      </c>
      <c r="Q193" s="59">
        <f>IF(D193=0,0,SUM($J$172:J193))</f>
        <v>0</v>
      </c>
      <c r="R193" s="63">
        <f t="shared" si="48"/>
        <v>0</v>
      </c>
      <c r="S193" s="64">
        <f t="shared" si="54"/>
        <v>0</v>
      </c>
      <c r="T193" s="78"/>
      <c r="U193" s="59">
        <f>IF(D193=0,0,SUM($L$21:L193))</f>
        <v>0</v>
      </c>
      <c r="V193" s="59">
        <f>IF(D193=0,0,SUM($J$21:J193))</f>
        <v>0</v>
      </c>
      <c r="W193" s="66">
        <f t="shared" si="49"/>
        <v>0</v>
      </c>
      <c r="X193" s="67">
        <f t="shared" si="55"/>
        <v>0</v>
      </c>
      <c r="Y193" s="68">
        <f t="shared" si="61"/>
        <v>45830</v>
      </c>
      <c r="Z193" s="69">
        <f t="shared" si="61"/>
        <v>45830</v>
      </c>
      <c r="AA193" s="1"/>
      <c r="AB193" s="1"/>
      <c r="AC193" s="1"/>
      <c r="AD193" s="1"/>
      <c r="AE193" s="1"/>
      <c r="AF193" s="1"/>
      <c r="AG193" s="1"/>
    </row>
    <row r="194" spans="1:33" ht="20">
      <c r="A194" s="1"/>
      <c r="B194" s="11"/>
      <c r="C194" s="50">
        <v>174</v>
      </c>
      <c r="D194" s="51">
        <v>1</v>
      </c>
      <c r="E194" s="52">
        <f t="shared" si="50"/>
        <v>6</v>
      </c>
      <c r="F194" s="53">
        <f t="shared" si="51"/>
        <v>45831</v>
      </c>
      <c r="G194" s="54" t="str">
        <f t="shared" si="58"/>
        <v>Mon</v>
      </c>
      <c r="H194" s="55"/>
      <c r="I194" s="56"/>
      <c r="J194" s="82">
        <v>301310</v>
      </c>
      <c r="K194" s="83"/>
      <c r="L194" s="59">
        <f t="shared" si="53"/>
        <v>158255.6421521224</v>
      </c>
      <c r="M194" s="60">
        <f t="shared" si="59"/>
        <v>143054.3578478776</v>
      </c>
      <c r="N194" s="61">
        <f t="shared" si="60"/>
        <v>1.9039447561077625</v>
      </c>
      <c r="O194" s="80"/>
      <c r="P194" s="59">
        <f>IF(D194=0,0,SUM($L$172:L194))</f>
        <v>4598774.4368538195</v>
      </c>
      <c r="Q194" s="59">
        <f>IF(D194=0,0,SUM($J$172:J194))</f>
        <v>4579140</v>
      </c>
      <c r="R194" s="63">
        <f t="shared" si="48"/>
        <v>-19634.436853819527</v>
      </c>
      <c r="S194" s="64">
        <f t="shared" si="54"/>
        <v>0.99573050665488783</v>
      </c>
      <c r="T194" s="73"/>
      <c r="U194" s="59">
        <f>IF(D194=0,0,SUM($L$21:L194))</f>
        <v>35501932.331590652</v>
      </c>
      <c r="V194" s="59">
        <f>IF(D194=0,0,SUM($J$21:J194))</f>
        <v>36308000</v>
      </c>
      <c r="W194" s="66">
        <f t="shared" si="49"/>
        <v>806067.66840934753</v>
      </c>
      <c r="X194" s="67">
        <f t="shared" si="55"/>
        <v>1.0227048956344296</v>
      </c>
      <c r="Y194" s="68">
        <f t="shared" si="61"/>
        <v>45831</v>
      </c>
      <c r="Z194" s="69">
        <f t="shared" si="61"/>
        <v>45831</v>
      </c>
      <c r="AA194" s="1"/>
      <c r="AB194" s="1"/>
      <c r="AC194" s="1"/>
      <c r="AD194" s="1"/>
      <c r="AE194" s="1"/>
      <c r="AF194" s="1"/>
      <c r="AG194" s="1"/>
    </row>
    <row r="195" spans="1:33" ht="20">
      <c r="A195" s="1"/>
      <c r="B195" s="11"/>
      <c r="C195" s="50">
        <v>175</v>
      </c>
      <c r="D195" s="51">
        <v>1</v>
      </c>
      <c r="E195" s="52">
        <f t="shared" si="50"/>
        <v>6</v>
      </c>
      <c r="F195" s="53">
        <f t="shared" si="51"/>
        <v>45832</v>
      </c>
      <c r="G195" s="54" t="str">
        <f t="shared" si="58"/>
        <v>Tue</v>
      </c>
      <c r="H195" s="55"/>
      <c r="I195" s="56"/>
      <c r="J195" s="82">
        <v>362100</v>
      </c>
      <c r="K195" s="83"/>
      <c r="L195" s="59">
        <f t="shared" si="53"/>
        <v>210637.61764366567</v>
      </c>
      <c r="M195" s="60">
        <f t="shared" si="59"/>
        <v>151462.38235633433</v>
      </c>
      <c r="N195" s="61">
        <f t="shared" si="60"/>
        <v>1.719066157558629</v>
      </c>
      <c r="O195" s="80"/>
      <c r="P195" s="59">
        <f>IF(D195=0,0,SUM($L$172:L195))</f>
        <v>4809412.054497485</v>
      </c>
      <c r="Q195" s="59">
        <f>IF(D195=0,0,SUM($J$172:J195))</f>
        <v>4941240</v>
      </c>
      <c r="R195" s="63">
        <f t="shared" si="48"/>
        <v>131827.94550251495</v>
      </c>
      <c r="S195" s="64">
        <f t="shared" si="54"/>
        <v>1.0274104077605988</v>
      </c>
      <c r="T195" s="73"/>
      <c r="U195" s="59">
        <f>IF(D195=0,0,SUM($L$21:L195))</f>
        <v>35712569.949234322</v>
      </c>
      <c r="V195" s="59">
        <f>IF(D195=0,0,SUM($J$21:J195))</f>
        <v>36670100</v>
      </c>
      <c r="W195" s="66">
        <f t="shared" si="49"/>
        <v>957530.05076567829</v>
      </c>
      <c r="X195" s="67">
        <f t="shared" si="55"/>
        <v>1.0268121295142527</v>
      </c>
      <c r="Y195" s="68">
        <f t="shared" si="61"/>
        <v>45832</v>
      </c>
      <c r="Z195" s="69">
        <f t="shared" si="61"/>
        <v>45832</v>
      </c>
      <c r="AA195" s="1"/>
      <c r="AB195" s="1"/>
      <c r="AC195" s="1"/>
      <c r="AD195" s="1"/>
      <c r="AE195" s="1"/>
      <c r="AF195" s="1"/>
      <c r="AG195" s="1"/>
    </row>
    <row r="196" spans="1:33" ht="20">
      <c r="A196" s="1"/>
      <c r="B196" s="11"/>
      <c r="C196" s="50">
        <v>176</v>
      </c>
      <c r="D196" s="51">
        <v>1</v>
      </c>
      <c r="E196" s="52">
        <f t="shared" si="50"/>
        <v>6</v>
      </c>
      <c r="F196" s="53">
        <f t="shared" si="51"/>
        <v>45833</v>
      </c>
      <c r="G196" s="54" t="str">
        <f t="shared" si="58"/>
        <v>Wed</v>
      </c>
      <c r="H196" s="55"/>
      <c r="I196" s="56"/>
      <c r="J196" s="82">
        <v>180600</v>
      </c>
      <c r="K196" s="83"/>
      <c r="L196" s="59">
        <f t="shared" si="53"/>
        <v>317333.92471607169</v>
      </c>
      <c r="M196" s="60">
        <f t="shared" si="59"/>
        <v>-136733.92471607169</v>
      </c>
      <c r="N196" s="61">
        <f t="shared" si="60"/>
        <v>0.56911658645254615</v>
      </c>
      <c r="O196" s="80"/>
      <c r="P196" s="59">
        <f>IF(D196=0,0,SUM($L$172:L196))</f>
        <v>5126745.9792135563</v>
      </c>
      <c r="Q196" s="59">
        <f>IF(D196=0,0,SUM($J$172:J196))</f>
        <v>5121840</v>
      </c>
      <c r="R196" s="63">
        <f t="shared" si="48"/>
        <v>-4905.9792135562748</v>
      </c>
      <c r="S196" s="64">
        <f t="shared" si="54"/>
        <v>0.99904306177184365</v>
      </c>
      <c r="T196" s="73"/>
      <c r="U196" s="59">
        <f>IF(D196=0,0,SUM($L$21:L196))</f>
        <v>36029903.873950392</v>
      </c>
      <c r="V196" s="59">
        <f>IF(D196=0,0,SUM($J$21:J196))</f>
        <v>36850700</v>
      </c>
      <c r="W196" s="66">
        <f t="shared" si="49"/>
        <v>820796.12604960799</v>
      </c>
      <c r="X196" s="67">
        <f t="shared" si="55"/>
        <v>1.022780969078384</v>
      </c>
      <c r="Y196" s="68">
        <f t="shared" si="61"/>
        <v>45833</v>
      </c>
      <c r="Z196" s="69">
        <f t="shared" si="61"/>
        <v>45833</v>
      </c>
      <c r="AA196" s="1"/>
      <c r="AB196" s="1"/>
      <c r="AC196" s="1"/>
      <c r="AD196" s="1"/>
      <c r="AE196" s="1"/>
      <c r="AF196" s="1"/>
      <c r="AG196" s="1"/>
    </row>
    <row r="197" spans="1:33" ht="20">
      <c r="A197" s="1"/>
      <c r="B197" s="11"/>
      <c r="C197" s="50">
        <v>177</v>
      </c>
      <c r="D197" s="51">
        <v>1</v>
      </c>
      <c r="E197" s="52">
        <f t="shared" si="50"/>
        <v>6</v>
      </c>
      <c r="F197" s="53">
        <f t="shared" si="51"/>
        <v>45834</v>
      </c>
      <c r="G197" s="54" t="str">
        <f t="shared" si="58"/>
        <v>Thu</v>
      </c>
      <c r="H197" s="55"/>
      <c r="I197" s="56"/>
      <c r="J197" s="82">
        <v>148260</v>
      </c>
      <c r="K197" s="83"/>
      <c r="L197" s="59">
        <f t="shared" si="53"/>
        <v>287558.86915979855</v>
      </c>
      <c r="M197" s="60">
        <f t="shared" si="59"/>
        <v>-139298.86915979855</v>
      </c>
      <c r="N197" s="61">
        <f t="shared" si="60"/>
        <v>0.51558138489413396</v>
      </c>
      <c r="O197" s="80"/>
      <c r="P197" s="59">
        <f>IF(D197=0,0,SUM($L$172:L197))</f>
        <v>5414304.8483733544</v>
      </c>
      <c r="Q197" s="59">
        <f>IF(D197=0,0,SUM($J$172:J197))</f>
        <v>5270100</v>
      </c>
      <c r="R197" s="63">
        <f t="shared" si="48"/>
        <v>-144204.84837335441</v>
      </c>
      <c r="S197" s="64">
        <f t="shared" si="54"/>
        <v>0.9733659532642166</v>
      </c>
      <c r="T197" s="73"/>
      <c r="U197" s="59">
        <f>IF(D197=0,0,SUM($L$21:L197))</f>
        <v>36317462.743110187</v>
      </c>
      <c r="V197" s="59">
        <f>IF(D197=0,0,SUM($J$21:J197))</f>
        <v>36998960</v>
      </c>
      <c r="W197" s="66">
        <f t="shared" si="49"/>
        <v>681497.25688981265</v>
      </c>
      <c r="X197" s="67">
        <f t="shared" si="55"/>
        <v>1.0187650018865677</v>
      </c>
      <c r="Y197" s="68">
        <f t="shared" si="61"/>
        <v>45834</v>
      </c>
      <c r="Z197" s="69">
        <f t="shared" si="61"/>
        <v>45834</v>
      </c>
      <c r="AA197" s="1"/>
      <c r="AB197" s="1"/>
      <c r="AC197" s="1"/>
      <c r="AD197" s="1"/>
      <c r="AE197" s="1"/>
      <c r="AF197" s="1"/>
      <c r="AG197" s="1"/>
    </row>
    <row r="198" spans="1:33" ht="20">
      <c r="A198" s="1"/>
      <c r="B198" s="11"/>
      <c r="C198" s="50">
        <v>178</v>
      </c>
      <c r="D198" s="51">
        <v>1</v>
      </c>
      <c r="E198" s="52">
        <f t="shared" si="50"/>
        <v>6</v>
      </c>
      <c r="F198" s="53">
        <f t="shared" si="51"/>
        <v>45835</v>
      </c>
      <c r="G198" s="54" t="str">
        <f t="shared" si="58"/>
        <v>Fri</v>
      </c>
      <c r="H198" s="55"/>
      <c r="I198" s="56"/>
      <c r="J198" s="82">
        <v>274450</v>
      </c>
      <c r="K198" s="83"/>
      <c r="L198" s="59">
        <f t="shared" si="53"/>
        <v>332088.97600512422</v>
      </c>
      <c r="M198" s="60">
        <f t="shared" si="59"/>
        <v>-57638.976005124219</v>
      </c>
      <c r="N198" s="61">
        <f t="shared" si="60"/>
        <v>0.82643514187524603</v>
      </c>
      <c r="O198" s="80"/>
      <c r="P198" s="59">
        <f>IF(D198=0,0,SUM($L$172:L198))</f>
        <v>5746393.8243784783</v>
      </c>
      <c r="Q198" s="59">
        <f>IF(D198=0,0,SUM($J$172:J198))</f>
        <v>5544550</v>
      </c>
      <c r="R198" s="63">
        <f t="shared" si="48"/>
        <v>-201843.82437847834</v>
      </c>
      <c r="S198" s="64">
        <f t="shared" si="54"/>
        <v>0.96487469697566208</v>
      </c>
      <c r="T198" s="73"/>
      <c r="U198" s="59">
        <f>IF(D198=0,0,SUM($L$21:L198))</f>
        <v>36649551.719115309</v>
      </c>
      <c r="V198" s="59">
        <f>IF(D198=0,0,SUM($J$21:J198))</f>
        <v>37273410</v>
      </c>
      <c r="W198" s="66">
        <f t="shared" si="49"/>
        <v>623858.28088469058</v>
      </c>
      <c r="X198" s="67">
        <f t="shared" si="55"/>
        <v>1.0170222622548288</v>
      </c>
      <c r="Y198" s="68">
        <f t="shared" si="61"/>
        <v>45835</v>
      </c>
      <c r="Z198" s="69">
        <f t="shared" si="61"/>
        <v>45835</v>
      </c>
      <c r="AA198" s="1"/>
      <c r="AB198" s="1"/>
      <c r="AC198" s="1"/>
      <c r="AD198" s="1"/>
      <c r="AE198" s="1"/>
      <c r="AF198" s="1"/>
      <c r="AG198" s="1"/>
    </row>
    <row r="199" spans="1:33" ht="20">
      <c r="A199" s="1"/>
      <c r="B199" s="11"/>
      <c r="C199" s="50">
        <v>179</v>
      </c>
      <c r="D199" s="51">
        <v>1</v>
      </c>
      <c r="E199" s="52">
        <f t="shared" si="50"/>
        <v>6</v>
      </c>
      <c r="F199" s="53">
        <f t="shared" si="51"/>
        <v>45836</v>
      </c>
      <c r="G199" s="54" t="str">
        <f t="shared" si="58"/>
        <v>Sat</v>
      </c>
      <c r="H199" s="55"/>
      <c r="I199" s="56"/>
      <c r="J199" s="82">
        <v>98190</v>
      </c>
      <c r="K199" s="83"/>
      <c r="L199" s="59">
        <f t="shared" si="53"/>
        <v>174297.90189045001</v>
      </c>
      <c r="M199" s="60">
        <f t="shared" si="59"/>
        <v>-76107.901890450012</v>
      </c>
      <c r="N199" s="61">
        <f t="shared" si="60"/>
        <v>0.56334585175738106</v>
      </c>
      <c r="O199" s="80"/>
      <c r="P199" s="59">
        <f>IF(D199=0,0,SUM($L$172:L199))</f>
        <v>5920691.7262689285</v>
      </c>
      <c r="Q199" s="59">
        <f>IF(D199=0,0,SUM($J$172:J199))</f>
        <v>5642740</v>
      </c>
      <c r="R199" s="63">
        <f t="shared" si="48"/>
        <v>-277951.7262689285</v>
      </c>
      <c r="S199" s="64">
        <f t="shared" si="54"/>
        <v>0.95305418030198863</v>
      </c>
      <c r="T199" s="73"/>
      <c r="U199" s="59">
        <f>IF(D199=0,0,SUM($L$21:L199))</f>
        <v>36823849.621005759</v>
      </c>
      <c r="V199" s="59">
        <f>IF(D199=0,0,SUM($J$21:J199))</f>
        <v>37371600</v>
      </c>
      <c r="W199" s="66">
        <f t="shared" si="49"/>
        <v>547750.37899424136</v>
      </c>
      <c r="X199" s="67">
        <f t="shared" si="55"/>
        <v>1.0148748809435117</v>
      </c>
      <c r="Y199" s="68">
        <f t="shared" ref="Y199:Z214" si="62">Y198+1</f>
        <v>45836</v>
      </c>
      <c r="Z199" s="69">
        <f t="shared" si="62"/>
        <v>45836</v>
      </c>
      <c r="AA199" s="1"/>
      <c r="AB199" s="1"/>
      <c r="AC199" s="1"/>
      <c r="AD199" s="1"/>
      <c r="AE199" s="1"/>
      <c r="AF199" s="1"/>
      <c r="AG199" s="1"/>
    </row>
    <row r="200" spans="1:33" ht="20">
      <c r="A200" s="1"/>
      <c r="B200" s="11"/>
      <c r="C200" s="50">
        <v>180</v>
      </c>
      <c r="D200" s="51">
        <v>0</v>
      </c>
      <c r="E200" s="52">
        <f t="shared" si="50"/>
        <v>6</v>
      </c>
      <c r="F200" s="53">
        <f t="shared" si="51"/>
        <v>45837</v>
      </c>
      <c r="G200" s="54" t="str">
        <f t="shared" si="58"/>
        <v>Sun</v>
      </c>
      <c r="H200" s="55"/>
      <c r="I200" s="56"/>
      <c r="J200" s="82"/>
      <c r="K200" s="83"/>
      <c r="L200" s="59">
        <f t="shared" si="53"/>
        <v>0</v>
      </c>
      <c r="M200" s="60">
        <f t="shared" si="59"/>
        <v>0</v>
      </c>
      <c r="N200" s="61" t="str">
        <f t="shared" si="60"/>
        <v>¥0</v>
      </c>
      <c r="O200" s="81"/>
      <c r="P200" s="59">
        <f>IF(D200=0,0,SUM($L$172:L200))</f>
        <v>0</v>
      </c>
      <c r="Q200" s="59">
        <f>IF(D200=0,0,SUM($J$172:J200))</f>
        <v>0</v>
      </c>
      <c r="R200" s="63">
        <f t="shared" si="48"/>
        <v>0</v>
      </c>
      <c r="S200" s="64">
        <f t="shared" si="54"/>
        <v>0</v>
      </c>
      <c r="T200" s="78"/>
      <c r="U200" s="59">
        <f>IF(D200=0,0,SUM($L$21:L200))</f>
        <v>0</v>
      </c>
      <c r="V200" s="59">
        <f>IF(D200=0,0,SUM($J$21:J200))</f>
        <v>0</v>
      </c>
      <c r="W200" s="66">
        <f t="shared" si="49"/>
        <v>0</v>
      </c>
      <c r="X200" s="67">
        <f t="shared" si="55"/>
        <v>0</v>
      </c>
      <c r="Y200" s="68">
        <f t="shared" si="62"/>
        <v>45837</v>
      </c>
      <c r="Z200" s="69">
        <f t="shared" si="62"/>
        <v>45837</v>
      </c>
      <c r="AA200" s="1"/>
      <c r="AB200" s="1"/>
      <c r="AC200" s="1"/>
      <c r="AD200" s="1"/>
      <c r="AE200" s="1"/>
      <c r="AF200" s="1"/>
      <c r="AG200" s="1"/>
    </row>
    <row r="201" spans="1:33" ht="21" thickBot="1">
      <c r="A201" s="1"/>
      <c r="B201" s="11"/>
      <c r="C201" s="84">
        <v>181</v>
      </c>
      <c r="D201" s="85">
        <v>1</v>
      </c>
      <c r="E201" s="501">
        <f t="shared" si="50"/>
        <v>6</v>
      </c>
      <c r="F201" s="86">
        <f t="shared" si="51"/>
        <v>45838</v>
      </c>
      <c r="G201" s="87" t="str">
        <f t="shared" si="58"/>
        <v>Mon</v>
      </c>
      <c r="H201" s="508"/>
      <c r="I201" s="502"/>
      <c r="J201" s="89">
        <v>71600</v>
      </c>
      <c r="K201" s="503"/>
      <c r="L201" s="534">
        <f t="shared" si="53"/>
        <v>158255.6421521224</v>
      </c>
      <c r="M201" s="91">
        <f t="shared" si="59"/>
        <v>-86655.642152122397</v>
      </c>
      <c r="N201" s="92">
        <f t="shared" si="60"/>
        <v>0.45243252642566056</v>
      </c>
      <c r="O201" s="504"/>
      <c r="P201" s="99">
        <f>IF(D201=0,0,SUM($L$172:L201))</f>
        <v>6078947.3684210507</v>
      </c>
      <c r="Q201" s="90">
        <f>IF(D201=0,0,SUM($J$172:J201))</f>
        <v>5714340</v>
      </c>
      <c r="R201" s="91">
        <f t="shared" si="48"/>
        <v>-364607.36842105072</v>
      </c>
      <c r="S201" s="505">
        <f t="shared" si="54"/>
        <v>0.94002129870129902</v>
      </c>
      <c r="T201" s="506"/>
      <c r="U201" s="94">
        <f>IF(D201=0,0,SUM($L$21:L201))</f>
        <v>36982105.263157882</v>
      </c>
      <c r="V201" s="90">
        <f>IF(D201=0,0,SUM($J$21:J201))</f>
        <v>37443200</v>
      </c>
      <c r="W201" s="95">
        <f t="shared" si="49"/>
        <v>461094.7368421182</v>
      </c>
      <c r="X201" s="507">
        <f t="shared" si="55"/>
        <v>1.0124680499814993</v>
      </c>
      <c r="Y201" s="68">
        <f t="shared" si="62"/>
        <v>45838</v>
      </c>
      <c r="Z201" s="69">
        <f t="shared" si="62"/>
        <v>45838</v>
      </c>
      <c r="AA201" s="1"/>
      <c r="AB201" s="1"/>
      <c r="AC201" s="1"/>
      <c r="AD201" s="1"/>
      <c r="AE201" s="1"/>
      <c r="AF201" s="1"/>
      <c r="AG201" s="1"/>
    </row>
    <row r="202" spans="1:33" ht="21" thickTop="1">
      <c r="A202" s="1"/>
      <c r="B202" s="11"/>
      <c r="C202" s="50">
        <v>182</v>
      </c>
      <c r="D202" s="96">
        <v>1</v>
      </c>
      <c r="E202" s="52">
        <f t="shared" si="50"/>
        <v>7</v>
      </c>
      <c r="F202" s="53">
        <f t="shared" si="51"/>
        <v>45839</v>
      </c>
      <c r="G202" s="54" t="str">
        <f t="shared" si="58"/>
        <v>Tue</v>
      </c>
      <c r="H202" s="55"/>
      <c r="I202" s="56"/>
      <c r="J202" s="82">
        <v>152950</v>
      </c>
      <c r="K202" s="83"/>
      <c r="L202" s="59">
        <f t="shared" si="53"/>
        <v>147630.74386235513</v>
      </c>
      <c r="M202" s="63">
        <f t="shared" ref="M202:M226" si="63">IF(D202=0,0,J202-L202)</f>
        <v>5319.2561376448721</v>
      </c>
      <c r="N202" s="97">
        <f t="shared" ref="N202:N226" si="64">IFERROR(J202/L202,"¥0")</f>
        <v>1.0360308157940621</v>
      </c>
      <c r="O202" s="80"/>
      <c r="P202" s="59">
        <f>IF(D202=0,0,$L$202)</f>
        <v>147630.74386235513</v>
      </c>
      <c r="Q202" s="59">
        <f>IF(D202=0,0,$J$202)</f>
        <v>152950</v>
      </c>
      <c r="R202" s="63">
        <f t="shared" si="48"/>
        <v>5319.2561376448721</v>
      </c>
      <c r="S202" s="499">
        <f t="shared" si="54"/>
        <v>1.0360308157940621</v>
      </c>
      <c r="T202" s="73"/>
      <c r="U202" s="59">
        <f>IF(D202=0,0,SUM($L$21:L202))</f>
        <v>37129736.007020235</v>
      </c>
      <c r="V202" s="59">
        <f>IF(D202=0,0,SUM($J$21:J202))</f>
        <v>37596150</v>
      </c>
      <c r="W202" s="66">
        <f t="shared" si="49"/>
        <v>466413.99297976494</v>
      </c>
      <c r="X202" s="500">
        <f t="shared" si="55"/>
        <v>1.0125617373872946</v>
      </c>
      <c r="Y202" s="68">
        <f t="shared" si="62"/>
        <v>45839</v>
      </c>
      <c r="Z202" s="69">
        <f t="shared" si="62"/>
        <v>45839</v>
      </c>
      <c r="AA202" s="1"/>
      <c r="AB202" s="1"/>
      <c r="AC202" s="1"/>
      <c r="AD202" s="1"/>
      <c r="AE202" s="1"/>
      <c r="AF202" s="1"/>
      <c r="AG202" s="1"/>
    </row>
    <row r="203" spans="1:33" ht="20">
      <c r="A203" s="1"/>
      <c r="B203" s="11"/>
      <c r="C203" s="50">
        <v>183</v>
      </c>
      <c r="D203" s="51">
        <v>1</v>
      </c>
      <c r="E203" s="52">
        <f t="shared" si="50"/>
        <v>7</v>
      </c>
      <c r="F203" s="53">
        <f t="shared" si="51"/>
        <v>45840</v>
      </c>
      <c r="G203" s="54" t="str">
        <f t="shared" si="58"/>
        <v>Wed</v>
      </c>
      <c r="H203" s="55"/>
      <c r="I203" s="56"/>
      <c r="J203" s="82">
        <v>201600</v>
      </c>
      <c r="K203" s="83"/>
      <c r="L203" s="59">
        <f t="shared" si="53"/>
        <v>213951.48501856191</v>
      </c>
      <c r="M203" s="60">
        <f t="shared" si="63"/>
        <v>-12351.485018561914</v>
      </c>
      <c r="N203" s="61">
        <f t="shared" si="64"/>
        <v>0.94226969250767145</v>
      </c>
      <c r="O203" s="80"/>
      <c r="P203" s="59">
        <f>IF(D203=0,0,SUM($L$202:L203))</f>
        <v>361582.22888091707</v>
      </c>
      <c r="Q203" s="59">
        <f>IF(D203=0,0,SUM($J$202:J203))</f>
        <v>354550</v>
      </c>
      <c r="R203" s="63">
        <f t="shared" si="48"/>
        <v>-7032.2288809170714</v>
      </c>
      <c r="S203" s="64">
        <f t="shared" si="54"/>
        <v>0.98055150856644269</v>
      </c>
      <c r="T203" s="73"/>
      <c r="U203" s="59">
        <f>IF(D203=0,0,SUM($L$21:L203))</f>
        <v>37343687.492038794</v>
      </c>
      <c r="V203" s="59">
        <f>IF(D203=0,0,SUM($J$21:J203))</f>
        <v>37797750</v>
      </c>
      <c r="W203" s="66">
        <f t="shared" si="49"/>
        <v>454062.50796120614</v>
      </c>
      <c r="X203" s="67">
        <f t="shared" si="55"/>
        <v>1.0121590163814971</v>
      </c>
      <c r="Y203" s="68">
        <f t="shared" si="62"/>
        <v>45840</v>
      </c>
      <c r="Z203" s="69">
        <f t="shared" si="62"/>
        <v>45840</v>
      </c>
      <c r="AA203" s="1"/>
      <c r="AB203" s="1"/>
      <c r="AC203" s="1"/>
      <c r="AD203" s="1"/>
      <c r="AE203" s="1"/>
      <c r="AF203" s="1"/>
      <c r="AG203" s="1"/>
    </row>
    <row r="204" spans="1:33" ht="20">
      <c r="A204" s="1"/>
      <c r="B204" s="11"/>
      <c r="C204" s="50">
        <v>184</v>
      </c>
      <c r="D204" s="51">
        <v>1</v>
      </c>
      <c r="E204" s="52">
        <f t="shared" si="50"/>
        <v>7</v>
      </c>
      <c r="F204" s="53">
        <f t="shared" si="51"/>
        <v>45841</v>
      </c>
      <c r="G204" s="54" t="str">
        <f t="shared" si="58"/>
        <v>Thu</v>
      </c>
      <c r="H204" s="55"/>
      <c r="I204" s="56"/>
      <c r="J204" s="82">
        <v>272300</v>
      </c>
      <c r="K204" s="83"/>
      <c r="L204" s="59">
        <f t="shared" si="53"/>
        <v>191787.99807281245</v>
      </c>
      <c r="M204" s="60">
        <f t="shared" si="63"/>
        <v>80512.00192718755</v>
      </c>
      <c r="N204" s="61">
        <f t="shared" si="64"/>
        <v>1.4197968732987196</v>
      </c>
      <c r="O204" s="80"/>
      <c r="P204" s="59">
        <f>IF(D204=0,0,SUM($L$202:L204))</f>
        <v>553370.22695372952</v>
      </c>
      <c r="Q204" s="59">
        <f>IF(D204=0,0,SUM($J$202:J204))</f>
        <v>626850</v>
      </c>
      <c r="R204" s="63">
        <f t="shared" si="48"/>
        <v>73479.773046270479</v>
      </c>
      <c r="S204" s="64">
        <f t="shared" si="54"/>
        <v>1.1327859170356387</v>
      </c>
      <c r="T204" s="73"/>
      <c r="U204" s="59">
        <f>IF(D204=0,0,SUM($L$21:L204))</f>
        <v>37535475.490111604</v>
      </c>
      <c r="V204" s="59">
        <f>IF(D204=0,0,SUM($J$21:J204))</f>
        <v>38070050</v>
      </c>
      <c r="W204" s="66">
        <f t="shared" si="49"/>
        <v>534574.50988839567</v>
      </c>
      <c r="X204" s="67">
        <f t="shared" si="55"/>
        <v>1.0142418472900183</v>
      </c>
      <c r="Y204" s="68">
        <f t="shared" si="62"/>
        <v>45841</v>
      </c>
      <c r="Z204" s="69">
        <f t="shared" si="62"/>
        <v>45841</v>
      </c>
      <c r="AA204" s="1"/>
      <c r="AB204" s="1"/>
      <c r="AC204" s="1"/>
      <c r="AD204" s="1"/>
      <c r="AE204" s="1"/>
      <c r="AF204" s="1"/>
      <c r="AG204" s="1"/>
    </row>
    <row r="205" spans="1:33" ht="20">
      <c r="A205" s="1"/>
      <c r="B205" s="11"/>
      <c r="C205" s="50">
        <v>185</v>
      </c>
      <c r="D205" s="51">
        <v>1</v>
      </c>
      <c r="E205" s="52">
        <f t="shared" si="50"/>
        <v>7</v>
      </c>
      <c r="F205" s="53">
        <f t="shared" si="51"/>
        <v>45842</v>
      </c>
      <c r="G205" s="54" t="str">
        <f t="shared" si="58"/>
        <v>Fri</v>
      </c>
      <c r="H205" s="55"/>
      <c r="I205" s="56"/>
      <c r="J205" s="82">
        <v>141350</v>
      </c>
      <c r="K205" s="83"/>
      <c r="L205" s="59">
        <f t="shared" si="53"/>
        <v>287700.63455082837</v>
      </c>
      <c r="M205" s="60">
        <f t="shared" si="63"/>
        <v>-146350.63455082837</v>
      </c>
      <c r="N205" s="61">
        <f t="shared" si="64"/>
        <v>0.49130930913893256</v>
      </c>
      <c r="O205" s="80"/>
      <c r="P205" s="59">
        <f>IF(D205=0,0,SUM($L$202:L205))</f>
        <v>841070.86150455789</v>
      </c>
      <c r="Q205" s="59">
        <f>IF(D205=0,0,SUM($J$202:J205))</f>
        <v>768200</v>
      </c>
      <c r="R205" s="63">
        <f t="shared" si="48"/>
        <v>-72870.861504557892</v>
      </c>
      <c r="S205" s="64">
        <f t="shared" si="54"/>
        <v>0.91335942684519811</v>
      </c>
      <c r="T205" s="73"/>
      <c r="U205" s="59">
        <f>IF(D205=0,0,SUM($L$21:L205))</f>
        <v>37823176.124662429</v>
      </c>
      <c r="V205" s="59">
        <f>IF(D205=0,0,SUM($J$21:J205))</f>
        <v>38211400</v>
      </c>
      <c r="W205" s="66">
        <f t="shared" si="49"/>
        <v>388223.87533757091</v>
      </c>
      <c r="X205" s="67">
        <f t="shared" si="55"/>
        <v>1.0102641796674614</v>
      </c>
      <c r="Y205" s="68">
        <f t="shared" si="62"/>
        <v>45842</v>
      </c>
      <c r="Z205" s="69">
        <f t="shared" si="62"/>
        <v>45842</v>
      </c>
      <c r="AA205" s="1"/>
      <c r="AB205" s="1"/>
      <c r="AC205" s="1"/>
      <c r="AD205" s="1"/>
      <c r="AE205" s="1"/>
      <c r="AF205" s="1"/>
      <c r="AG205" s="1"/>
    </row>
    <row r="206" spans="1:33" ht="20">
      <c r="A206" s="1"/>
      <c r="B206" s="11"/>
      <c r="C206" s="50">
        <v>186</v>
      </c>
      <c r="D206" s="51">
        <v>1</v>
      </c>
      <c r="E206" s="52">
        <f t="shared" si="50"/>
        <v>7</v>
      </c>
      <c r="F206" s="53">
        <f t="shared" si="51"/>
        <v>45843</v>
      </c>
      <c r="G206" s="54" t="str">
        <f t="shared" si="58"/>
        <v>Sat</v>
      </c>
      <c r="H206" s="55"/>
      <c r="I206" s="56"/>
      <c r="J206" s="82">
        <v>75450</v>
      </c>
      <c r="K206" s="83"/>
      <c r="L206" s="59">
        <f t="shared" si="53"/>
        <v>117849.10352330667</v>
      </c>
      <c r="M206" s="60">
        <f t="shared" si="63"/>
        <v>-42399.103523306665</v>
      </c>
      <c r="N206" s="61">
        <f t="shared" si="64"/>
        <v>0.64022548958192527</v>
      </c>
      <c r="O206" s="80"/>
      <c r="P206" s="59">
        <f>IF(D206=0,0,SUM($L$202:L206))</f>
        <v>958919.96502786456</v>
      </c>
      <c r="Q206" s="59">
        <f>IF(D206=0,0,SUM($J$202:J206))</f>
        <v>843650</v>
      </c>
      <c r="R206" s="63">
        <f t="shared" si="48"/>
        <v>-115269.96502786456</v>
      </c>
      <c r="S206" s="64">
        <f t="shared" si="54"/>
        <v>0.87979188124994878</v>
      </c>
      <c r="T206" s="73"/>
      <c r="U206" s="59">
        <f>IF(D206=0,0,SUM($L$21:L206))</f>
        <v>37941025.228185736</v>
      </c>
      <c r="V206" s="59">
        <f>IF(D206=0,0,SUM($J$21:J206))</f>
        <v>38286850</v>
      </c>
      <c r="W206" s="66">
        <f t="shared" si="49"/>
        <v>345824.77181426436</v>
      </c>
      <c r="X206" s="67">
        <f t="shared" si="55"/>
        <v>1.0091147977613784</v>
      </c>
      <c r="Y206" s="68">
        <f t="shared" si="62"/>
        <v>45843</v>
      </c>
      <c r="Z206" s="69">
        <f t="shared" si="62"/>
        <v>45843</v>
      </c>
      <c r="AA206" s="1"/>
      <c r="AB206" s="1"/>
      <c r="AC206" s="1"/>
      <c r="AD206" s="1"/>
      <c r="AE206" s="1"/>
      <c r="AF206" s="1"/>
      <c r="AG206" s="1"/>
    </row>
    <row r="207" spans="1:33" ht="20">
      <c r="A207" s="1"/>
      <c r="B207" s="11"/>
      <c r="C207" s="50">
        <v>187</v>
      </c>
      <c r="D207" s="51">
        <v>0</v>
      </c>
      <c r="E207" s="52">
        <f t="shared" si="50"/>
        <v>7</v>
      </c>
      <c r="F207" s="53">
        <f t="shared" si="51"/>
        <v>45844</v>
      </c>
      <c r="G207" s="54" t="str">
        <f t="shared" si="58"/>
        <v>Sun</v>
      </c>
      <c r="H207" s="55"/>
      <c r="I207" s="56"/>
      <c r="J207" s="82"/>
      <c r="K207" s="83"/>
      <c r="L207" s="59">
        <f t="shared" si="53"/>
        <v>0</v>
      </c>
      <c r="M207" s="60">
        <f t="shared" si="63"/>
        <v>0</v>
      </c>
      <c r="N207" s="61" t="str">
        <f t="shared" si="64"/>
        <v>¥0</v>
      </c>
      <c r="O207" s="81"/>
      <c r="P207" s="59">
        <f>IF(D207=0,0,SUM($L$202:L207))</f>
        <v>0</v>
      </c>
      <c r="Q207" s="59">
        <f>IF(D207=0,0,SUM($J$202:J207))</f>
        <v>0</v>
      </c>
      <c r="R207" s="63">
        <f t="shared" si="48"/>
        <v>0</v>
      </c>
      <c r="S207" s="64">
        <f t="shared" si="54"/>
        <v>0</v>
      </c>
      <c r="T207" s="78"/>
      <c r="U207" s="59">
        <f>IF(D207=0,0,SUM($L$21:L207))</f>
        <v>0</v>
      </c>
      <c r="V207" s="59">
        <f>IF(D207=0,0,SUM($J$21:J207))</f>
        <v>0</v>
      </c>
      <c r="W207" s="66">
        <f t="shared" si="49"/>
        <v>0</v>
      </c>
      <c r="X207" s="67">
        <f t="shared" si="55"/>
        <v>0</v>
      </c>
      <c r="Y207" s="68">
        <f t="shared" si="62"/>
        <v>45844</v>
      </c>
      <c r="Z207" s="69">
        <f t="shared" si="62"/>
        <v>45844</v>
      </c>
      <c r="AA207" s="1"/>
      <c r="AB207" s="1"/>
      <c r="AC207" s="1"/>
      <c r="AD207" s="1"/>
      <c r="AE207" s="1"/>
      <c r="AF207" s="1"/>
      <c r="AG207" s="1"/>
    </row>
    <row r="208" spans="1:33" ht="20">
      <c r="A208" s="1"/>
      <c r="B208" s="11"/>
      <c r="C208" s="50">
        <v>188</v>
      </c>
      <c r="D208" s="51">
        <v>1</v>
      </c>
      <c r="E208" s="52">
        <f t="shared" si="50"/>
        <v>7</v>
      </c>
      <c r="F208" s="53">
        <f t="shared" si="51"/>
        <v>45845</v>
      </c>
      <c r="G208" s="54" t="str">
        <f t="shared" si="58"/>
        <v>Mon</v>
      </c>
      <c r="H208" s="55"/>
      <c r="I208" s="56"/>
      <c r="J208" s="82">
        <v>173000</v>
      </c>
      <c r="K208" s="83"/>
      <c r="L208" s="59">
        <f t="shared" si="53"/>
        <v>261193.83062739344</v>
      </c>
      <c r="M208" s="60">
        <f t="shared" si="63"/>
        <v>-88193.830627393443</v>
      </c>
      <c r="N208" s="61">
        <f t="shared" si="64"/>
        <v>0.66234336233918745</v>
      </c>
      <c r="O208" s="80"/>
      <c r="P208" s="59">
        <f>IF(D208=0,0,SUM($L$202:L208))</f>
        <v>1220113.795655258</v>
      </c>
      <c r="Q208" s="59">
        <f>IF(D208=0,0,SUM($J$202:J208))</f>
        <v>1016650</v>
      </c>
      <c r="R208" s="63">
        <f t="shared" si="48"/>
        <v>-203463.795655258</v>
      </c>
      <c r="S208" s="64">
        <f t="shared" si="54"/>
        <v>0.83324195138209345</v>
      </c>
      <c r="T208" s="73"/>
      <c r="U208" s="59">
        <f>IF(D208=0,0,SUM($L$21:L208))</f>
        <v>38202219.058813132</v>
      </c>
      <c r="V208" s="59">
        <f>IF(D208=0,0,SUM($J$21:J208))</f>
        <v>38459850</v>
      </c>
      <c r="W208" s="66">
        <f t="shared" si="49"/>
        <v>257630.94118686765</v>
      </c>
      <c r="X208" s="67">
        <f t="shared" si="55"/>
        <v>1.0067438737207972</v>
      </c>
      <c r="Y208" s="68">
        <f t="shared" si="62"/>
        <v>45845</v>
      </c>
      <c r="Z208" s="69">
        <f t="shared" si="62"/>
        <v>45845</v>
      </c>
      <c r="AA208" s="1"/>
      <c r="AB208" s="1"/>
      <c r="AC208" s="1"/>
      <c r="AD208" s="1"/>
      <c r="AE208" s="1"/>
      <c r="AF208" s="1"/>
      <c r="AG208" s="1"/>
    </row>
    <row r="209" spans="1:33" ht="20">
      <c r="A209" s="1"/>
      <c r="B209" s="11"/>
      <c r="C209" s="50">
        <v>189</v>
      </c>
      <c r="D209" s="51">
        <v>1</v>
      </c>
      <c r="E209" s="52">
        <f t="shared" si="50"/>
        <v>7</v>
      </c>
      <c r="F209" s="53">
        <f t="shared" si="51"/>
        <v>45846</v>
      </c>
      <c r="G209" s="54" t="str">
        <f t="shared" si="58"/>
        <v>Tue</v>
      </c>
      <c r="H209" s="55"/>
      <c r="I209" s="56"/>
      <c r="J209" s="82">
        <v>342650</v>
      </c>
      <c r="K209" s="83"/>
      <c r="L209" s="59">
        <f t="shared" si="53"/>
        <v>147630.74386235513</v>
      </c>
      <c r="M209" s="60">
        <f t="shared" si="63"/>
        <v>195019.25613764487</v>
      </c>
      <c r="N209" s="61">
        <f t="shared" si="64"/>
        <v>2.3209935209665602</v>
      </c>
      <c r="O209" s="80"/>
      <c r="P209" s="59">
        <f>IF(D209=0,0,SUM($L$202:L209))</f>
        <v>1367744.5395176131</v>
      </c>
      <c r="Q209" s="59">
        <f>IF(D209=0,0,SUM($J$202:J209))</f>
        <v>1359300</v>
      </c>
      <c r="R209" s="63">
        <f t="shared" si="48"/>
        <v>-8444.5395176131278</v>
      </c>
      <c r="S209" s="64">
        <f t="shared" si="54"/>
        <v>0.99382593805083552</v>
      </c>
      <c r="T209" s="73"/>
      <c r="U209" s="59">
        <f>IF(D209=0,0,SUM($L$21:L209))</f>
        <v>38349849.802675486</v>
      </c>
      <c r="V209" s="59">
        <f>IF(D209=0,0,SUM($J$21:J209))</f>
        <v>38802500</v>
      </c>
      <c r="W209" s="66">
        <f t="shared" si="49"/>
        <v>452650.19732451439</v>
      </c>
      <c r="X209" s="67">
        <f t="shared" si="55"/>
        <v>1.011803180446692</v>
      </c>
      <c r="Y209" s="68">
        <f t="shared" si="62"/>
        <v>45846</v>
      </c>
      <c r="Z209" s="69">
        <f t="shared" si="62"/>
        <v>45846</v>
      </c>
      <c r="AA209" s="1"/>
      <c r="AB209" s="1"/>
      <c r="AC209" s="1"/>
      <c r="AD209" s="1"/>
      <c r="AE209" s="1"/>
      <c r="AF209" s="1"/>
      <c r="AG209" s="1"/>
    </row>
    <row r="210" spans="1:33" ht="20">
      <c r="A210" s="1"/>
      <c r="B210" s="11"/>
      <c r="C210" s="50">
        <v>190</v>
      </c>
      <c r="D210" s="51">
        <v>1</v>
      </c>
      <c r="E210" s="52">
        <f t="shared" si="50"/>
        <v>7</v>
      </c>
      <c r="F210" s="53">
        <f t="shared" si="51"/>
        <v>45847</v>
      </c>
      <c r="G210" s="54" t="str">
        <f t="shared" si="58"/>
        <v>Wed</v>
      </c>
      <c r="H210" s="55"/>
      <c r="I210" s="56"/>
      <c r="J210" s="82">
        <v>151950</v>
      </c>
      <c r="K210" s="83"/>
      <c r="L210" s="59">
        <f t="shared" si="53"/>
        <v>213951.48501856191</v>
      </c>
      <c r="M210" s="60">
        <f t="shared" si="63"/>
        <v>-62001.485018561914</v>
      </c>
      <c r="N210" s="61">
        <f t="shared" si="64"/>
        <v>0.71020773698680884</v>
      </c>
      <c r="O210" s="80"/>
      <c r="P210" s="59">
        <f>IF(D210=0,0,SUM($L$202:L210))</f>
        <v>1581696.024536175</v>
      </c>
      <c r="Q210" s="59">
        <f>IF(D210=0,0,SUM($J$202:J210))</f>
        <v>1511250</v>
      </c>
      <c r="R210" s="63">
        <f t="shared" si="48"/>
        <v>-70446.024536174955</v>
      </c>
      <c r="S210" s="64">
        <f t="shared" si="54"/>
        <v>0.95546171739488761</v>
      </c>
      <c r="T210" s="73"/>
      <c r="U210" s="59">
        <f>IF(D210=0,0,SUM($L$21:L210))</f>
        <v>38563801.287694044</v>
      </c>
      <c r="V210" s="59">
        <f>IF(D210=0,0,SUM($J$21:J210))</f>
        <v>38954450</v>
      </c>
      <c r="W210" s="66">
        <f t="shared" si="49"/>
        <v>390648.71230595559</v>
      </c>
      <c r="X210" s="67">
        <f t="shared" si="55"/>
        <v>1.0101299327156998</v>
      </c>
      <c r="Y210" s="68">
        <f t="shared" si="62"/>
        <v>45847</v>
      </c>
      <c r="Z210" s="69">
        <f t="shared" si="62"/>
        <v>45847</v>
      </c>
      <c r="AA210" s="1"/>
      <c r="AB210" s="1"/>
      <c r="AC210" s="1"/>
      <c r="AD210" s="1"/>
      <c r="AE210" s="1"/>
      <c r="AF210" s="1"/>
      <c r="AG210" s="1"/>
    </row>
    <row r="211" spans="1:33" ht="20">
      <c r="A211" s="1"/>
      <c r="B211" s="11"/>
      <c r="C211" s="50">
        <v>191</v>
      </c>
      <c r="D211" s="51">
        <v>1</v>
      </c>
      <c r="E211" s="52">
        <f t="shared" si="50"/>
        <v>7</v>
      </c>
      <c r="F211" s="53">
        <f t="shared" si="51"/>
        <v>45848</v>
      </c>
      <c r="G211" s="54" t="str">
        <f t="shared" si="58"/>
        <v>Thu</v>
      </c>
      <c r="H211" s="55"/>
      <c r="I211" s="56"/>
      <c r="J211" s="82">
        <v>340000</v>
      </c>
      <c r="K211" s="83"/>
      <c r="L211" s="59">
        <f t="shared" si="53"/>
        <v>191787.99807281245</v>
      </c>
      <c r="M211" s="60">
        <f t="shared" si="63"/>
        <v>148212.00192718755</v>
      </c>
      <c r="N211" s="61">
        <f t="shared" si="64"/>
        <v>1.7727908076443801</v>
      </c>
      <c r="O211" s="80"/>
      <c r="P211" s="59">
        <f>IF(D211=0,0,SUM($L$202:L211))</f>
        <v>1773484.0226089875</v>
      </c>
      <c r="Q211" s="59">
        <f>IF(D211=0,0,SUM($J$202:J211))</f>
        <v>1851250</v>
      </c>
      <c r="R211" s="63">
        <f t="shared" si="48"/>
        <v>77765.977391012479</v>
      </c>
      <c r="S211" s="64">
        <f t="shared" si="54"/>
        <v>1.0438492686709464</v>
      </c>
      <c r="T211" s="73"/>
      <c r="U211" s="59">
        <f>IF(D211=0,0,SUM($L$21:L211))</f>
        <v>38755589.285766855</v>
      </c>
      <c r="V211" s="59">
        <f>IF(D211=0,0,SUM($J$21:J211))</f>
        <v>39294450</v>
      </c>
      <c r="W211" s="66">
        <f t="shared" si="49"/>
        <v>538860.71423314512</v>
      </c>
      <c r="X211" s="67">
        <f t="shared" si="55"/>
        <v>1.0139040774289307</v>
      </c>
      <c r="Y211" s="68">
        <f t="shared" si="62"/>
        <v>45848</v>
      </c>
      <c r="Z211" s="69">
        <f t="shared" si="62"/>
        <v>45848</v>
      </c>
      <c r="AA211" s="1"/>
      <c r="AB211" s="1"/>
      <c r="AC211" s="1"/>
      <c r="AD211" s="1"/>
      <c r="AE211" s="1"/>
      <c r="AF211" s="1"/>
      <c r="AG211" s="1"/>
    </row>
    <row r="212" spans="1:33" ht="20">
      <c r="A212" s="1"/>
      <c r="B212" s="11"/>
      <c r="C212" s="50">
        <v>192</v>
      </c>
      <c r="D212" s="51">
        <v>1</v>
      </c>
      <c r="E212" s="52">
        <f t="shared" si="50"/>
        <v>7</v>
      </c>
      <c r="F212" s="53">
        <f t="shared" si="51"/>
        <v>45849</v>
      </c>
      <c r="G212" s="54" t="str">
        <f t="shared" si="58"/>
        <v>Fri</v>
      </c>
      <c r="H212" s="55"/>
      <c r="I212" s="56"/>
      <c r="J212" s="82">
        <v>241950</v>
      </c>
      <c r="K212" s="83"/>
      <c r="L212" s="59">
        <f t="shared" si="53"/>
        <v>287700.63455082837</v>
      </c>
      <c r="M212" s="60">
        <f t="shared" si="63"/>
        <v>-45750.63455082837</v>
      </c>
      <c r="N212" s="61">
        <f t="shared" si="64"/>
        <v>0.8409783328345577</v>
      </c>
      <c r="O212" s="80"/>
      <c r="P212" s="59">
        <f>IF(D212=0,0,SUM($L$202:L212))</f>
        <v>2061184.657159816</v>
      </c>
      <c r="Q212" s="59">
        <f>IF(D212=0,0,SUM($J$202:J212))</f>
        <v>2093200</v>
      </c>
      <c r="R212" s="63">
        <f t="shared" si="48"/>
        <v>32015.342840183992</v>
      </c>
      <c r="S212" s="64">
        <f t="shared" si="54"/>
        <v>1.0155324961928929</v>
      </c>
      <c r="T212" s="73"/>
      <c r="U212" s="59">
        <f>IF(D212=0,0,SUM($L$21:L212))</f>
        <v>39043289.92031768</v>
      </c>
      <c r="V212" s="59">
        <f>IF(D212=0,0,SUM($J$21:J212))</f>
        <v>39536400</v>
      </c>
      <c r="W212" s="66">
        <f t="shared" si="49"/>
        <v>493110.07968232036</v>
      </c>
      <c r="X212" s="67">
        <f t="shared" si="55"/>
        <v>1.0126298291124722</v>
      </c>
      <c r="Y212" s="68">
        <f t="shared" si="62"/>
        <v>45849</v>
      </c>
      <c r="Z212" s="69">
        <f t="shared" si="62"/>
        <v>45849</v>
      </c>
      <c r="AA212" s="1"/>
      <c r="AB212" s="1"/>
      <c r="AC212" s="1"/>
      <c r="AD212" s="1"/>
      <c r="AE212" s="1"/>
      <c r="AF212" s="1"/>
      <c r="AG212" s="1"/>
    </row>
    <row r="213" spans="1:33" ht="20">
      <c r="A213" s="1"/>
      <c r="B213" s="11"/>
      <c r="C213" s="50">
        <v>193</v>
      </c>
      <c r="D213" s="51">
        <v>1</v>
      </c>
      <c r="E213" s="52">
        <f t="shared" si="50"/>
        <v>7</v>
      </c>
      <c r="F213" s="53">
        <f t="shared" si="51"/>
        <v>45850</v>
      </c>
      <c r="G213" s="54" t="str">
        <f t="shared" si="58"/>
        <v>Sat</v>
      </c>
      <c r="H213" s="55"/>
      <c r="I213" s="56"/>
      <c r="J213" s="82">
        <v>111650</v>
      </c>
      <c r="K213" s="83"/>
      <c r="L213" s="59">
        <f t="shared" si="53"/>
        <v>117849.10352330667</v>
      </c>
      <c r="M213" s="60">
        <f t="shared" si="63"/>
        <v>-6199.103523306665</v>
      </c>
      <c r="N213" s="61">
        <f t="shared" si="64"/>
        <v>0.94739795774449242</v>
      </c>
      <c r="O213" s="80"/>
      <c r="P213" s="59">
        <f>IF(D213=0,0,SUM($L$202:L213))</f>
        <v>2179033.7606831226</v>
      </c>
      <c r="Q213" s="59">
        <f>IF(D213=0,0,SUM($J$202:J213))</f>
        <v>2204850</v>
      </c>
      <c r="R213" s="63">
        <f t="shared" ref="R213:R276" si="65">IF(D213=0,0,Q213-P213)</f>
        <v>25816.239316877443</v>
      </c>
      <c r="S213" s="64">
        <f t="shared" si="54"/>
        <v>1.0118475627971841</v>
      </c>
      <c r="T213" s="73"/>
      <c r="U213" s="59">
        <f>IF(D213=0,0,SUM($L$21:L213))</f>
        <v>39161139.023840986</v>
      </c>
      <c r="V213" s="59">
        <f>IF(D213=0,0,SUM($J$21:J213))</f>
        <v>39648050</v>
      </c>
      <c r="W213" s="66">
        <f t="shared" ref="W213:W276" si="66">IF(D213=0,0,V213-U213)</f>
        <v>486910.97615901381</v>
      </c>
      <c r="X213" s="67">
        <f t="shared" si="55"/>
        <v>1.0124335243635938</v>
      </c>
      <c r="Y213" s="68">
        <f t="shared" si="62"/>
        <v>45850</v>
      </c>
      <c r="Z213" s="69">
        <f t="shared" si="62"/>
        <v>45850</v>
      </c>
      <c r="AA213" s="1"/>
      <c r="AB213" s="1"/>
      <c r="AC213" s="1"/>
      <c r="AD213" s="1"/>
      <c r="AE213" s="1"/>
      <c r="AF213" s="1"/>
      <c r="AG213" s="1"/>
    </row>
    <row r="214" spans="1:33" ht="20">
      <c r="A214" s="1"/>
      <c r="B214" s="11"/>
      <c r="C214" s="50">
        <v>194</v>
      </c>
      <c r="D214" s="51">
        <v>0</v>
      </c>
      <c r="E214" s="52">
        <f t="shared" ref="E214:E277" si="67">MONTH(Y214)</f>
        <v>7</v>
      </c>
      <c r="F214" s="53">
        <f t="shared" ref="F214:F277" si="68">F213+1</f>
        <v>45851</v>
      </c>
      <c r="G214" s="54" t="str">
        <f t="shared" ref="G214:G277" si="69">TEXT(Z214,"ddd")</f>
        <v>Sun</v>
      </c>
      <c r="H214" s="55"/>
      <c r="I214" s="56"/>
      <c r="J214" s="82"/>
      <c r="K214" s="83"/>
      <c r="L214" s="59">
        <f t="shared" ref="L214:L277" si="70">IF(D214=0,0,IFERROR(SUMIFS($AE$21:$AE$104,$AA$21:$AA$104,$E214,$AB$21:$AB$104,$G214),0))</f>
        <v>0</v>
      </c>
      <c r="M214" s="60">
        <f t="shared" si="63"/>
        <v>0</v>
      </c>
      <c r="N214" s="61" t="str">
        <f t="shared" si="64"/>
        <v>¥0</v>
      </c>
      <c r="O214" s="81"/>
      <c r="P214" s="59">
        <f>IF(D214=0,0,SUM($L$202:L214))</f>
        <v>0</v>
      </c>
      <c r="Q214" s="59">
        <f>IF(D214=0,0,SUM($J$202:J214))</f>
        <v>0</v>
      </c>
      <c r="R214" s="63">
        <f t="shared" si="65"/>
        <v>0</v>
      </c>
      <c r="S214" s="64">
        <f t="shared" ref="S214:S277" si="71">IF(D214=0,0,Q214/P214)</f>
        <v>0</v>
      </c>
      <c r="T214" s="78"/>
      <c r="U214" s="59">
        <f>IF(D214=0,0,SUM($L$21:L214))</f>
        <v>0</v>
      </c>
      <c r="V214" s="59">
        <f>IF(D214=0,0,SUM($J$21:J214))</f>
        <v>0</v>
      </c>
      <c r="W214" s="66">
        <f t="shared" si="66"/>
        <v>0</v>
      </c>
      <c r="X214" s="67">
        <f t="shared" ref="X214:X277" si="72">IF(D214=0,0,V214/U214)</f>
        <v>0</v>
      </c>
      <c r="Y214" s="68">
        <f t="shared" si="62"/>
        <v>45851</v>
      </c>
      <c r="Z214" s="69">
        <f t="shared" si="62"/>
        <v>45851</v>
      </c>
      <c r="AA214" s="1"/>
      <c r="AB214" s="1"/>
      <c r="AC214" s="1"/>
      <c r="AD214" s="1"/>
      <c r="AE214" s="1"/>
      <c r="AF214" s="1"/>
      <c r="AG214" s="1"/>
    </row>
    <row r="215" spans="1:33" ht="20">
      <c r="A215" s="1"/>
      <c r="B215" s="11"/>
      <c r="C215" s="50">
        <v>195</v>
      </c>
      <c r="D215" s="51">
        <v>1</v>
      </c>
      <c r="E215" s="52">
        <f t="shared" si="67"/>
        <v>7</v>
      </c>
      <c r="F215" s="53">
        <f t="shared" si="68"/>
        <v>45852</v>
      </c>
      <c r="G215" s="54" t="str">
        <f t="shared" si="69"/>
        <v>Mon</v>
      </c>
      <c r="H215" s="55"/>
      <c r="I215" s="56"/>
      <c r="J215" s="82">
        <v>140750</v>
      </c>
      <c r="K215" s="83"/>
      <c r="L215" s="59">
        <f t="shared" si="70"/>
        <v>261193.83062739344</v>
      </c>
      <c r="M215" s="60">
        <f t="shared" si="63"/>
        <v>-120443.83062739344</v>
      </c>
      <c r="N215" s="61">
        <f t="shared" si="64"/>
        <v>0.53887183959098628</v>
      </c>
      <c r="O215" s="80"/>
      <c r="P215" s="59">
        <f>IF(D215=0,0,SUM($L$202:L215))</f>
        <v>2440227.591310516</v>
      </c>
      <c r="Q215" s="59">
        <f>IF(D215=0,0,SUM($J$202:J215))</f>
        <v>2345600</v>
      </c>
      <c r="R215" s="63">
        <f t="shared" si="65"/>
        <v>-94627.591310516</v>
      </c>
      <c r="S215" s="64">
        <f t="shared" si="71"/>
        <v>0.96122181732249956</v>
      </c>
      <c r="T215" s="73"/>
      <c r="U215" s="59">
        <f>IF(D215=0,0,SUM($L$21:L215))</f>
        <v>39422332.854468383</v>
      </c>
      <c r="V215" s="59">
        <f>IF(D215=0,0,SUM($J$21:J215))</f>
        <v>39788800</v>
      </c>
      <c r="W215" s="66">
        <f t="shared" si="66"/>
        <v>366467.14553161711</v>
      </c>
      <c r="X215" s="67">
        <f t="shared" si="72"/>
        <v>1.0092959274349509</v>
      </c>
      <c r="Y215" s="68">
        <f t="shared" ref="Y215:Z230" si="73">Y214+1</f>
        <v>45852</v>
      </c>
      <c r="Z215" s="69">
        <f t="shared" si="73"/>
        <v>45852</v>
      </c>
      <c r="AA215" s="1"/>
      <c r="AB215" s="1"/>
      <c r="AC215" s="1"/>
      <c r="AD215" s="1"/>
      <c r="AE215" s="1"/>
      <c r="AF215" s="1"/>
      <c r="AG215" s="1"/>
    </row>
    <row r="216" spans="1:33" ht="20">
      <c r="A216" s="1"/>
      <c r="B216" s="11"/>
      <c r="C216" s="50">
        <v>196</v>
      </c>
      <c r="D216" s="51">
        <v>1</v>
      </c>
      <c r="E216" s="52">
        <f t="shared" si="67"/>
        <v>7</v>
      </c>
      <c r="F216" s="53">
        <f t="shared" si="68"/>
        <v>45853</v>
      </c>
      <c r="G216" s="54" t="str">
        <f t="shared" si="69"/>
        <v>Tue</v>
      </c>
      <c r="H216" s="55"/>
      <c r="I216" s="56"/>
      <c r="J216" s="82">
        <v>239100</v>
      </c>
      <c r="K216" s="83"/>
      <c r="L216" s="59">
        <f t="shared" si="70"/>
        <v>147630.74386235513</v>
      </c>
      <c r="M216" s="60">
        <f t="shared" si="63"/>
        <v>91469.256137644872</v>
      </c>
      <c r="N216" s="61">
        <f t="shared" si="64"/>
        <v>1.6195813537519466</v>
      </c>
      <c r="O216" s="80"/>
      <c r="P216" s="59">
        <f>IF(D216=0,0,SUM($L$202:L216))</f>
        <v>2587858.3351728711</v>
      </c>
      <c r="Q216" s="59">
        <f>IF(D216=0,0,SUM($J$202:J216))</f>
        <v>2584700</v>
      </c>
      <c r="R216" s="63">
        <f t="shared" si="65"/>
        <v>-3158.3351728711277</v>
      </c>
      <c r="S216" s="64">
        <f t="shared" si="71"/>
        <v>0.99877955638840632</v>
      </c>
      <c r="T216" s="73"/>
      <c r="U216" s="59">
        <f>IF(D216=0,0,SUM($L$21:L216))</f>
        <v>39569963.598330736</v>
      </c>
      <c r="V216" s="59">
        <f>IF(D216=0,0,SUM($J$21:J216))</f>
        <v>40027900</v>
      </c>
      <c r="W216" s="66">
        <f t="shared" si="66"/>
        <v>457936.40166926384</v>
      </c>
      <c r="X216" s="67">
        <f t="shared" si="72"/>
        <v>1.0115728284796446</v>
      </c>
      <c r="Y216" s="68">
        <f t="shared" si="73"/>
        <v>45853</v>
      </c>
      <c r="Z216" s="69">
        <f t="shared" si="73"/>
        <v>45853</v>
      </c>
      <c r="AA216" s="1"/>
      <c r="AB216" s="1"/>
      <c r="AC216" s="1"/>
      <c r="AD216" s="1"/>
      <c r="AE216" s="1"/>
      <c r="AF216" s="1"/>
      <c r="AG216" s="1"/>
    </row>
    <row r="217" spans="1:33" ht="20">
      <c r="A217" s="1"/>
      <c r="B217" s="11"/>
      <c r="C217" s="50">
        <v>197</v>
      </c>
      <c r="D217" s="51">
        <v>1</v>
      </c>
      <c r="E217" s="52">
        <f t="shared" si="67"/>
        <v>7</v>
      </c>
      <c r="F217" s="53">
        <f t="shared" si="68"/>
        <v>45854</v>
      </c>
      <c r="G217" s="54" t="str">
        <f t="shared" si="69"/>
        <v>Wed</v>
      </c>
      <c r="H217" s="55"/>
      <c r="I217" s="56"/>
      <c r="J217" s="82">
        <v>224090</v>
      </c>
      <c r="K217" s="83"/>
      <c r="L217" s="59">
        <f t="shared" si="70"/>
        <v>213951.48501856191</v>
      </c>
      <c r="M217" s="60">
        <f t="shared" si="63"/>
        <v>10138.514981438086</v>
      </c>
      <c r="N217" s="61">
        <f t="shared" si="64"/>
        <v>1.0473869811212504</v>
      </c>
      <c r="O217" s="80"/>
      <c r="P217" s="59">
        <f>IF(D217=0,0,SUM($L$202:L217))</f>
        <v>2801809.8201914332</v>
      </c>
      <c r="Q217" s="59">
        <f>IF(D217=0,0,SUM($J$202:J217))</f>
        <v>2808790</v>
      </c>
      <c r="R217" s="63">
        <f t="shared" si="65"/>
        <v>6980.1798085668124</v>
      </c>
      <c r="S217" s="64">
        <f t="shared" si="71"/>
        <v>1.0024913110655347</v>
      </c>
      <c r="T217" s="73"/>
      <c r="U217" s="59">
        <f>IF(D217=0,0,SUM($L$21:L217))</f>
        <v>39783915.083349295</v>
      </c>
      <c r="V217" s="59">
        <f>IF(D217=0,0,SUM($J$21:J217))</f>
        <v>40251990</v>
      </c>
      <c r="W217" s="66">
        <f t="shared" si="66"/>
        <v>468074.91665070504</v>
      </c>
      <c r="X217" s="67">
        <f t="shared" si="72"/>
        <v>1.0117654312218911</v>
      </c>
      <c r="Y217" s="68">
        <f t="shared" si="73"/>
        <v>45854</v>
      </c>
      <c r="Z217" s="69">
        <f t="shared" si="73"/>
        <v>45854</v>
      </c>
      <c r="AA217" s="1"/>
      <c r="AB217" s="1"/>
      <c r="AC217" s="1"/>
      <c r="AD217" s="1"/>
      <c r="AE217" s="1"/>
      <c r="AF217" s="1"/>
      <c r="AG217" s="1"/>
    </row>
    <row r="218" spans="1:33" ht="20">
      <c r="A218" s="1"/>
      <c r="B218" s="11"/>
      <c r="C218" s="50">
        <v>198</v>
      </c>
      <c r="D218" s="51">
        <v>1</v>
      </c>
      <c r="E218" s="52">
        <f t="shared" si="67"/>
        <v>7</v>
      </c>
      <c r="F218" s="53">
        <f t="shared" si="68"/>
        <v>45855</v>
      </c>
      <c r="G218" s="54" t="str">
        <f t="shared" si="69"/>
        <v>Thu</v>
      </c>
      <c r="H218" s="55"/>
      <c r="I218" s="56"/>
      <c r="J218" s="82">
        <v>258850</v>
      </c>
      <c r="K218" s="83"/>
      <c r="L218" s="59">
        <f t="shared" si="70"/>
        <v>191787.99807281245</v>
      </c>
      <c r="M218" s="60">
        <f t="shared" si="63"/>
        <v>67062.00192718755</v>
      </c>
      <c r="N218" s="61">
        <f t="shared" si="64"/>
        <v>1.3496673545845523</v>
      </c>
      <c r="O218" s="80"/>
      <c r="P218" s="59">
        <f>IF(D218=0,0,SUM($L$202:L218))</f>
        <v>2993597.8182642455</v>
      </c>
      <c r="Q218" s="59">
        <f>IF(D218=0,0,SUM($J$202:J218))</f>
        <v>3067640</v>
      </c>
      <c r="R218" s="63">
        <f t="shared" si="65"/>
        <v>74042.181735754479</v>
      </c>
      <c r="S218" s="64">
        <f t="shared" si="71"/>
        <v>1.0247335100540278</v>
      </c>
      <c r="T218" s="73"/>
      <c r="U218" s="59">
        <f>IF(D218=0,0,SUM($L$21:L218))</f>
        <v>39975703.081422105</v>
      </c>
      <c r="V218" s="59">
        <f>IF(D218=0,0,SUM($J$21:J218))</f>
        <v>40510840</v>
      </c>
      <c r="W218" s="66">
        <f t="shared" si="66"/>
        <v>535136.91857789457</v>
      </c>
      <c r="X218" s="67">
        <f t="shared" si="72"/>
        <v>1.0133865542649227</v>
      </c>
      <c r="Y218" s="68">
        <f t="shared" si="73"/>
        <v>45855</v>
      </c>
      <c r="Z218" s="69">
        <f t="shared" si="73"/>
        <v>45855</v>
      </c>
      <c r="AA218" s="1"/>
      <c r="AB218" s="1"/>
      <c r="AC218" s="1"/>
      <c r="AD218" s="1"/>
      <c r="AE218" s="1"/>
      <c r="AF218" s="1"/>
      <c r="AG218" s="1"/>
    </row>
    <row r="219" spans="1:33" ht="20">
      <c r="A219" s="1"/>
      <c r="B219" s="11"/>
      <c r="C219" s="50">
        <v>199</v>
      </c>
      <c r="D219" s="51">
        <v>1</v>
      </c>
      <c r="E219" s="52">
        <f t="shared" si="67"/>
        <v>7</v>
      </c>
      <c r="F219" s="53">
        <f t="shared" si="68"/>
        <v>45856</v>
      </c>
      <c r="G219" s="54" t="str">
        <f t="shared" si="69"/>
        <v>Fri</v>
      </c>
      <c r="H219" s="55"/>
      <c r="I219" s="56"/>
      <c r="J219" s="82">
        <v>180000</v>
      </c>
      <c r="K219" s="83"/>
      <c r="L219" s="59">
        <f t="shared" si="70"/>
        <v>287700.63455082837</v>
      </c>
      <c r="M219" s="60">
        <f t="shared" si="63"/>
        <v>-107700.63455082837</v>
      </c>
      <c r="N219" s="61">
        <f t="shared" si="64"/>
        <v>0.62565034060847446</v>
      </c>
      <c r="O219" s="80"/>
      <c r="P219" s="59">
        <f>IF(D219=0,0,SUM($L$202:L219))</f>
        <v>3281298.452815074</v>
      </c>
      <c r="Q219" s="59">
        <f>IF(D219=0,0,SUM($J$202:J219))</f>
        <v>3247640</v>
      </c>
      <c r="R219" s="63">
        <f t="shared" si="65"/>
        <v>-33658.452815074008</v>
      </c>
      <c r="S219" s="64">
        <f t="shared" si="71"/>
        <v>0.98974233727925665</v>
      </c>
      <c r="T219" s="73"/>
      <c r="U219" s="59">
        <f>IF(D219=0,0,SUM($L$21:L219))</f>
        <v>40263403.71597293</v>
      </c>
      <c r="V219" s="59">
        <f>IF(D219=0,0,SUM($J$21:J219))</f>
        <v>40690840</v>
      </c>
      <c r="W219" s="66">
        <f t="shared" si="66"/>
        <v>427436.28402706981</v>
      </c>
      <c r="X219" s="67">
        <f t="shared" si="72"/>
        <v>1.010615999756064</v>
      </c>
      <c r="Y219" s="68">
        <f t="shared" si="73"/>
        <v>45856</v>
      </c>
      <c r="Z219" s="69">
        <f t="shared" si="73"/>
        <v>45856</v>
      </c>
      <c r="AA219" s="1"/>
      <c r="AB219" s="1"/>
      <c r="AC219" s="1"/>
      <c r="AD219" s="1"/>
      <c r="AE219" s="1"/>
      <c r="AF219" s="1"/>
      <c r="AG219" s="1"/>
    </row>
    <row r="220" spans="1:33" ht="20">
      <c r="A220" s="1"/>
      <c r="B220" s="11"/>
      <c r="C220" s="50">
        <v>200</v>
      </c>
      <c r="D220" s="51">
        <v>1</v>
      </c>
      <c r="E220" s="52">
        <f t="shared" si="67"/>
        <v>7</v>
      </c>
      <c r="F220" s="53">
        <f t="shared" si="68"/>
        <v>45857</v>
      </c>
      <c r="G220" s="54" t="str">
        <f t="shared" si="69"/>
        <v>Sat</v>
      </c>
      <c r="H220" s="55"/>
      <c r="I220" s="56"/>
      <c r="J220" s="82">
        <v>119100</v>
      </c>
      <c r="K220" s="83"/>
      <c r="L220" s="59">
        <f t="shared" si="70"/>
        <v>117849.10352330667</v>
      </c>
      <c r="M220" s="60">
        <f t="shared" si="63"/>
        <v>1250.896476693335</v>
      </c>
      <c r="N220" s="61">
        <f t="shared" si="64"/>
        <v>1.0106143911094407</v>
      </c>
      <c r="O220" s="80"/>
      <c r="P220" s="59">
        <f>IF(D220=0,0,SUM($L$202:L220))</f>
        <v>3399147.5563383806</v>
      </c>
      <c r="Q220" s="59">
        <f>IF(D220=0,0,SUM($J$202:J220))</f>
        <v>3366740</v>
      </c>
      <c r="R220" s="63">
        <f t="shared" si="65"/>
        <v>-32407.556338380557</v>
      </c>
      <c r="S220" s="64">
        <f t="shared" si="71"/>
        <v>0.990465975424353</v>
      </c>
      <c r="T220" s="73"/>
      <c r="U220" s="59">
        <f>IF(D220=0,0,SUM($L$21:L220))</f>
        <v>40381252.819496237</v>
      </c>
      <c r="V220" s="59">
        <f>IF(D220=0,0,SUM($J$21:J220))</f>
        <v>40809940</v>
      </c>
      <c r="W220" s="66">
        <f t="shared" si="66"/>
        <v>428687.18050376326</v>
      </c>
      <c r="X220" s="67">
        <f t="shared" si="72"/>
        <v>1.0106159950613713</v>
      </c>
      <c r="Y220" s="68">
        <f t="shared" si="73"/>
        <v>45857</v>
      </c>
      <c r="Z220" s="69">
        <f t="shared" si="73"/>
        <v>45857</v>
      </c>
      <c r="AA220" s="1"/>
      <c r="AB220" s="1"/>
      <c r="AC220" s="1"/>
      <c r="AD220" s="1"/>
      <c r="AE220" s="1"/>
      <c r="AF220" s="1"/>
      <c r="AG220" s="1"/>
    </row>
    <row r="221" spans="1:33" ht="20">
      <c r="A221" s="1"/>
      <c r="B221" s="11"/>
      <c r="C221" s="50">
        <v>201</v>
      </c>
      <c r="D221" s="51">
        <v>0</v>
      </c>
      <c r="E221" s="52">
        <f t="shared" si="67"/>
        <v>7</v>
      </c>
      <c r="F221" s="53">
        <f t="shared" si="68"/>
        <v>45858</v>
      </c>
      <c r="G221" s="54" t="str">
        <f t="shared" si="69"/>
        <v>Sun</v>
      </c>
      <c r="H221" s="55"/>
      <c r="I221" s="56"/>
      <c r="J221" s="82"/>
      <c r="K221" s="83"/>
      <c r="L221" s="59">
        <f t="shared" si="70"/>
        <v>0</v>
      </c>
      <c r="M221" s="60">
        <f t="shared" si="63"/>
        <v>0</v>
      </c>
      <c r="N221" s="61" t="str">
        <f t="shared" si="64"/>
        <v>¥0</v>
      </c>
      <c r="O221" s="81"/>
      <c r="P221" s="59">
        <f>IF(D221=0,0,SUM($L$202:L221))</f>
        <v>0</v>
      </c>
      <c r="Q221" s="59">
        <f>IF(D221=0,0,SUM($J$202:J221))</f>
        <v>0</v>
      </c>
      <c r="R221" s="63">
        <f t="shared" si="65"/>
        <v>0</v>
      </c>
      <c r="S221" s="64">
        <f t="shared" si="71"/>
        <v>0</v>
      </c>
      <c r="T221" s="78"/>
      <c r="U221" s="59">
        <f>IF(D221=0,0,SUM($L$21:L221))</f>
        <v>0</v>
      </c>
      <c r="V221" s="59">
        <f>IF(D221=0,0,SUM($J$21:J221))</f>
        <v>0</v>
      </c>
      <c r="W221" s="66">
        <f t="shared" si="66"/>
        <v>0</v>
      </c>
      <c r="X221" s="67">
        <f t="shared" si="72"/>
        <v>0</v>
      </c>
      <c r="Y221" s="68">
        <f t="shared" si="73"/>
        <v>45858</v>
      </c>
      <c r="Z221" s="69">
        <f t="shared" si="73"/>
        <v>45858</v>
      </c>
      <c r="AA221" s="1"/>
      <c r="AB221" s="1"/>
      <c r="AC221" s="1"/>
      <c r="AD221" s="1"/>
      <c r="AE221" s="1"/>
      <c r="AF221" s="1"/>
      <c r="AG221" s="1"/>
    </row>
    <row r="222" spans="1:33" ht="20">
      <c r="A222" s="1"/>
      <c r="B222" s="11"/>
      <c r="C222" s="50">
        <v>202</v>
      </c>
      <c r="D222" s="51">
        <v>0</v>
      </c>
      <c r="E222" s="52">
        <f t="shared" si="67"/>
        <v>7</v>
      </c>
      <c r="F222" s="53">
        <f t="shared" si="68"/>
        <v>45859</v>
      </c>
      <c r="G222" s="54" t="str">
        <f t="shared" si="69"/>
        <v>Mon</v>
      </c>
      <c r="H222" s="55"/>
      <c r="I222" s="56"/>
      <c r="J222" s="82"/>
      <c r="K222" s="83"/>
      <c r="L222" s="59">
        <f t="shared" si="70"/>
        <v>0</v>
      </c>
      <c r="M222" s="60">
        <f t="shared" si="63"/>
        <v>0</v>
      </c>
      <c r="N222" s="61" t="str">
        <f t="shared" si="64"/>
        <v>¥0</v>
      </c>
      <c r="O222" s="81"/>
      <c r="P222" s="59">
        <f>IF(D222=0,0,SUM($L$202:L222))</f>
        <v>0</v>
      </c>
      <c r="Q222" s="59">
        <f>IF(D222=0,0,SUM($J$202:J222))</f>
        <v>0</v>
      </c>
      <c r="R222" s="63">
        <f t="shared" si="65"/>
        <v>0</v>
      </c>
      <c r="S222" s="64">
        <f t="shared" si="71"/>
        <v>0</v>
      </c>
      <c r="T222" s="78"/>
      <c r="U222" s="59">
        <f>IF(D222=0,0,SUM($L$21:L222))</f>
        <v>0</v>
      </c>
      <c r="V222" s="59">
        <f>IF(D222=0,0,SUM($J$21:J222))</f>
        <v>0</v>
      </c>
      <c r="W222" s="66">
        <f t="shared" si="66"/>
        <v>0</v>
      </c>
      <c r="X222" s="67">
        <f t="shared" si="72"/>
        <v>0</v>
      </c>
      <c r="Y222" s="68">
        <f t="shared" si="73"/>
        <v>45859</v>
      </c>
      <c r="Z222" s="69">
        <f t="shared" si="73"/>
        <v>45859</v>
      </c>
      <c r="AA222" s="1"/>
      <c r="AB222" s="1"/>
      <c r="AC222" s="1"/>
      <c r="AD222" s="1"/>
      <c r="AE222" s="1"/>
      <c r="AF222" s="1"/>
      <c r="AG222" s="1"/>
    </row>
    <row r="223" spans="1:33" ht="20">
      <c r="A223" s="1"/>
      <c r="B223" s="11"/>
      <c r="C223" s="50">
        <v>203</v>
      </c>
      <c r="D223" s="51">
        <v>1</v>
      </c>
      <c r="E223" s="52">
        <f t="shared" si="67"/>
        <v>7</v>
      </c>
      <c r="F223" s="53">
        <f t="shared" si="68"/>
        <v>45860</v>
      </c>
      <c r="G223" s="54" t="str">
        <f t="shared" si="69"/>
        <v>Tue</v>
      </c>
      <c r="H223" s="55"/>
      <c r="I223" s="56"/>
      <c r="J223" s="82">
        <v>169600</v>
      </c>
      <c r="K223" s="83"/>
      <c r="L223" s="59">
        <f t="shared" si="70"/>
        <v>147630.74386235513</v>
      </c>
      <c r="M223" s="60">
        <f t="shared" si="63"/>
        <v>21969.256137644872</v>
      </c>
      <c r="N223" s="61">
        <f t="shared" si="64"/>
        <v>1.1488122024104146</v>
      </c>
      <c r="O223" s="80"/>
      <c r="P223" s="59">
        <f>IF(D223=0,0,SUM($L$202:L223))</f>
        <v>3546778.3002007357</v>
      </c>
      <c r="Q223" s="59">
        <f>IF(D223=0,0,SUM($J$202:J223))</f>
        <v>3536340</v>
      </c>
      <c r="R223" s="63">
        <f t="shared" si="65"/>
        <v>-10438.300200735684</v>
      </c>
      <c r="S223" s="64">
        <f t="shared" si="71"/>
        <v>0.99705696287807311</v>
      </c>
      <c r="T223" s="73"/>
      <c r="U223" s="59">
        <f>IF(D223=0,0,SUM($L$21:L223))</f>
        <v>40528883.56335859</v>
      </c>
      <c r="V223" s="59">
        <f>IF(D223=0,0,SUM($J$21:J223))</f>
        <v>40979540</v>
      </c>
      <c r="W223" s="66">
        <f t="shared" si="66"/>
        <v>450656.43664140999</v>
      </c>
      <c r="X223" s="67">
        <f t="shared" si="72"/>
        <v>1.0111193893593664</v>
      </c>
      <c r="Y223" s="68">
        <f t="shared" si="73"/>
        <v>45860</v>
      </c>
      <c r="Z223" s="69">
        <f t="shared" si="73"/>
        <v>45860</v>
      </c>
      <c r="AA223" s="1"/>
      <c r="AB223" s="1"/>
      <c r="AC223" s="1"/>
      <c r="AD223" s="1"/>
      <c r="AE223" s="1"/>
      <c r="AF223" s="1"/>
      <c r="AG223" s="1"/>
    </row>
    <row r="224" spans="1:33" ht="20">
      <c r="A224" s="1"/>
      <c r="B224" s="11"/>
      <c r="C224" s="50">
        <v>204</v>
      </c>
      <c r="D224" s="51">
        <v>1</v>
      </c>
      <c r="E224" s="52">
        <f t="shared" si="67"/>
        <v>7</v>
      </c>
      <c r="F224" s="53">
        <f t="shared" si="68"/>
        <v>45861</v>
      </c>
      <c r="G224" s="54" t="str">
        <f t="shared" si="69"/>
        <v>Wed</v>
      </c>
      <c r="H224" s="55"/>
      <c r="I224" s="56"/>
      <c r="J224" s="82">
        <v>234650</v>
      </c>
      <c r="K224" s="83"/>
      <c r="L224" s="59">
        <f t="shared" si="70"/>
        <v>213951.48501856191</v>
      </c>
      <c r="M224" s="60">
        <f t="shared" si="63"/>
        <v>20698.514981438086</v>
      </c>
      <c r="N224" s="61">
        <f t="shared" si="64"/>
        <v>1.0967439650145094</v>
      </c>
      <c r="O224" s="80"/>
      <c r="P224" s="59">
        <f>IF(D224=0,0,SUM($L$202:L224))</f>
        <v>3760729.7852192977</v>
      </c>
      <c r="Q224" s="59">
        <f>IF(D224=0,0,SUM($J$202:J224))</f>
        <v>3770990</v>
      </c>
      <c r="R224" s="63">
        <f t="shared" si="65"/>
        <v>10260.214780702256</v>
      </c>
      <c r="S224" s="64">
        <f t="shared" si="71"/>
        <v>1.0027282509955988</v>
      </c>
      <c r="T224" s="73"/>
      <c r="U224" s="59">
        <f>IF(D224=0,0,SUM($L$21:L224))</f>
        <v>40742835.048377149</v>
      </c>
      <c r="V224" s="59">
        <f>IF(D224=0,0,SUM($J$21:J224))</f>
        <v>41214190</v>
      </c>
      <c r="W224" s="66">
        <f t="shared" si="66"/>
        <v>471354.95162285119</v>
      </c>
      <c r="X224" s="67">
        <f t="shared" si="72"/>
        <v>1.0115690268255308</v>
      </c>
      <c r="Y224" s="68">
        <f t="shared" si="73"/>
        <v>45861</v>
      </c>
      <c r="Z224" s="69">
        <f t="shared" si="73"/>
        <v>45861</v>
      </c>
      <c r="AA224" s="1"/>
      <c r="AB224" s="1"/>
      <c r="AC224" s="1"/>
      <c r="AD224" s="1"/>
      <c r="AE224" s="1"/>
      <c r="AF224" s="1"/>
      <c r="AG224" s="1"/>
    </row>
    <row r="225" spans="1:33" ht="20">
      <c r="A225" s="1"/>
      <c r="B225" s="11"/>
      <c r="C225" s="50">
        <v>205</v>
      </c>
      <c r="D225" s="51">
        <v>1</v>
      </c>
      <c r="E225" s="52">
        <f t="shared" si="67"/>
        <v>7</v>
      </c>
      <c r="F225" s="53">
        <f t="shared" si="68"/>
        <v>45862</v>
      </c>
      <c r="G225" s="54" t="str">
        <f t="shared" si="69"/>
        <v>Thu</v>
      </c>
      <c r="H225" s="55"/>
      <c r="I225" s="56"/>
      <c r="J225" s="82">
        <v>364300</v>
      </c>
      <c r="K225" s="83"/>
      <c r="L225" s="59">
        <f t="shared" si="70"/>
        <v>191787.99807281245</v>
      </c>
      <c r="M225" s="60">
        <f t="shared" si="63"/>
        <v>172512.00192718755</v>
      </c>
      <c r="N225" s="61">
        <f t="shared" si="64"/>
        <v>1.899493209484846</v>
      </c>
      <c r="O225" s="80"/>
      <c r="P225" s="59">
        <f>IF(D225=0,0,SUM($L$202:L225))</f>
        <v>3952517.7832921101</v>
      </c>
      <c r="Q225" s="59">
        <f>IF(D225=0,0,SUM($J$202:J225))</f>
        <v>4135290</v>
      </c>
      <c r="R225" s="63">
        <f t="shared" si="65"/>
        <v>182772.21670788992</v>
      </c>
      <c r="S225" s="64">
        <f t="shared" si="71"/>
        <v>1.0462419720109788</v>
      </c>
      <c r="T225" s="73"/>
      <c r="U225" s="59">
        <f>IF(D225=0,0,SUM($L$21:L225))</f>
        <v>40934623.046449959</v>
      </c>
      <c r="V225" s="59">
        <f>IF(D225=0,0,SUM($J$21:J225))</f>
        <v>41578490</v>
      </c>
      <c r="W225" s="66">
        <f t="shared" si="66"/>
        <v>643866.95355004072</v>
      </c>
      <c r="X225" s="67">
        <f t="shared" si="72"/>
        <v>1.0157291531137205</v>
      </c>
      <c r="Y225" s="68">
        <f t="shared" si="73"/>
        <v>45862</v>
      </c>
      <c r="Z225" s="69">
        <f t="shared" si="73"/>
        <v>45862</v>
      </c>
      <c r="AA225" s="1"/>
      <c r="AB225" s="1"/>
      <c r="AC225" s="1"/>
      <c r="AD225" s="1"/>
      <c r="AE225" s="1"/>
      <c r="AF225" s="1"/>
      <c r="AG225" s="1"/>
    </row>
    <row r="226" spans="1:33" ht="20">
      <c r="A226" s="1"/>
      <c r="B226" s="11"/>
      <c r="C226" s="50">
        <v>206</v>
      </c>
      <c r="D226" s="51">
        <v>1</v>
      </c>
      <c r="E226" s="52">
        <f t="shared" si="67"/>
        <v>7</v>
      </c>
      <c r="F226" s="53">
        <f t="shared" si="68"/>
        <v>45863</v>
      </c>
      <c r="G226" s="54" t="str">
        <f t="shared" si="69"/>
        <v>Fri</v>
      </c>
      <c r="H226" s="55"/>
      <c r="I226" s="56"/>
      <c r="J226" s="82">
        <v>275100</v>
      </c>
      <c r="K226" s="83"/>
      <c r="L226" s="59">
        <f t="shared" si="70"/>
        <v>287700.63455082837</v>
      </c>
      <c r="M226" s="60">
        <f t="shared" si="63"/>
        <v>-12600.63455082837</v>
      </c>
      <c r="N226" s="61">
        <f t="shared" si="64"/>
        <v>0.95620227056328511</v>
      </c>
      <c r="O226" s="80"/>
      <c r="P226" s="59">
        <f>IF(D226=0,0,SUM($L$202:L226))</f>
        <v>4240218.4178429386</v>
      </c>
      <c r="Q226" s="59">
        <f>IF(D226=0,0,SUM($J$202:J226))</f>
        <v>4410390</v>
      </c>
      <c r="R226" s="63">
        <f t="shared" si="65"/>
        <v>170171.58215706144</v>
      </c>
      <c r="S226" s="64">
        <f t="shared" si="71"/>
        <v>1.0401327397289195</v>
      </c>
      <c r="T226" s="73"/>
      <c r="U226" s="59">
        <f>IF(D226=0,0,SUM($L$21:L226))</f>
        <v>41222323.681000784</v>
      </c>
      <c r="V226" s="59">
        <f>IF(D226=0,0,SUM($J$21:J226))</f>
        <v>41853590</v>
      </c>
      <c r="W226" s="66">
        <f t="shared" si="66"/>
        <v>631266.31899921596</v>
      </c>
      <c r="X226" s="67">
        <f t="shared" si="72"/>
        <v>1.015313700505684</v>
      </c>
      <c r="Y226" s="68">
        <f t="shared" si="73"/>
        <v>45863</v>
      </c>
      <c r="Z226" s="69">
        <f t="shared" si="73"/>
        <v>45863</v>
      </c>
      <c r="AA226" s="1"/>
      <c r="AB226" s="1"/>
      <c r="AC226" s="1"/>
      <c r="AD226" s="1"/>
      <c r="AE226" s="1"/>
      <c r="AF226" s="1"/>
      <c r="AG226" s="1"/>
    </row>
    <row r="227" spans="1:33" ht="20">
      <c r="A227" s="1"/>
      <c r="B227" s="11"/>
      <c r="C227" s="50">
        <v>207</v>
      </c>
      <c r="D227" s="51">
        <v>1</v>
      </c>
      <c r="E227" s="52">
        <f t="shared" si="67"/>
        <v>7</v>
      </c>
      <c r="F227" s="53">
        <f t="shared" si="68"/>
        <v>45864</v>
      </c>
      <c r="G227" s="54" t="str">
        <f t="shared" si="69"/>
        <v>Sat</v>
      </c>
      <c r="H227" s="55"/>
      <c r="I227" s="56"/>
      <c r="J227" s="82">
        <v>89730</v>
      </c>
      <c r="K227" s="83"/>
      <c r="L227" s="59">
        <f t="shared" si="70"/>
        <v>117849.10352330667</v>
      </c>
      <c r="M227" s="60">
        <f t="shared" ref="M227:M276" si="74">IF(D227=0,0,J227-L227)</f>
        <v>-28119.103523306665</v>
      </c>
      <c r="N227" s="61">
        <f t="shared" si="9"/>
        <v>0.76139739138749041</v>
      </c>
      <c r="O227" s="80"/>
      <c r="P227" s="59">
        <f>IF(D227=0,0,SUM($L$202:L227))</f>
        <v>4358067.5213662451</v>
      </c>
      <c r="Q227" s="59">
        <f>IF(D227=0,0,SUM($J$202:J227))</f>
        <v>4500120</v>
      </c>
      <c r="R227" s="63">
        <f t="shared" si="65"/>
        <v>142052.47863375489</v>
      </c>
      <c r="S227" s="64">
        <f t="shared" si="71"/>
        <v>1.0325952909029785</v>
      </c>
      <c r="T227" s="73"/>
      <c r="U227" s="59">
        <f>IF(D227=0,0,SUM($L$21:L227))</f>
        <v>41340172.784524091</v>
      </c>
      <c r="V227" s="59">
        <f>IF(D227=0,0,SUM($J$21:J227))</f>
        <v>41943320</v>
      </c>
      <c r="W227" s="66">
        <f t="shared" si="66"/>
        <v>603147.21547590941</v>
      </c>
      <c r="X227" s="67">
        <f t="shared" si="72"/>
        <v>1.01458985714984</v>
      </c>
      <c r="Y227" s="68">
        <f t="shared" si="73"/>
        <v>45864</v>
      </c>
      <c r="Z227" s="69">
        <f t="shared" si="73"/>
        <v>45864</v>
      </c>
      <c r="AA227" s="1"/>
      <c r="AB227" s="1"/>
      <c r="AC227" s="1"/>
      <c r="AD227" s="1"/>
      <c r="AE227" s="1"/>
      <c r="AF227" s="1"/>
      <c r="AG227" s="1"/>
    </row>
    <row r="228" spans="1:33" ht="20">
      <c r="A228" s="1"/>
      <c r="B228" s="11"/>
      <c r="C228" s="50">
        <v>208</v>
      </c>
      <c r="D228" s="51">
        <v>0</v>
      </c>
      <c r="E228" s="52">
        <f t="shared" si="67"/>
        <v>7</v>
      </c>
      <c r="F228" s="53">
        <f t="shared" si="68"/>
        <v>45865</v>
      </c>
      <c r="G228" s="54" t="str">
        <f t="shared" si="69"/>
        <v>Sun</v>
      </c>
      <c r="H228" s="55"/>
      <c r="I228" s="56"/>
      <c r="J228" s="82"/>
      <c r="K228" s="83"/>
      <c r="L228" s="59">
        <f t="shared" si="70"/>
        <v>0</v>
      </c>
      <c r="M228" s="60">
        <f t="shared" si="74"/>
        <v>0</v>
      </c>
      <c r="N228" s="61" t="str">
        <f t="shared" si="9"/>
        <v>¥0</v>
      </c>
      <c r="O228" s="81"/>
      <c r="P228" s="59">
        <f>IF(D228=0,0,SUM($L$202:L228))</f>
        <v>0</v>
      </c>
      <c r="Q228" s="59">
        <f>IF(D228=0,0,SUM($J$202:J228))</f>
        <v>0</v>
      </c>
      <c r="R228" s="63">
        <f t="shared" si="65"/>
        <v>0</v>
      </c>
      <c r="S228" s="64">
        <f t="shared" si="71"/>
        <v>0</v>
      </c>
      <c r="T228" s="78"/>
      <c r="U228" s="59">
        <f>IF(D228=0,0,SUM($L$21:L228))</f>
        <v>0</v>
      </c>
      <c r="V228" s="59">
        <f>IF(D228=0,0,SUM($J$21:J228))</f>
        <v>0</v>
      </c>
      <c r="W228" s="66">
        <f t="shared" si="66"/>
        <v>0</v>
      </c>
      <c r="X228" s="67">
        <f t="shared" si="72"/>
        <v>0</v>
      </c>
      <c r="Y228" s="68">
        <f t="shared" si="73"/>
        <v>45865</v>
      </c>
      <c r="Z228" s="69">
        <f t="shared" si="73"/>
        <v>45865</v>
      </c>
      <c r="AA228" s="1"/>
      <c r="AB228" s="1"/>
      <c r="AC228" s="1"/>
      <c r="AD228" s="1"/>
      <c r="AE228" s="1"/>
      <c r="AF228" s="1"/>
      <c r="AG228" s="1"/>
    </row>
    <row r="229" spans="1:33" ht="20">
      <c r="A229" s="1"/>
      <c r="B229" s="11"/>
      <c r="C229" s="50">
        <v>209</v>
      </c>
      <c r="D229" s="51">
        <v>1</v>
      </c>
      <c r="E229" s="52">
        <f t="shared" si="67"/>
        <v>7</v>
      </c>
      <c r="F229" s="53">
        <f t="shared" si="68"/>
        <v>45866</v>
      </c>
      <c r="G229" s="54" t="str">
        <f t="shared" si="69"/>
        <v>Mon</v>
      </c>
      <c r="H229" s="55"/>
      <c r="I229" s="56"/>
      <c r="J229" s="82">
        <v>225210</v>
      </c>
      <c r="K229" s="83"/>
      <c r="L229" s="59">
        <f t="shared" si="70"/>
        <v>261193.83062739344</v>
      </c>
      <c r="M229" s="60">
        <f t="shared" si="74"/>
        <v>-35983.830627393443</v>
      </c>
      <c r="N229" s="61">
        <f t="shared" si="9"/>
        <v>0.86223322908906586</v>
      </c>
      <c r="O229" s="80"/>
      <c r="P229" s="59">
        <f>IF(D229=0,0,SUM($L$202:L229))</f>
        <v>4619261.351993639</v>
      </c>
      <c r="Q229" s="59">
        <f>IF(D229=0,0,SUM($J$202:J229))</f>
        <v>4725330</v>
      </c>
      <c r="R229" s="63">
        <f t="shared" si="65"/>
        <v>106068.64800636098</v>
      </c>
      <c r="S229" s="64">
        <f t="shared" si="71"/>
        <v>1.0229622530365341</v>
      </c>
      <c r="T229" s="73"/>
      <c r="U229" s="59">
        <f>IF(D229=0,0,SUM($L$21:L229))</f>
        <v>41601366.615151487</v>
      </c>
      <c r="V229" s="59">
        <f>IF(D229=0,0,SUM($J$21:J229))</f>
        <v>42168530</v>
      </c>
      <c r="W229" s="66">
        <f t="shared" si="66"/>
        <v>567163.38484851271</v>
      </c>
      <c r="X229" s="67">
        <f t="shared" si="72"/>
        <v>1.0136332873411411</v>
      </c>
      <c r="Y229" s="68">
        <f t="shared" si="73"/>
        <v>45866</v>
      </c>
      <c r="Z229" s="69">
        <f t="shared" si="73"/>
        <v>45866</v>
      </c>
      <c r="AA229" s="1"/>
      <c r="AB229" s="1"/>
      <c r="AC229" s="1"/>
      <c r="AD229" s="1"/>
      <c r="AE229" s="1"/>
      <c r="AF229" s="1"/>
      <c r="AG229" s="1"/>
    </row>
    <row r="230" spans="1:33" ht="20">
      <c r="A230" s="1"/>
      <c r="B230" s="11"/>
      <c r="C230" s="50">
        <v>210</v>
      </c>
      <c r="D230" s="51">
        <v>1</v>
      </c>
      <c r="E230" s="52">
        <f t="shared" si="67"/>
        <v>7</v>
      </c>
      <c r="F230" s="53">
        <f t="shared" si="68"/>
        <v>45867</v>
      </c>
      <c r="G230" s="54" t="str">
        <f t="shared" si="69"/>
        <v>Tue</v>
      </c>
      <c r="H230" s="55"/>
      <c r="I230" s="56"/>
      <c r="J230" s="82">
        <v>202300</v>
      </c>
      <c r="K230" s="83"/>
      <c r="L230" s="59">
        <f t="shared" si="70"/>
        <v>147630.74386235513</v>
      </c>
      <c r="M230" s="60">
        <f t="shared" si="74"/>
        <v>54669.256137644872</v>
      </c>
      <c r="N230" s="61">
        <f t="shared" si="9"/>
        <v>1.3703107815308189</v>
      </c>
      <c r="O230" s="80"/>
      <c r="P230" s="59">
        <f>IF(D230=0,0,SUM($L$202:L230))</f>
        <v>4766892.0958559942</v>
      </c>
      <c r="Q230" s="59">
        <f>IF(D230=0,0,SUM($J$202:J230))</f>
        <v>4927630</v>
      </c>
      <c r="R230" s="63">
        <f t="shared" si="65"/>
        <v>160737.90414400585</v>
      </c>
      <c r="S230" s="64">
        <f t="shared" si="71"/>
        <v>1.033719643933988</v>
      </c>
      <c r="T230" s="73"/>
      <c r="U230" s="59">
        <f>IF(D230=0,0,SUM($L$21:L230))</f>
        <v>41748997.359013841</v>
      </c>
      <c r="V230" s="59">
        <f>IF(D230=0,0,SUM($J$21:J230))</f>
        <v>42370830</v>
      </c>
      <c r="W230" s="66">
        <f t="shared" si="66"/>
        <v>621832.64098615944</v>
      </c>
      <c r="X230" s="67">
        <f t="shared" si="72"/>
        <v>1.0148945526916207</v>
      </c>
      <c r="Y230" s="68">
        <f t="shared" si="73"/>
        <v>45867</v>
      </c>
      <c r="Z230" s="69">
        <f t="shared" si="73"/>
        <v>45867</v>
      </c>
      <c r="AA230" s="1"/>
      <c r="AB230" s="1"/>
      <c r="AC230" s="1"/>
      <c r="AD230" s="1"/>
      <c r="AE230" s="1"/>
      <c r="AF230" s="1"/>
      <c r="AG230" s="1"/>
    </row>
    <row r="231" spans="1:33" ht="20">
      <c r="A231" s="1"/>
      <c r="B231" s="11"/>
      <c r="C231" s="50">
        <v>211</v>
      </c>
      <c r="D231" s="51">
        <v>1</v>
      </c>
      <c r="E231" s="52">
        <f t="shared" si="67"/>
        <v>7</v>
      </c>
      <c r="F231" s="53">
        <f t="shared" si="68"/>
        <v>45868</v>
      </c>
      <c r="G231" s="54" t="str">
        <f t="shared" si="69"/>
        <v>Wed</v>
      </c>
      <c r="H231" s="55"/>
      <c r="I231" s="56"/>
      <c r="J231" s="82">
        <v>203400</v>
      </c>
      <c r="K231" s="83"/>
      <c r="L231" s="59">
        <f t="shared" si="70"/>
        <v>213951.48501856191</v>
      </c>
      <c r="M231" s="60">
        <f t="shared" si="74"/>
        <v>-10551.485018561914</v>
      </c>
      <c r="N231" s="61">
        <f t="shared" si="9"/>
        <v>0.95068281476220418</v>
      </c>
      <c r="O231" s="80"/>
      <c r="P231" s="59">
        <f>IF(D231=0,0,SUM($L$202:L231))</f>
        <v>4980843.5808745557</v>
      </c>
      <c r="Q231" s="59">
        <f>IF(D231=0,0,SUM($J$202:J231))</f>
        <v>5131030</v>
      </c>
      <c r="R231" s="63">
        <f t="shared" si="65"/>
        <v>150186.41912544426</v>
      </c>
      <c r="S231" s="64">
        <f t="shared" si="71"/>
        <v>1.0301528077898552</v>
      </c>
      <c r="T231" s="73"/>
      <c r="U231" s="59">
        <f>IF(D231=0,0,SUM($L$21:L231))</f>
        <v>41962948.844032399</v>
      </c>
      <c r="V231" s="59">
        <f>IF(D231=0,0,SUM($J$21:J231))</f>
        <v>42574230</v>
      </c>
      <c r="W231" s="66">
        <f t="shared" si="66"/>
        <v>611281.15596760064</v>
      </c>
      <c r="X231" s="67">
        <f t="shared" si="72"/>
        <v>1.0145671639578908</v>
      </c>
      <c r="Y231" s="68">
        <f t="shared" ref="Y231:Z246" si="75">Y230+1</f>
        <v>45868</v>
      </c>
      <c r="Z231" s="69">
        <f t="shared" si="75"/>
        <v>45868</v>
      </c>
      <c r="AA231" s="1"/>
      <c r="AB231" s="1"/>
      <c r="AC231" s="1"/>
      <c r="AD231" s="1"/>
      <c r="AE231" s="1"/>
      <c r="AF231" s="1"/>
      <c r="AG231" s="1"/>
    </row>
    <row r="232" spans="1:33" ht="21" thickBot="1">
      <c r="A232" s="1"/>
      <c r="B232" s="11"/>
      <c r="C232" s="100">
        <v>212</v>
      </c>
      <c r="D232" s="85">
        <v>1</v>
      </c>
      <c r="E232" s="501">
        <f t="shared" si="67"/>
        <v>7</v>
      </c>
      <c r="F232" s="101">
        <f t="shared" si="68"/>
        <v>45869</v>
      </c>
      <c r="G232" s="87" t="str">
        <f t="shared" si="69"/>
        <v>Thu</v>
      </c>
      <c r="H232" s="508"/>
      <c r="I232" s="502"/>
      <c r="J232" s="102">
        <v>207500</v>
      </c>
      <c r="K232" s="503"/>
      <c r="L232" s="534">
        <f t="shared" si="70"/>
        <v>191787.99807281245</v>
      </c>
      <c r="M232" s="91">
        <f t="shared" si="74"/>
        <v>15712.00192718755</v>
      </c>
      <c r="N232" s="92">
        <f t="shared" si="9"/>
        <v>1.0819238017241437</v>
      </c>
      <c r="O232" s="504"/>
      <c r="P232" s="104">
        <f>IF(D232=0,0,SUM($L$202:L232))</f>
        <v>5172631.5789473681</v>
      </c>
      <c r="Q232" s="103">
        <f>IF(D232=0,0,SUM($J$202:J232))</f>
        <v>5338530</v>
      </c>
      <c r="R232" s="105">
        <f t="shared" si="65"/>
        <v>165898.42105263192</v>
      </c>
      <c r="S232" s="505">
        <f t="shared" si="71"/>
        <v>1.0320723443223443</v>
      </c>
      <c r="T232" s="506"/>
      <c r="U232" s="94">
        <f>IF(D232=0,0,SUM($L$21:L232))</f>
        <v>42154736.84210521</v>
      </c>
      <c r="V232" s="90">
        <f>IF(D232=0,0,SUM($J$21:J232))</f>
        <v>42781730</v>
      </c>
      <c r="W232" s="95">
        <f t="shared" si="66"/>
        <v>626993.15789479017</v>
      </c>
      <c r="X232" s="507">
        <f t="shared" si="72"/>
        <v>1.014873611007068</v>
      </c>
      <c r="Y232" s="68">
        <f t="shared" si="75"/>
        <v>45869</v>
      </c>
      <c r="Z232" s="69">
        <f t="shared" si="75"/>
        <v>45869</v>
      </c>
      <c r="AA232" s="1"/>
      <c r="AB232" s="1"/>
      <c r="AC232" s="1"/>
      <c r="AD232" s="1"/>
      <c r="AE232" s="1"/>
      <c r="AF232" s="1"/>
      <c r="AG232" s="1"/>
    </row>
    <row r="233" spans="1:33" ht="21" thickTop="1">
      <c r="A233" s="1"/>
      <c r="B233" s="11"/>
      <c r="C233" s="50">
        <v>213</v>
      </c>
      <c r="D233" s="96">
        <v>1</v>
      </c>
      <c r="E233" s="52">
        <f t="shared" si="67"/>
        <v>8</v>
      </c>
      <c r="F233" s="53">
        <f t="shared" si="68"/>
        <v>45870</v>
      </c>
      <c r="G233" s="54" t="str">
        <f t="shared" si="69"/>
        <v>Fri</v>
      </c>
      <c r="H233" s="55"/>
      <c r="I233" s="56"/>
      <c r="J233" s="82">
        <v>213400</v>
      </c>
      <c r="K233" s="83"/>
      <c r="L233" s="59">
        <f t="shared" si="70"/>
        <v>140867.09881310942</v>
      </c>
      <c r="M233" s="63">
        <f t="shared" si="74"/>
        <v>72532.90118689058</v>
      </c>
      <c r="N233" s="97">
        <f t="shared" si="9"/>
        <v>1.5149030667772971</v>
      </c>
      <c r="O233" s="80"/>
      <c r="P233" s="59">
        <f>IF(D233=0,0,$L$233)</f>
        <v>140867.09881310942</v>
      </c>
      <c r="Q233" s="59">
        <f>IF(D233=0,0,$J$233)</f>
        <v>213400</v>
      </c>
      <c r="R233" s="63">
        <f t="shared" si="65"/>
        <v>72532.90118689058</v>
      </c>
      <c r="S233" s="499">
        <f t="shared" si="71"/>
        <v>1.5149030667772971</v>
      </c>
      <c r="T233" s="73"/>
      <c r="U233" s="59">
        <f>IF(D233=0,0,SUM($L$21:L233))</f>
        <v>42295603.940918319</v>
      </c>
      <c r="V233" s="59">
        <f>IF(D233=0,0,SUM($J$21:J233))</f>
        <v>42995130</v>
      </c>
      <c r="W233" s="66">
        <f t="shared" si="66"/>
        <v>699526.05908168107</v>
      </c>
      <c r="X233" s="500">
        <f t="shared" si="72"/>
        <v>1.0165389779055722</v>
      </c>
      <c r="Y233" s="68">
        <f t="shared" si="75"/>
        <v>45870</v>
      </c>
      <c r="Z233" s="69">
        <f t="shared" si="75"/>
        <v>45870</v>
      </c>
      <c r="AA233" s="1"/>
      <c r="AB233" s="1"/>
      <c r="AC233" s="1"/>
      <c r="AD233" s="1"/>
      <c r="AE233" s="1"/>
      <c r="AF233" s="1"/>
      <c r="AG233" s="1"/>
    </row>
    <row r="234" spans="1:33" ht="20">
      <c r="A234" s="1"/>
      <c r="B234" s="11"/>
      <c r="C234" s="50">
        <v>214</v>
      </c>
      <c r="D234" s="51">
        <v>1</v>
      </c>
      <c r="E234" s="52">
        <f t="shared" si="67"/>
        <v>8</v>
      </c>
      <c r="F234" s="53">
        <f t="shared" si="68"/>
        <v>45871</v>
      </c>
      <c r="G234" s="54" t="str">
        <f t="shared" si="69"/>
        <v>Sat</v>
      </c>
      <c r="H234" s="55"/>
      <c r="I234" s="56"/>
      <c r="J234" s="82">
        <v>44500</v>
      </c>
      <c r="K234" s="83"/>
      <c r="L234" s="59">
        <f t="shared" si="70"/>
        <v>76677.597590650563</v>
      </c>
      <c r="M234" s="60">
        <f t="shared" si="74"/>
        <v>-32177.597590650563</v>
      </c>
      <c r="N234" s="61">
        <f t="shared" si="9"/>
        <v>0.58035203759990994</v>
      </c>
      <c r="O234" s="80"/>
      <c r="P234" s="59">
        <f>IF(D234=0,0,SUM($L$233:L234))</f>
        <v>217544.69640376</v>
      </c>
      <c r="Q234" s="59">
        <f>IF(D234=0,0,SUM($J$233:J234))</f>
        <v>257900</v>
      </c>
      <c r="R234" s="63">
        <f t="shared" si="65"/>
        <v>40355.303596240003</v>
      </c>
      <c r="S234" s="64">
        <f t="shared" si="71"/>
        <v>1.1855035046284976</v>
      </c>
      <c r="T234" s="73"/>
      <c r="U234" s="59">
        <f>IF(D234=0,0,SUM($L$21:L234))</f>
        <v>42372281.538508967</v>
      </c>
      <c r="V234" s="59">
        <f>IF(D234=0,0,SUM($J$21:J234))</f>
        <v>43039630</v>
      </c>
      <c r="W234" s="66">
        <f t="shared" si="66"/>
        <v>667348.46149103343</v>
      </c>
      <c r="X234" s="67">
        <f t="shared" si="72"/>
        <v>1.0157496466383225</v>
      </c>
      <c r="Y234" s="68">
        <f t="shared" si="75"/>
        <v>45871</v>
      </c>
      <c r="Z234" s="69">
        <f t="shared" si="75"/>
        <v>45871</v>
      </c>
      <c r="AA234" s="1"/>
      <c r="AB234" s="1"/>
      <c r="AC234" s="1"/>
      <c r="AD234" s="1"/>
      <c r="AE234" s="1"/>
      <c r="AF234" s="1"/>
      <c r="AG234" s="1"/>
    </row>
    <row r="235" spans="1:33" ht="20">
      <c r="A235" s="1"/>
      <c r="B235" s="11"/>
      <c r="C235" s="50">
        <v>215</v>
      </c>
      <c r="D235" s="51">
        <v>0</v>
      </c>
      <c r="E235" s="52">
        <f t="shared" si="67"/>
        <v>8</v>
      </c>
      <c r="F235" s="53">
        <f t="shared" si="68"/>
        <v>45872</v>
      </c>
      <c r="G235" s="54" t="str">
        <f t="shared" si="69"/>
        <v>Sun</v>
      </c>
      <c r="H235" s="55"/>
      <c r="I235" s="56"/>
      <c r="J235" s="82"/>
      <c r="K235" s="83"/>
      <c r="L235" s="59">
        <f t="shared" si="70"/>
        <v>0</v>
      </c>
      <c r="M235" s="60">
        <f t="shared" si="74"/>
        <v>0</v>
      </c>
      <c r="N235" s="61" t="str">
        <f t="shared" si="9"/>
        <v>¥0</v>
      </c>
      <c r="O235" s="81"/>
      <c r="P235" s="59">
        <f>IF(D235=0,0,SUM($L$233:L235))</f>
        <v>0</v>
      </c>
      <c r="Q235" s="59">
        <f>IF(D235=0,0,SUM($J$233:J235))</f>
        <v>0</v>
      </c>
      <c r="R235" s="63">
        <f t="shared" si="65"/>
        <v>0</v>
      </c>
      <c r="S235" s="64">
        <f t="shared" si="71"/>
        <v>0</v>
      </c>
      <c r="T235" s="78"/>
      <c r="U235" s="59">
        <f>IF(D235=0,0,SUM($L$21:L235))</f>
        <v>0</v>
      </c>
      <c r="V235" s="59">
        <f>IF(D235=0,0,SUM($J$21:J235))</f>
        <v>0</v>
      </c>
      <c r="W235" s="66">
        <f t="shared" si="66"/>
        <v>0</v>
      </c>
      <c r="X235" s="67">
        <f t="shared" si="72"/>
        <v>0</v>
      </c>
      <c r="Y235" s="68">
        <f t="shared" si="75"/>
        <v>45872</v>
      </c>
      <c r="Z235" s="69">
        <f t="shared" si="75"/>
        <v>45872</v>
      </c>
      <c r="AA235" s="1"/>
      <c r="AB235" s="1"/>
      <c r="AC235" s="1"/>
      <c r="AD235" s="1"/>
      <c r="AE235" s="1"/>
      <c r="AF235" s="1"/>
      <c r="AG235" s="1"/>
    </row>
    <row r="236" spans="1:33" ht="20">
      <c r="A236" s="1"/>
      <c r="B236" s="11"/>
      <c r="C236" s="50">
        <v>216</v>
      </c>
      <c r="D236" s="51">
        <v>1</v>
      </c>
      <c r="E236" s="52">
        <f t="shared" si="67"/>
        <v>8</v>
      </c>
      <c r="F236" s="53">
        <f t="shared" si="68"/>
        <v>45873</v>
      </c>
      <c r="G236" s="54" t="str">
        <f t="shared" si="69"/>
        <v>Mon</v>
      </c>
      <c r="H236" s="55"/>
      <c r="I236" s="56"/>
      <c r="J236" s="82">
        <v>189650</v>
      </c>
      <c r="K236" s="83"/>
      <c r="L236" s="59">
        <f t="shared" si="70"/>
        <v>91631.631648912808</v>
      </c>
      <c r="M236" s="60">
        <f t="shared" si="74"/>
        <v>98018.368351087192</v>
      </c>
      <c r="N236" s="61">
        <f t="shared" si="9"/>
        <v>2.0697001306999008</v>
      </c>
      <c r="O236" s="80"/>
      <c r="P236" s="59">
        <f>IF(D236=0,0,SUM($L$233:L236))</f>
        <v>309176.32805267279</v>
      </c>
      <c r="Q236" s="59">
        <f>IF(D236=0,0,SUM($J$233:J236))</f>
        <v>447550</v>
      </c>
      <c r="R236" s="63">
        <f t="shared" si="65"/>
        <v>138373.67194732721</v>
      </c>
      <c r="S236" s="64">
        <f t="shared" si="71"/>
        <v>1.447555842385686</v>
      </c>
      <c r="T236" s="73"/>
      <c r="U236" s="59">
        <f>IF(D236=0,0,SUM($L$21:L236))</f>
        <v>42463913.17015788</v>
      </c>
      <c r="V236" s="59">
        <f>IF(D236=0,0,SUM($J$21:J236))</f>
        <v>43229280</v>
      </c>
      <c r="W236" s="66">
        <f t="shared" si="66"/>
        <v>765366.82984212041</v>
      </c>
      <c r="X236" s="67">
        <f t="shared" si="72"/>
        <v>1.018023935447852</v>
      </c>
      <c r="Y236" s="68">
        <f t="shared" si="75"/>
        <v>45873</v>
      </c>
      <c r="Z236" s="69">
        <f t="shared" si="75"/>
        <v>45873</v>
      </c>
      <c r="AA236" s="1"/>
      <c r="AB236" s="1"/>
      <c r="AC236" s="1"/>
      <c r="AD236" s="1"/>
      <c r="AE236" s="1"/>
      <c r="AF236" s="1"/>
      <c r="AG236" s="1"/>
    </row>
    <row r="237" spans="1:33" ht="20">
      <c r="A237" s="1"/>
      <c r="B237" s="11"/>
      <c r="C237" s="50">
        <v>217</v>
      </c>
      <c r="D237" s="51">
        <v>1</v>
      </c>
      <c r="E237" s="52">
        <f t="shared" si="67"/>
        <v>8</v>
      </c>
      <c r="F237" s="53">
        <f t="shared" si="68"/>
        <v>45874</v>
      </c>
      <c r="G237" s="54" t="str">
        <f t="shared" si="69"/>
        <v>Tue</v>
      </c>
      <c r="H237" s="55"/>
      <c r="I237" s="56"/>
      <c r="J237" s="82">
        <v>120550</v>
      </c>
      <c r="K237" s="83"/>
      <c r="L237" s="59">
        <f t="shared" si="70"/>
        <v>76844.17086507917</v>
      </c>
      <c r="M237" s="60">
        <f t="shared" si="74"/>
        <v>43705.82913492083</v>
      </c>
      <c r="N237" s="61">
        <f t="shared" si="9"/>
        <v>1.5687591998573098</v>
      </c>
      <c r="O237" s="80"/>
      <c r="P237" s="59">
        <f>IF(D237=0,0,SUM($L$233:L237))</f>
        <v>386020.49891775195</v>
      </c>
      <c r="Q237" s="59">
        <f>IF(D237=0,0,SUM($J$233:J237))</f>
        <v>568100</v>
      </c>
      <c r="R237" s="63">
        <f t="shared" si="65"/>
        <v>182079.50108224805</v>
      </c>
      <c r="S237" s="64">
        <f t="shared" si="71"/>
        <v>1.4716835028003088</v>
      </c>
      <c r="T237" s="73"/>
      <c r="U237" s="59">
        <f>IF(D237=0,0,SUM($L$21:L237))</f>
        <v>42540757.341022961</v>
      </c>
      <c r="V237" s="59">
        <f>IF(D237=0,0,SUM($J$21:J237))</f>
        <v>43349830</v>
      </c>
      <c r="W237" s="66">
        <f t="shared" si="66"/>
        <v>809072.65897703916</v>
      </c>
      <c r="X237" s="67">
        <f t="shared" si="72"/>
        <v>1.0190187648163196</v>
      </c>
      <c r="Y237" s="68">
        <f t="shared" si="75"/>
        <v>45874</v>
      </c>
      <c r="Z237" s="69">
        <f t="shared" si="75"/>
        <v>45874</v>
      </c>
      <c r="AA237" s="1"/>
      <c r="AB237" s="1"/>
      <c r="AC237" s="1"/>
      <c r="AD237" s="1"/>
      <c r="AE237" s="1"/>
      <c r="AF237" s="1"/>
      <c r="AG237" s="1"/>
    </row>
    <row r="238" spans="1:33" ht="20">
      <c r="A238" s="1"/>
      <c r="B238" s="11"/>
      <c r="C238" s="50">
        <v>218</v>
      </c>
      <c r="D238" s="51">
        <v>1</v>
      </c>
      <c r="E238" s="52">
        <f t="shared" si="67"/>
        <v>8</v>
      </c>
      <c r="F238" s="53">
        <f t="shared" si="68"/>
        <v>45875</v>
      </c>
      <c r="G238" s="54" t="str">
        <f t="shared" si="69"/>
        <v>Wed</v>
      </c>
      <c r="H238" s="55"/>
      <c r="I238" s="56"/>
      <c r="J238" s="82">
        <v>106410</v>
      </c>
      <c r="K238" s="83"/>
      <c r="L238" s="59">
        <f t="shared" si="70"/>
        <v>144049.79150461836</v>
      </c>
      <c r="M238" s="60">
        <f t="shared" si="74"/>
        <v>-37639.791504618363</v>
      </c>
      <c r="N238" s="61">
        <f t="shared" si="9"/>
        <v>0.73870290882433109</v>
      </c>
      <c r="O238" s="80"/>
      <c r="P238" s="59">
        <f>IF(D238=0,0,SUM($L$233:L238))</f>
        <v>530070.29042237031</v>
      </c>
      <c r="Q238" s="59">
        <f>IF(D238=0,0,SUM($J$233:J238))</f>
        <v>674510</v>
      </c>
      <c r="R238" s="63">
        <f t="shared" si="65"/>
        <v>144439.70957762969</v>
      </c>
      <c r="S238" s="64">
        <f t="shared" si="71"/>
        <v>1.2724916151451109</v>
      </c>
      <c r="T238" s="73"/>
      <c r="U238" s="59">
        <f>IF(D238=0,0,SUM($L$21:L238))</f>
        <v>42684807.132527582</v>
      </c>
      <c r="V238" s="59">
        <f>IF(D238=0,0,SUM($J$21:J238))</f>
        <v>43456240</v>
      </c>
      <c r="W238" s="66">
        <f t="shared" si="66"/>
        <v>771432.86747241765</v>
      </c>
      <c r="X238" s="67">
        <f t="shared" si="72"/>
        <v>1.0180727738812847</v>
      </c>
      <c r="Y238" s="68">
        <f t="shared" si="75"/>
        <v>45875</v>
      </c>
      <c r="Z238" s="69">
        <f t="shared" si="75"/>
        <v>45875</v>
      </c>
      <c r="AA238" s="1"/>
      <c r="AB238" s="1"/>
      <c r="AC238" s="1"/>
      <c r="AD238" s="1"/>
      <c r="AE238" s="1"/>
      <c r="AF238" s="1"/>
      <c r="AG238" s="1"/>
    </row>
    <row r="239" spans="1:33" ht="20">
      <c r="A239" s="1"/>
      <c r="B239" s="11"/>
      <c r="C239" s="50">
        <v>219</v>
      </c>
      <c r="D239" s="51">
        <v>1</v>
      </c>
      <c r="E239" s="52">
        <f t="shared" si="67"/>
        <v>8</v>
      </c>
      <c r="F239" s="53">
        <f t="shared" si="68"/>
        <v>45876</v>
      </c>
      <c r="G239" s="54" t="str">
        <f t="shared" si="69"/>
        <v>Thu</v>
      </c>
      <c r="H239" s="55"/>
      <c r="I239" s="56"/>
      <c r="J239" s="82">
        <v>98660</v>
      </c>
      <c r="K239" s="83"/>
      <c r="L239" s="59">
        <f t="shared" si="70"/>
        <v>134256.91603953423</v>
      </c>
      <c r="M239" s="60">
        <f t="shared" si="74"/>
        <v>-35596.916039534233</v>
      </c>
      <c r="N239" s="61">
        <f t="shared" si="9"/>
        <v>0.73485972201944427</v>
      </c>
      <c r="O239" s="80"/>
      <c r="P239" s="59">
        <f>IF(D239=0,0,SUM($L$233:L239))</f>
        <v>664327.20646190457</v>
      </c>
      <c r="Q239" s="59">
        <f>IF(D239=0,0,SUM($J$233:J239))</f>
        <v>773170</v>
      </c>
      <c r="R239" s="63">
        <f t="shared" si="65"/>
        <v>108842.79353809543</v>
      </c>
      <c r="S239" s="64">
        <f t="shared" si="71"/>
        <v>1.1638391330046136</v>
      </c>
      <c r="T239" s="73"/>
      <c r="U239" s="59">
        <f>IF(D239=0,0,SUM($L$21:L239))</f>
        <v>42819064.048567116</v>
      </c>
      <c r="V239" s="59">
        <f>IF(D239=0,0,SUM($J$21:J239))</f>
        <v>43554900</v>
      </c>
      <c r="W239" s="66">
        <f t="shared" si="66"/>
        <v>735835.95143288374</v>
      </c>
      <c r="X239" s="67">
        <f t="shared" si="72"/>
        <v>1.0171847743004907</v>
      </c>
      <c r="Y239" s="68">
        <f t="shared" si="75"/>
        <v>45876</v>
      </c>
      <c r="Z239" s="69">
        <f t="shared" si="75"/>
        <v>45876</v>
      </c>
      <c r="AA239" s="1"/>
      <c r="AB239" s="1"/>
      <c r="AC239" s="1"/>
      <c r="AD239" s="1"/>
      <c r="AE239" s="1"/>
      <c r="AF239" s="1"/>
      <c r="AG239" s="1"/>
    </row>
    <row r="240" spans="1:33" ht="20">
      <c r="A240" s="1"/>
      <c r="B240" s="11"/>
      <c r="C240" s="50">
        <v>220</v>
      </c>
      <c r="D240" s="51">
        <v>1</v>
      </c>
      <c r="E240" s="52">
        <f t="shared" si="67"/>
        <v>8</v>
      </c>
      <c r="F240" s="53">
        <f t="shared" si="68"/>
        <v>45877</v>
      </c>
      <c r="G240" s="54" t="str">
        <f t="shared" si="69"/>
        <v>Fri</v>
      </c>
      <c r="H240" s="55"/>
      <c r="I240" s="56"/>
      <c r="J240" s="82">
        <v>229550</v>
      </c>
      <c r="K240" s="83"/>
      <c r="L240" s="59">
        <f t="shared" si="70"/>
        <v>140867.09881310942</v>
      </c>
      <c r="M240" s="60">
        <f t="shared" si="74"/>
        <v>88682.90118689058</v>
      </c>
      <c r="N240" s="61">
        <f t="shared" si="9"/>
        <v>1.6295501357953539</v>
      </c>
      <c r="O240" s="80"/>
      <c r="P240" s="59">
        <f>IF(D240=0,0,SUM($L$233:L240))</f>
        <v>805194.30527501402</v>
      </c>
      <c r="Q240" s="59">
        <f>IF(D240=0,0,SUM($J$233:J240))</f>
        <v>1002720</v>
      </c>
      <c r="R240" s="63">
        <f t="shared" si="65"/>
        <v>197525.69472498598</v>
      </c>
      <c r="S240" s="64">
        <f t="shared" si="71"/>
        <v>1.245314321563068</v>
      </c>
      <c r="T240" s="73"/>
      <c r="U240" s="59">
        <f>IF(D240=0,0,SUM($L$21:L240))</f>
        <v>42959931.147380225</v>
      </c>
      <c r="V240" s="59">
        <f>IF(D240=0,0,SUM($J$21:J240))</f>
        <v>43784450</v>
      </c>
      <c r="W240" s="66">
        <f t="shared" si="66"/>
        <v>824518.85261977464</v>
      </c>
      <c r="X240" s="67">
        <f t="shared" si="72"/>
        <v>1.019192741482549</v>
      </c>
      <c r="Y240" s="68">
        <f t="shared" si="75"/>
        <v>45877</v>
      </c>
      <c r="Z240" s="69">
        <f t="shared" si="75"/>
        <v>45877</v>
      </c>
      <c r="AA240" s="1"/>
      <c r="AB240" s="1"/>
      <c r="AC240" s="1"/>
      <c r="AD240" s="1"/>
      <c r="AE240" s="1"/>
      <c r="AF240" s="1"/>
      <c r="AG240" s="1"/>
    </row>
    <row r="241" spans="1:33" ht="20">
      <c r="A241" s="1"/>
      <c r="B241" s="11"/>
      <c r="C241" s="50">
        <v>221</v>
      </c>
      <c r="D241" s="51">
        <v>1</v>
      </c>
      <c r="E241" s="52">
        <f t="shared" si="67"/>
        <v>8</v>
      </c>
      <c r="F241" s="53">
        <f t="shared" si="68"/>
        <v>45878</v>
      </c>
      <c r="G241" s="54" t="str">
        <f t="shared" si="69"/>
        <v>Sat</v>
      </c>
      <c r="H241" s="55"/>
      <c r="I241" s="56"/>
      <c r="J241" s="82">
        <v>94160</v>
      </c>
      <c r="K241" s="83"/>
      <c r="L241" s="59">
        <f t="shared" si="70"/>
        <v>76677.597590650563</v>
      </c>
      <c r="M241" s="60">
        <f t="shared" si="74"/>
        <v>17482.402409349437</v>
      </c>
      <c r="N241" s="61">
        <f t="shared" si="9"/>
        <v>1.2279988283237646</v>
      </c>
      <c r="O241" s="80"/>
      <c r="P241" s="59">
        <f>IF(D241=0,0,SUM($L$233:L241))</f>
        <v>881871.90286566457</v>
      </c>
      <c r="Q241" s="59">
        <f>IF(D241=0,0,SUM($J$233:J241))</f>
        <v>1096880</v>
      </c>
      <c r="R241" s="63">
        <f t="shared" si="65"/>
        <v>215008.09713433543</v>
      </c>
      <c r="S241" s="64">
        <f t="shared" si="71"/>
        <v>1.2438087622881071</v>
      </c>
      <c r="T241" s="73"/>
      <c r="U241" s="59">
        <f>IF(D241=0,0,SUM($L$21:L241))</f>
        <v>43036608.744970873</v>
      </c>
      <c r="V241" s="59">
        <f>IF(D241=0,0,SUM($J$21:J241))</f>
        <v>43878610</v>
      </c>
      <c r="W241" s="66">
        <f t="shared" si="66"/>
        <v>842001.255029127</v>
      </c>
      <c r="X241" s="67">
        <f t="shared" si="72"/>
        <v>1.0195647677543254</v>
      </c>
      <c r="Y241" s="68">
        <f t="shared" si="75"/>
        <v>45878</v>
      </c>
      <c r="Z241" s="69">
        <f t="shared" si="75"/>
        <v>45878</v>
      </c>
      <c r="AA241" s="1"/>
      <c r="AB241" s="1"/>
      <c r="AC241" s="1"/>
      <c r="AD241" s="1"/>
      <c r="AE241" s="1"/>
      <c r="AF241" s="1"/>
      <c r="AG241" s="1"/>
    </row>
    <row r="242" spans="1:33" ht="20">
      <c r="A242" s="1"/>
      <c r="B242" s="11"/>
      <c r="C242" s="50">
        <v>222</v>
      </c>
      <c r="D242" s="51">
        <v>0</v>
      </c>
      <c r="E242" s="52">
        <f t="shared" si="67"/>
        <v>8</v>
      </c>
      <c r="F242" s="53">
        <f t="shared" si="68"/>
        <v>45879</v>
      </c>
      <c r="G242" s="54" t="str">
        <f t="shared" si="69"/>
        <v>Sun</v>
      </c>
      <c r="H242" s="55"/>
      <c r="I242" s="56"/>
      <c r="J242" s="82"/>
      <c r="K242" s="83"/>
      <c r="L242" s="59">
        <f t="shared" si="70"/>
        <v>0</v>
      </c>
      <c r="M242" s="60">
        <f t="shared" si="74"/>
        <v>0</v>
      </c>
      <c r="N242" s="61" t="str">
        <f t="shared" si="9"/>
        <v>¥0</v>
      </c>
      <c r="O242" s="81"/>
      <c r="P242" s="59">
        <f>IF(D242=0,0,SUM($L$233:L242))</f>
        <v>0</v>
      </c>
      <c r="Q242" s="59">
        <f>IF(D242=0,0,SUM($J$233:J242))</f>
        <v>0</v>
      </c>
      <c r="R242" s="63">
        <f t="shared" si="65"/>
        <v>0</v>
      </c>
      <c r="S242" s="64">
        <f t="shared" si="71"/>
        <v>0</v>
      </c>
      <c r="T242" s="78"/>
      <c r="U242" s="59">
        <f>IF(D242=0,0,SUM($L$21:L242))</f>
        <v>0</v>
      </c>
      <c r="V242" s="59">
        <f>IF(D242=0,0,SUM($J$21:J242))</f>
        <v>0</v>
      </c>
      <c r="W242" s="66">
        <f t="shared" si="66"/>
        <v>0</v>
      </c>
      <c r="X242" s="67">
        <f t="shared" si="72"/>
        <v>0</v>
      </c>
      <c r="Y242" s="68">
        <f t="shared" si="75"/>
        <v>45879</v>
      </c>
      <c r="Z242" s="69">
        <f t="shared" si="75"/>
        <v>45879</v>
      </c>
      <c r="AA242" s="1"/>
      <c r="AB242" s="1"/>
      <c r="AC242" s="1"/>
      <c r="AD242" s="1"/>
      <c r="AE242" s="1"/>
      <c r="AF242" s="1"/>
      <c r="AG242" s="1"/>
    </row>
    <row r="243" spans="1:33" ht="20">
      <c r="A243" s="1"/>
      <c r="B243" s="11"/>
      <c r="C243" s="50">
        <v>223</v>
      </c>
      <c r="D243" s="51">
        <v>0</v>
      </c>
      <c r="E243" s="52">
        <f t="shared" si="67"/>
        <v>8</v>
      </c>
      <c r="F243" s="53">
        <f t="shared" si="68"/>
        <v>45880</v>
      </c>
      <c r="G243" s="54" t="str">
        <f t="shared" si="69"/>
        <v>Mon</v>
      </c>
      <c r="H243" s="55"/>
      <c r="I243" s="56"/>
      <c r="J243" s="82"/>
      <c r="K243" s="83"/>
      <c r="L243" s="59">
        <f t="shared" si="70"/>
        <v>0</v>
      </c>
      <c r="M243" s="60">
        <f t="shared" si="74"/>
        <v>0</v>
      </c>
      <c r="N243" s="61" t="str">
        <f t="shared" si="9"/>
        <v>¥0</v>
      </c>
      <c r="O243" s="81"/>
      <c r="P243" s="59">
        <f>IF(D243=0,0,SUM($L$233:L243))</f>
        <v>0</v>
      </c>
      <c r="Q243" s="59">
        <f>IF(D243=0,0,SUM($J$233:J243))</f>
        <v>0</v>
      </c>
      <c r="R243" s="63">
        <f t="shared" si="65"/>
        <v>0</v>
      </c>
      <c r="S243" s="64">
        <f t="shared" si="71"/>
        <v>0</v>
      </c>
      <c r="T243" s="78"/>
      <c r="U243" s="59">
        <f>IF(D243=0,0,SUM($L$21:L243))</f>
        <v>0</v>
      </c>
      <c r="V243" s="59">
        <f>IF(D243=0,0,SUM($J$21:J243))</f>
        <v>0</v>
      </c>
      <c r="W243" s="66">
        <f t="shared" si="66"/>
        <v>0</v>
      </c>
      <c r="X243" s="67">
        <f t="shared" si="72"/>
        <v>0</v>
      </c>
      <c r="Y243" s="68">
        <f t="shared" si="75"/>
        <v>45880</v>
      </c>
      <c r="Z243" s="69">
        <f t="shared" si="75"/>
        <v>45880</v>
      </c>
      <c r="AA243" s="1"/>
      <c r="AB243" s="1"/>
      <c r="AC243" s="1"/>
      <c r="AD243" s="1"/>
      <c r="AE243" s="1"/>
      <c r="AF243" s="1"/>
      <c r="AG243" s="1"/>
    </row>
    <row r="244" spans="1:33" ht="20">
      <c r="A244" s="1"/>
      <c r="B244" s="11"/>
      <c r="C244" s="50">
        <v>224</v>
      </c>
      <c r="D244" s="51">
        <v>0</v>
      </c>
      <c r="E244" s="52">
        <f t="shared" si="67"/>
        <v>8</v>
      </c>
      <c r="F244" s="53">
        <f t="shared" si="68"/>
        <v>45881</v>
      </c>
      <c r="G244" s="54" t="str">
        <f t="shared" si="69"/>
        <v>Tue</v>
      </c>
      <c r="H244" s="55"/>
      <c r="I244" s="56"/>
      <c r="J244" s="82"/>
      <c r="K244" s="83"/>
      <c r="L244" s="59">
        <f t="shared" si="70"/>
        <v>0</v>
      </c>
      <c r="M244" s="60">
        <f t="shared" si="74"/>
        <v>0</v>
      </c>
      <c r="N244" s="61" t="str">
        <f t="shared" si="9"/>
        <v>¥0</v>
      </c>
      <c r="O244" s="81"/>
      <c r="P244" s="59">
        <f>IF(D244=0,0,SUM($L$233:L244))</f>
        <v>0</v>
      </c>
      <c r="Q244" s="59">
        <f>IF(D244=0,0,SUM($J$233:J244))</f>
        <v>0</v>
      </c>
      <c r="R244" s="63">
        <f t="shared" si="65"/>
        <v>0</v>
      </c>
      <c r="S244" s="64">
        <f t="shared" si="71"/>
        <v>0</v>
      </c>
      <c r="T244" s="78"/>
      <c r="U244" s="59">
        <f>IF(D244=0,0,SUM($L$21:L244))</f>
        <v>0</v>
      </c>
      <c r="V244" s="59">
        <f>IF(D244=0,0,SUM($J$21:J244))</f>
        <v>0</v>
      </c>
      <c r="W244" s="66">
        <f t="shared" si="66"/>
        <v>0</v>
      </c>
      <c r="X244" s="67">
        <f t="shared" si="72"/>
        <v>0</v>
      </c>
      <c r="Y244" s="68">
        <f t="shared" si="75"/>
        <v>45881</v>
      </c>
      <c r="Z244" s="69">
        <f t="shared" si="75"/>
        <v>45881</v>
      </c>
      <c r="AA244" s="1"/>
      <c r="AB244" s="1"/>
      <c r="AC244" s="1"/>
      <c r="AD244" s="1"/>
      <c r="AE244" s="1"/>
      <c r="AF244" s="1"/>
      <c r="AG244" s="1"/>
    </row>
    <row r="245" spans="1:33" ht="20">
      <c r="A245" s="1"/>
      <c r="B245" s="11"/>
      <c r="C245" s="50">
        <v>225</v>
      </c>
      <c r="D245" s="51">
        <v>0</v>
      </c>
      <c r="E245" s="52">
        <f t="shared" si="67"/>
        <v>8</v>
      </c>
      <c r="F245" s="53">
        <f t="shared" si="68"/>
        <v>45882</v>
      </c>
      <c r="G245" s="54" t="str">
        <f t="shared" si="69"/>
        <v>Wed</v>
      </c>
      <c r="H245" s="55"/>
      <c r="I245" s="56"/>
      <c r="J245" s="82"/>
      <c r="K245" s="83"/>
      <c r="L245" s="59">
        <f t="shared" si="70"/>
        <v>0</v>
      </c>
      <c r="M245" s="60">
        <f t="shared" si="74"/>
        <v>0</v>
      </c>
      <c r="N245" s="61" t="str">
        <f t="shared" si="9"/>
        <v>¥0</v>
      </c>
      <c r="O245" s="81"/>
      <c r="P245" s="59">
        <f>IF(D245=0,0,SUM($L$233:L245))</f>
        <v>0</v>
      </c>
      <c r="Q245" s="59">
        <f>IF(D245=0,0,SUM($J$233:J245))</f>
        <v>0</v>
      </c>
      <c r="R245" s="63">
        <f t="shared" si="65"/>
        <v>0</v>
      </c>
      <c r="S245" s="64">
        <f t="shared" si="71"/>
        <v>0</v>
      </c>
      <c r="T245" s="78"/>
      <c r="U245" s="59">
        <f>IF(D245=0,0,SUM($L$21:L245))</f>
        <v>0</v>
      </c>
      <c r="V245" s="59">
        <f>IF(D245=0,0,SUM($J$21:J245))</f>
        <v>0</v>
      </c>
      <c r="W245" s="66">
        <f t="shared" si="66"/>
        <v>0</v>
      </c>
      <c r="X245" s="67">
        <f t="shared" si="72"/>
        <v>0</v>
      </c>
      <c r="Y245" s="68">
        <f t="shared" si="75"/>
        <v>45882</v>
      </c>
      <c r="Z245" s="69">
        <f t="shared" si="75"/>
        <v>45882</v>
      </c>
      <c r="AA245" s="1"/>
      <c r="AB245" s="1"/>
      <c r="AC245" s="1"/>
      <c r="AD245" s="1"/>
      <c r="AE245" s="1"/>
      <c r="AF245" s="1"/>
      <c r="AG245" s="1"/>
    </row>
    <row r="246" spans="1:33" ht="20">
      <c r="A246" s="1"/>
      <c r="B246" s="11"/>
      <c r="C246" s="50">
        <v>226</v>
      </c>
      <c r="D246" s="51">
        <v>0</v>
      </c>
      <c r="E246" s="52">
        <f t="shared" si="67"/>
        <v>8</v>
      </c>
      <c r="F246" s="53">
        <f t="shared" si="68"/>
        <v>45883</v>
      </c>
      <c r="G246" s="54" t="str">
        <f t="shared" si="69"/>
        <v>Thu</v>
      </c>
      <c r="H246" s="55"/>
      <c r="I246" s="56"/>
      <c r="J246" s="82"/>
      <c r="K246" s="83"/>
      <c r="L246" s="59">
        <f t="shared" si="70"/>
        <v>0</v>
      </c>
      <c r="M246" s="60">
        <f t="shared" si="74"/>
        <v>0</v>
      </c>
      <c r="N246" s="61" t="str">
        <f t="shared" si="9"/>
        <v>¥0</v>
      </c>
      <c r="O246" s="81"/>
      <c r="P246" s="59">
        <f>IF(D246=0,0,SUM($L$233:L246))</f>
        <v>0</v>
      </c>
      <c r="Q246" s="59">
        <f>IF(D246=0,0,SUM($J$233:J246))</f>
        <v>0</v>
      </c>
      <c r="R246" s="63">
        <f t="shared" si="65"/>
        <v>0</v>
      </c>
      <c r="S246" s="64">
        <f t="shared" si="71"/>
        <v>0</v>
      </c>
      <c r="T246" s="78"/>
      <c r="U246" s="59">
        <f>IF(D246=0,0,SUM($L$21:L246))</f>
        <v>0</v>
      </c>
      <c r="V246" s="59">
        <f>IF(D246=0,0,SUM($J$21:J246))</f>
        <v>0</v>
      </c>
      <c r="W246" s="66">
        <f t="shared" si="66"/>
        <v>0</v>
      </c>
      <c r="X246" s="67">
        <f t="shared" si="72"/>
        <v>0</v>
      </c>
      <c r="Y246" s="68">
        <f t="shared" si="75"/>
        <v>45883</v>
      </c>
      <c r="Z246" s="69">
        <f t="shared" si="75"/>
        <v>45883</v>
      </c>
      <c r="AA246" s="1"/>
      <c r="AB246" s="1"/>
      <c r="AC246" s="1"/>
      <c r="AD246" s="1"/>
      <c r="AE246" s="1"/>
      <c r="AF246" s="1"/>
      <c r="AG246" s="1"/>
    </row>
    <row r="247" spans="1:33" ht="20">
      <c r="A247" s="1"/>
      <c r="B247" s="11"/>
      <c r="C247" s="50">
        <v>227</v>
      </c>
      <c r="D247" s="51">
        <v>0</v>
      </c>
      <c r="E247" s="52">
        <f t="shared" si="67"/>
        <v>8</v>
      </c>
      <c r="F247" s="53">
        <f t="shared" si="68"/>
        <v>45884</v>
      </c>
      <c r="G247" s="54" t="str">
        <f t="shared" si="69"/>
        <v>Fri</v>
      </c>
      <c r="H247" s="55"/>
      <c r="I247" s="56"/>
      <c r="J247" s="82"/>
      <c r="K247" s="83"/>
      <c r="L247" s="59">
        <f t="shared" si="70"/>
        <v>0</v>
      </c>
      <c r="M247" s="60">
        <f t="shared" si="74"/>
        <v>0</v>
      </c>
      <c r="N247" s="61" t="str">
        <f t="shared" si="9"/>
        <v>¥0</v>
      </c>
      <c r="O247" s="81"/>
      <c r="P247" s="59">
        <f>IF(D247=0,0,SUM($L$233:L247))</f>
        <v>0</v>
      </c>
      <c r="Q247" s="59">
        <f>IF(D247=0,0,SUM($J$233:J247))</f>
        <v>0</v>
      </c>
      <c r="R247" s="63">
        <f t="shared" si="65"/>
        <v>0</v>
      </c>
      <c r="S247" s="64">
        <f t="shared" si="71"/>
        <v>0</v>
      </c>
      <c r="T247" s="78"/>
      <c r="U247" s="59">
        <f>IF(D247=0,0,SUM($L$21:L247))</f>
        <v>0</v>
      </c>
      <c r="V247" s="59">
        <f>IF(D247=0,0,SUM($J$21:J247))</f>
        <v>0</v>
      </c>
      <c r="W247" s="66">
        <f t="shared" si="66"/>
        <v>0</v>
      </c>
      <c r="X247" s="67">
        <f t="shared" si="72"/>
        <v>0</v>
      </c>
      <c r="Y247" s="68">
        <f t="shared" ref="Y247:Z262" si="76">Y246+1</f>
        <v>45884</v>
      </c>
      <c r="Z247" s="69">
        <f t="shared" si="76"/>
        <v>45884</v>
      </c>
      <c r="AA247" s="1"/>
      <c r="AB247" s="1"/>
      <c r="AC247" s="1"/>
      <c r="AD247" s="1"/>
      <c r="AE247" s="1"/>
      <c r="AF247" s="1"/>
      <c r="AG247" s="1"/>
    </row>
    <row r="248" spans="1:33" ht="20">
      <c r="A248" s="1"/>
      <c r="B248" s="11"/>
      <c r="C248" s="50">
        <v>228</v>
      </c>
      <c r="D248" s="51">
        <v>0</v>
      </c>
      <c r="E248" s="52">
        <f t="shared" si="67"/>
        <v>8</v>
      </c>
      <c r="F248" s="53">
        <f t="shared" si="68"/>
        <v>45885</v>
      </c>
      <c r="G248" s="54" t="str">
        <f t="shared" si="69"/>
        <v>Sat</v>
      </c>
      <c r="H248" s="55"/>
      <c r="I248" s="56"/>
      <c r="J248" s="82"/>
      <c r="K248" s="83"/>
      <c r="L248" s="59">
        <f t="shared" si="70"/>
        <v>0</v>
      </c>
      <c r="M248" s="60">
        <f t="shared" si="74"/>
        <v>0</v>
      </c>
      <c r="N248" s="61" t="str">
        <f t="shared" si="9"/>
        <v>¥0</v>
      </c>
      <c r="O248" s="81"/>
      <c r="P248" s="59">
        <f>IF(D248=0,0,SUM($L$233:L248))</f>
        <v>0</v>
      </c>
      <c r="Q248" s="59">
        <f>IF(D248=0,0,SUM($J$233:J248))</f>
        <v>0</v>
      </c>
      <c r="R248" s="63">
        <f t="shared" si="65"/>
        <v>0</v>
      </c>
      <c r="S248" s="64">
        <f t="shared" si="71"/>
        <v>0</v>
      </c>
      <c r="T248" s="78"/>
      <c r="U248" s="59">
        <f>IF(D248=0,0,SUM($L$21:L248))</f>
        <v>0</v>
      </c>
      <c r="V248" s="59">
        <f>IF(D248=0,0,SUM($J$21:J248))</f>
        <v>0</v>
      </c>
      <c r="W248" s="66">
        <f t="shared" si="66"/>
        <v>0</v>
      </c>
      <c r="X248" s="67">
        <f t="shared" si="72"/>
        <v>0</v>
      </c>
      <c r="Y248" s="68">
        <f t="shared" si="76"/>
        <v>45885</v>
      </c>
      <c r="Z248" s="69">
        <f t="shared" si="76"/>
        <v>45885</v>
      </c>
      <c r="AA248" s="1"/>
      <c r="AB248" s="1"/>
      <c r="AC248" s="1"/>
      <c r="AD248" s="1"/>
      <c r="AE248" s="1"/>
      <c r="AF248" s="1"/>
      <c r="AG248" s="1"/>
    </row>
    <row r="249" spans="1:33" ht="20">
      <c r="A249" s="1"/>
      <c r="B249" s="11"/>
      <c r="C249" s="50">
        <v>229</v>
      </c>
      <c r="D249" s="51">
        <v>0</v>
      </c>
      <c r="E249" s="52">
        <f t="shared" si="67"/>
        <v>8</v>
      </c>
      <c r="F249" s="53">
        <f t="shared" si="68"/>
        <v>45886</v>
      </c>
      <c r="G249" s="54" t="str">
        <f t="shared" si="69"/>
        <v>Sun</v>
      </c>
      <c r="H249" s="55"/>
      <c r="I249" s="56"/>
      <c r="J249" s="82"/>
      <c r="K249" s="83"/>
      <c r="L249" s="59">
        <f t="shared" si="70"/>
        <v>0</v>
      </c>
      <c r="M249" s="60">
        <f t="shared" si="74"/>
        <v>0</v>
      </c>
      <c r="N249" s="61" t="str">
        <f t="shared" si="9"/>
        <v>¥0</v>
      </c>
      <c r="O249" s="81"/>
      <c r="P249" s="59">
        <f>IF(D249=0,0,SUM($L$233:L249))</f>
        <v>0</v>
      </c>
      <c r="Q249" s="59">
        <f>IF(D249=0,0,SUM($J$233:J249))</f>
        <v>0</v>
      </c>
      <c r="R249" s="63">
        <f t="shared" si="65"/>
        <v>0</v>
      </c>
      <c r="S249" s="64">
        <f t="shared" si="71"/>
        <v>0</v>
      </c>
      <c r="T249" s="78"/>
      <c r="U249" s="59">
        <f>IF(D249=0,0,SUM($L$21:L249))</f>
        <v>0</v>
      </c>
      <c r="V249" s="59">
        <f>IF(D249=0,0,SUM($J$21:J249))</f>
        <v>0</v>
      </c>
      <c r="W249" s="66">
        <f t="shared" si="66"/>
        <v>0</v>
      </c>
      <c r="X249" s="67">
        <f t="shared" si="72"/>
        <v>0</v>
      </c>
      <c r="Y249" s="68">
        <f t="shared" si="76"/>
        <v>45886</v>
      </c>
      <c r="Z249" s="69">
        <f t="shared" si="76"/>
        <v>45886</v>
      </c>
      <c r="AA249" s="1"/>
      <c r="AB249" s="1"/>
      <c r="AC249" s="1"/>
      <c r="AD249" s="1"/>
      <c r="AE249" s="1"/>
      <c r="AF249" s="1"/>
      <c r="AG249" s="1"/>
    </row>
    <row r="250" spans="1:33" ht="20">
      <c r="A250" s="1"/>
      <c r="B250" s="11"/>
      <c r="C250" s="50">
        <v>230</v>
      </c>
      <c r="D250" s="51">
        <v>1</v>
      </c>
      <c r="E250" s="52">
        <f t="shared" si="67"/>
        <v>8</v>
      </c>
      <c r="F250" s="53">
        <f t="shared" si="68"/>
        <v>45887</v>
      </c>
      <c r="G250" s="54" t="str">
        <f t="shared" si="69"/>
        <v>Mon</v>
      </c>
      <c r="H250" s="55"/>
      <c r="I250" s="56"/>
      <c r="J250" s="82">
        <v>118000</v>
      </c>
      <c r="K250" s="83"/>
      <c r="L250" s="59">
        <f t="shared" si="70"/>
        <v>91631.631648912808</v>
      </c>
      <c r="M250" s="60">
        <f t="shared" si="74"/>
        <v>26368.368351087192</v>
      </c>
      <c r="N250" s="61">
        <f t="shared" si="9"/>
        <v>1.2877649112712275</v>
      </c>
      <c r="O250" s="80"/>
      <c r="P250" s="59">
        <f>IF(D250=0,0,SUM($L$233:L250))</f>
        <v>973503.53451457736</v>
      </c>
      <c r="Q250" s="59">
        <f>IF(D250=0,0,SUM($J$233:J250))</f>
        <v>1214880</v>
      </c>
      <c r="R250" s="63">
        <f t="shared" si="65"/>
        <v>241376.46548542264</v>
      </c>
      <c r="S250" s="64">
        <f t="shared" si="71"/>
        <v>1.2479461624202333</v>
      </c>
      <c r="T250" s="73"/>
      <c r="U250" s="59">
        <f>IF(D250=0,0,SUM($L$21:L250))</f>
        <v>43128240.376619786</v>
      </c>
      <c r="V250" s="59">
        <f>IF(D250=0,0,SUM($J$21:J250))</f>
        <v>43996610</v>
      </c>
      <c r="W250" s="66">
        <f t="shared" si="66"/>
        <v>868369.62338021398</v>
      </c>
      <c r="X250" s="67">
        <f t="shared" si="72"/>
        <v>1.020134594312152</v>
      </c>
      <c r="Y250" s="68">
        <f t="shared" si="76"/>
        <v>45887</v>
      </c>
      <c r="Z250" s="69">
        <f t="shared" si="76"/>
        <v>45887</v>
      </c>
      <c r="AA250" s="1"/>
      <c r="AB250" s="1"/>
      <c r="AC250" s="1"/>
      <c r="AD250" s="1"/>
      <c r="AE250" s="1"/>
      <c r="AF250" s="1"/>
      <c r="AG250" s="1"/>
    </row>
    <row r="251" spans="1:33" ht="20">
      <c r="A251" s="1"/>
      <c r="B251" s="11"/>
      <c r="C251" s="50">
        <v>231</v>
      </c>
      <c r="D251" s="51">
        <v>1</v>
      </c>
      <c r="E251" s="52">
        <f t="shared" si="67"/>
        <v>8</v>
      </c>
      <c r="F251" s="53">
        <f t="shared" si="68"/>
        <v>45888</v>
      </c>
      <c r="G251" s="54" t="str">
        <f t="shared" si="69"/>
        <v>Tue</v>
      </c>
      <c r="H251" s="55"/>
      <c r="I251" s="56"/>
      <c r="J251" s="82">
        <v>131250</v>
      </c>
      <c r="K251" s="83"/>
      <c r="L251" s="59">
        <f t="shared" si="70"/>
        <v>76844.17086507917</v>
      </c>
      <c r="M251" s="60">
        <f t="shared" si="74"/>
        <v>54405.82913492083</v>
      </c>
      <c r="N251" s="61">
        <f t="shared" si="9"/>
        <v>1.708002032196366</v>
      </c>
      <c r="O251" s="80"/>
      <c r="P251" s="59">
        <f>IF(D251=0,0,SUM($L$233:L251))</f>
        <v>1050347.7053796565</v>
      </c>
      <c r="Q251" s="59">
        <f>IF(D251=0,0,SUM($J$233:J251))</f>
        <v>1346130</v>
      </c>
      <c r="R251" s="63">
        <f t="shared" si="65"/>
        <v>295782.29462034348</v>
      </c>
      <c r="S251" s="64">
        <f t="shared" si="71"/>
        <v>1.2816041707954515</v>
      </c>
      <c r="T251" s="73"/>
      <c r="U251" s="59">
        <f>IF(D251=0,0,SUM($L$21:L251))</f>
        <v>43205084.547484867</v>
      </c>
      <c r="V251" s="59">
        <f>IF(D251=0,0,SUM($J$21:J251))</f>
        <v>44127860</v>
      </c>
      <c r="W251" s="66">
        <f t="shared" si="66"/>
        <v>922775.45251513273</v>
      </c>
      <c r="X251" s="67">
        <f t="shared" si="72"/>
        <v>1.0213580290880104</v>
      </c>
      <c r="Y251" s="68">
        <f t="shared" si="76"/>
        <v>45888</v>
      </c>
      <c r="Z251" s="69">
        <f t="shared" si="76"/>
        <v>45888</v>
      </c>
      <c r="AA251" s="1"/>
      <c r="AB251" s="1"/>
      <c r="AC251" s="1"/>
      <c r="AD251" s="1"/>
      <c r="AE251" s="1"/>
      <c r="AF251" s="1"/>
      <c r="AG251" s="1"/>
    </row>
    <row r="252" spans="1:33" ht="20">
      <c r="A252" s="1"/>
      <c r="B252" s="11"/>
      <c r="C252" s="50">
        <v>232</v>
      </c>
      <c r="D252" s="51">
        <v>1</v>
      </c>
      <c r="E252" s="52">
        <f t="shared" si="67"/>
        <v>8</v>
      </c>
      <c r="F252" s="53">
        <f t="shared" si="68"/>
        <v>45889</v>
      </c>
      <c r="G252" s="54" t="str">
        <f t="shared" si="69"/>
        <v>Wed</v>
      </c>
      <c r="H252" s="55"/>
      <c r="I252" s="56"/>
      <c r="J252" s="82">
        <v>53400</v>
      </c>
      <c r="K252" s="83"/>
      <c r="L252" s="59">
        <f t="shared" si="70"/>
        <v>144049.79150461836</v>
      </c>
      <c r="M252" s="60">
        <f t="shared" si="74"/>
        <v>-90649.791504618363</v>
      </c>
      <c r="N252" s="61">
        <f t="shared" si="9"/>
        <v>0.37070515300459805</v>
      </c>
      <c r="O252" s="80"/>
      <c r="P252" s="59">
        <f>IF(D252=0,0,SUM($L$233:L252))</f>
        <v>1194397.4968842748</v>
      </c>
      <c r="Q252" s="59">
        <f>IF(D252=0,0,SUM($J$233:J252))</f>
        <v>1399530</v>
      </c>
      <c r="R252" s="63">
        <f t="shared" si="65"/>
        <v>205132.50311572524</v>
      </c>
      <c r="S252" s="64">
        <f t="shared" si="71"/>
        <v>1.1717455902669232</v>
      </c>
      <c r="T252" s="73"/>
      <c r="U252" s="59">
        <f>IF(D252=0,0,SUM($L$21:L252))</f>
        <v>43349134.338989489</v>
      </c>
      <c r="V252" s="59">
        <f>IF(D252=0,0,SUM($J$21:J252))</f>
        <v>44181260</v>
      </c>
      <c r="W252" s="66">
        <f t="shared" si="66"/>
        <v>832125.66101051122</v>
      </c>
      <c r="X252" s="67">
        <f t="shared" si="72"/>
        <v>1.0191959003034132</v>
      </c>
      <c r="Y252" s="68">
        <f t="shared" si="76"/>
        <v>45889</v>
      </c>
      <c r="Z252" s="69">
        <f t="shared" si="76"/>
        <v>45889</v>
      </c>
      <c r="AA252" s="1"/>
      <c r="AB252" s="1"/>
      <c r="AC252" s="1"/>
      <c r="AD252" s="1"/>
      <c r="AE252" s="1"/>
      <c r="AF252" s="1"/>
      <c r="AG252" s="1"/>
    </row>
    <row r="253" spans="1:33" ht="20">
      <c r="A253" s="1"/>
      <c r="B253" s="11"/>
      <c r="C253" s="50">
        <v>233</v>
      </c>
      <c r="D253" s="51">
        <v>1</v>
      </c>
      <c r="E253" s="52">
        <f t="shared" si="67"/>
        <v>8</v>
      </c>
      <c r="F253" s="53">
        <f t="shared" si="68"/>
        <v>45890</v>
      </c>
      <c r="G253" s="54" t="str">
        <f t="shared" si="69"/>
        <v>Thu</v>
      </c>
      <c r="H253" s="55"/>
      <c r="I253" s="56"/>
      <c r="J253" s="82">
        <v>152670</v>
      </c>
      <c r="K253" s="83"/>
      <c r="L253" s="59">
        <f t="shared" si="70"/>
        <v>134256.91603953423</v>
      </c>
      <c r="M253" s="60">
        <f t="shared" si="74"/>
        <v>18413.083960465767</v>
      </c>
      <c r="N253" s="61">
        <f t="shared" si="9"/>
        <v>1.1371481224478872</v>
      </c>
      <c r="O253" s="80"/>
      <c r="P253" s="59">
        <f>IF(D253=0,0,SUM($L$233:L253))</f>
        <v>1328654.4129238089</v>
      </c>
      <c r="Q253" s="59">
        <f>IF(D253=0,0,SUM($J$233:J253))</f>
        <v>1552200</v>
      </c>
      <c r="R253" s="63">
        <f t="shared" si="65"/>
        <v>223545.58707619109</v>
      </c>
      <c r="S253" s="64">
        <f t="shared" si="71"/>
        <v>1.1682496102084674</v>
      </c>
      <c r="T253" s="73"/>
      <c r="U253" s="59">
        <f>IF(D253=0,0,SUM($L$21:L253))</f>
        <v>43483391.255029023</v>
      </c>
      <c r="V253" s="59">
        <f>IF(D253=0,0,SUM($J$21:J253))</f>
        <v>44333930</v>
      </c>
      <c r="W253" s="66">
        <f t="shared" si="66"/>
        <v>850538.74497097731</v>
      </c>
      <c r="X253" s="67">
        <f t="shared" si="72"/>
        <v>1.0195600830667182</v>
      </c>
      <c r="Y253" s="68">
        <f t="shared" si="76"/>
        <v>45890</v>
      </c>
      <c r="Z253" s="69">
        <f t="shared" si="76"/>
        <v>45890</v>
      </c>
      <c r="AA253" s="1"/>
      <c r="AB253" s="1"/>
      <c r="AC253" s="1"/>
      <c r="AD253" s="1"/>
      <c r="AE253" s="1"/>
      <c r="AF253" s="1"/>
      <c r="AG253" s="1"/>
    </row>
    <row r="254" spans="1:33" ht="20">
      <c r="A254" s="1"/>
      <c r="B254" s="11"/>
      <c r="C254" s="50">
        <v>234</v>
      </c>
      <c r="D254" s="51">
        <v>1</v>
      </c>
      <c r="E254" s="52">
        <f t="shared" si="67"/>
        <v>8</v>
      </c>
      <c r="F254" s="53">
        <f t="shared" si="68"/>
        <v>45891</v>
      </c>
      <c r="G254" s="54" t="str">
        <f t="shared" si="69"/>
        <v>Fri</v>
      </c>
      <c r="H254" s="55"/>
      <c r="I254" s="56"/>
      <c r="J254" s="82">
        <v>129660</v>
      </c>
      <c r="K254" s="83"/>
      <c r="L254" s="59">
        <f t="shared" si="70"/>
        <v>140867.09881310942</v>
      </c>
      <c r="M254" s="60">
        <f t="shared" si="74"/>
        <v>-11207.09881310942</v>
      </c>
      <c r="N254" s="61">
        <f t="shared" si="9"/>
        <v>0.92044204141679631</v>
      </c>
      <c r="O254" s="80"/>
      <c r="P254" s="59">
        <f>IF(D254=0,0,SUM($L$233:L254))</f>
        <v>1469521.5117369182</v>
      </c>
      <c r="Q254" s="59">
        <f>IF(D254=0,0,SUM($J$233:J254))</f>
        <v>1681860</v>
      </c>
      <c r="R254" s="63">
        <f t="shared" si="65"/>
        <v>212338.48826308176</v>
      </c>
      <c r="S254" s="64">
        <f t="shared" si="71"/>
        <v>1.1444949846376224</v>
      </c>
      <c r="T254" s="73"/>
      <c r="U254" s="59">
        <f>IF(D254=0,0,SUM($L$21:L254))</f>
        <v>43624258.353842132</v>
      </c>
      <c r="V254" s="59">
        <f>IF(D254=0,0,SUM($J$21:J254))</f>
        <v>44463590</v>
      </c>
      <c r="W254" s="66">
        <f t="shared" si="66"/>
        <v>839331.64615786821</v>
      </c>
      <c r="X254" s="67">
        <f t="shared" si="72"/>
        <v>1.0192400209844243</v>
      </c>
      <c r="Y254" s="68">
        <f t="shared" si="76"/>
        <v>45891</v>
      </c>
      <c r="Z254" s="69">
        <f t="shared" si="76"/>
        <v>45891</v>
      </c>
      <c r="AA254" s="1"/>
      <c r="AB254" s="1"/>
      <c r="AC254" s="1"/>
      <c r="AD254" s="1"/>
      <c r="AE254" s="1"/>
      <c r="AF254" s="1"/>
      <c r="AG254" s="1"/>
    </row>
    <row r="255" spans="1:33" ht="20">
      <c r="A255" s="1"/>
      <c r="B255" s="11"/>
      <c r="C255" s="50">
        <v>235</v>
      </c>
      <c r="D255" s="51">
        <v>1</v>
      </c>
      <c r="E255" s="52">
        <f t="shared" si="67"/>
        <v>8</v>
      </c>
      <c r="F255" s="53">
        <f t="shared" si="68"/>
        <v>45892</v>
      </c>
      <c r="G255" s="54" t="str">
        <f t="shared" si="69"/>
        <v>Sat</v>
      </c>
      <c r="H255" s="55"/>
      <c r="I255" s="56"/>
      <c r="J255" s="82">
        <v>93550</v>
      </c>
      <c r="K255" s="83"/>
      <c r="L255" s="59">
        <f t="shared" si="70"/>
        <v>76677.597590650563</v>
      </c>
      <c r="M255" s="60">
        <f t="shared" si="74"/>
        <v>16872.402409349437</v>
      </c>
      <c r="N255" s="61">
        <f t="shared" si="9"/>
        <v>1.220043440842058</v>
      </c>
      <c r="O255" s="80"/>
      <c r="P255" s="59">
        <f>IF(D255=0,0,SUM($L$233:L255))</f>
        <v>1546199.1093275689</v>
      </c>
      <c r="Q255" s="59">
        <f>IF(D255=0,0,SUM($J$233:J255))</f>
        <v>1775410</v>
      </c>
      <c r="R255" s="63">
        <f t="shared" si="65"/>
        <v>229210.89067243109</v>
      </c>
      <c r="S255" s="64">
        <f t="shared" si="71"/>
        <v>1.1482415099644658</v>
      </c>
      <c r="T255" s="73"/>
      <c r="U255" s="59">
        <f>IF(D255=0,0,SUM($L$21:L255))</f>
        <v>43700935.951432779</v>
      </c>
      <c r="V255" s="59">
        <f>IF(D255=0,0,SUM($J$21:J255))</f>
        <v>44557140</v>
      </c>
      <c r="W255" s="66">
        <f t="shared" si="66"/>
        <v>856204.04856722057</v>
      </c>
      <c r="X255" s="67">
        <f t="shared" si="72"/>
        <v>1.0195923503679365</v>
      </c>
      <c r="Y255" s="68">
        <f t="shared" si="76"/>
        <v>45892</v>
      </c>
      <c r="Z255" s="69">
        <f t="shared" si="76"/>
        <v>45892</v>
      </c>
      <c r="AA255" s="1"/>
      <c r="AB255" s="1"/>
      <c r="AC255" s="1"/>
      <c r="AD255" s="1"/>
      <c r="AE255" s="1"/>
      <c r="AF255" s="1"/>
      <c r="AG255" s="1"/>
    </row>
    <row r="256" spans="1:33" ht="20">
      <c r="A256" s="1"/>
      <c r="B256" s="11"/>
      <c r="C256" s="50">
        <v>236</v>
      </c>
      <c r="D256" s="51">
        <v>0</v>
      </c>
      <c r="E256" s="52">
        <f t="shared" si="67"/>
        <v>8</v>
      </c>
      <c r="F256" s="53">
        <f t="shared" si="68"/>
        <v>45893</v>
      </c>
      <c r="G256" s="54" t="str">
        <f t="shared" si="69"/>
        <v>Sun</v>
      </c>
      <c r="H256" s="55"/>
      <c r="I256" s="56"/>
      <c r="J256" s="82"/>
      <c r="K256" s="83"/>
      <c r="L256" s="59">
        <f t="shared" si="70"/>
        <v>0</v>
      </c>
      <c r="M256" s="60">
        <f t="shared" si="74"/>
        <v>0</v>
      </c>
      <c r="N256" s="61" t="str">
        <f t="shared" si="9"/>
        <v>¥0</v>
      </c>
      <c r="O256" s="81"/>
      <c r="P256" s="59">
        <f>IF(D256=0,0,SUM($L$233:L256))</f>
        <v>0</v>
      </c>
      <c r="Q256" s="59">
        <f>IF(D256=0,0,SUM($J$233:J256))</f>
        <v>0</v>
      </c>
      <c r="R256" s="63">
        <f t="shared" si="65"/>
        <v>0</v>
      </c>
      <c r="S256" s="64">
        <f t="shared" si="71"/>
        <v>0</v>
      </c>
      <c r="T256" s="78"/>
      <c r="U256" s="59">
        <f>IF(D256=0,0,SUM($L$21:L256))</f>
        <v>0</v>
      </c>
      <c r="V256" s="59">
        <f>IF(D256=0,0,SUM($J$21:J256))</f>
        <v>0</v>
      </c>
      <c r="W256" s="66">
        <f t="shared" si="66"/>
        <v>0</v>
      </c>
      <c r="X256" s="67">
        <f t="shared" si="72"/>
        <v>0</v>
      </c>
      <c r="Y256" s="68">
        <f t="shared" si="76"/>
        <v>45893</v>
      </c>
      <c r="Z256" s="69">
        <f t="shared" si="76"/>
        <v>45893</v>
      </c>
      <c r="AA256" s="1"/>
      <c r="AB256" s="1"/>
      <c r="AC256" s="1"/>
      <c r="AD256" s="1"/>
      <c r="AE256" s="1"/>
      <c r="AF256" s="1"/>
      <c r="AG256" s="1"/>
    </row>
    <row r="257" spans="1:33" ht="20">
      <c r="A257" s="1"/>
      <c r="B257" s="11"/>
      <c r="C257" s="50">
        <v>237</v>
      </c>
      <c r="D257" s="51">
        <v>1</v>
      </c>
      <c r="E257" s="52">
        <f t="shared" si="67"/>
        <v>8</v>
      </c>
      <c r="F257" s="53">
        <f t="shared" si="68"/>
        <v>45894</v>
      </c>
      <c r="G257" s="54" t="str">
        <f t="shared" si="69"/>
        <v>Mon</v>
      </c>
      <c r="H257" s="55"/>
      <c r="I257" s="56"/>
      <c r="J257" s="82">
        <v>92600</v>
      </c>
      <c r="K257" s="83"/>
      <c r="L257" s="59">
        <f t="shared" si="70"/>
        <v>91631.631648912808</v>
      </c>
      <c r="M257" s="60">
        <f t="shared" si="74"/>
        <v>968.36835108719242</v>
      </c>
      <c r="N257" s="61">
        <f t="shared" si="9"/>
        <v>1.0105680574891158</v>
      </c>
      <c r="O257" s="80"/>
      <c r="P257" s="59">
        <f>IF(D257=0,0,SUM($L$233:L257))</f>
        <v>1637830.7409764817</v>
      </c>
      <c r="Q257" s="59">
        <f>IF(D257=0,0,SUM($J$233:J257))</f>
        <v>1868010</v>
      </c>
      <c r="R257" s="63">
        <f t="shared" si="65"/>
        <v>230179.2590235183</v>
      </c>
      <c r="S257" s="64">
        <f t="shared" si="71"/>
        <v>1.1405391004483678</v>
      </c>
      <c r="T257" s="73"/>
      <c r="U257" s="59">
        <f>IF(D257=0,0,SUM($L$21:L257))</f>
        <v>43792567.583081692</v>
      </c>
      <c r="V257" s="59">
        <f>IF(D257=0,0,SUM($J$21:J257))</f>
        <v>44649740</v>
      </c>
      <c r="W257" s="66">
        <f t="shared" si="66"/>
        <v>857172.41691830754</v>
      </c>
      <c r="X257" s="67">
        <f t="shared" si="72"/>
        <v>1.0195734679244854</v>
      </c>
      <c r="Y257" s="68">
        <f t="shared" si="76"/>
        <v>45894</v>
      </c>
      <c r="Z257" s="69">
        <f t="shared" si="76"/>
        <v>45894</v>
      </c>
      <c r="AA257" s="1"/>
      <c r="AB257" s="1"/>
      <c r="AC257" s="1"/>
      <c r="AD257" s="1"/>
      <c r="AE257" s="1"/>
      <c r="AF257" s="1"/>
      <c r="AG257" s="1"/>
    </row>
    <row r="258" spans="1:33" ht="20">
      <c r="A258" s="1"/>
      <c r="B258" s="11"/>
      <c r="C258" s="50">
        <v>238</v>
      </c>
      <c r="D258" s="51">
        <v>1</v>
      </c>
      <c r="E258" s="52">
        <f t="shared" si="67"/>
        <v>8</v>
      </c>
      <c r="F258" s="53">
        <f t="shared" si="68"/>
        <v>45895</v>
      </c>
      <c r="G258" s="54" t="str">
        <f t="shared" si="69"/>
        <v>Tue</v>
      </c>
      <c r="H258" s="55"/>
      <c r="I258" s="56"/>
      <c r="J258" s="82">
        <v>113200</v>
      </c>
      <c r="K258" s="83"/>
      <c r="L258" s="59">
        <f t="shared" si="70"/>
        <v>76844.17086507917</v>
      </c>
      <c r="M258" s="60">
        <f t="shared" si="74"/>
        <v>36355.82913492083</v>
      </c>
      <c r="N258" s="61">
        <f t="shared" si="9"/>
        <v>1.4731110860543133</v>
      </c>
      <c r="O258" s="80"/>
      <c r="P258" s="59">
        <f>IF(D258=0,0,SUM($L$233:L258))</f>
        <v>1714674.9118415609</v>
      </c>
      <c r="Q258" s="59">
        <f>IF(D258=0,0,SUM($J$233:J258))</f>
        <v>1981210</v>
      </c>
      <c r="R258" s="63">
        <f t="shared" si="65"/>
        <v>266535.08815843915</v>
      </c>
      <c r="S258" s="64">
        <f t="shared" si="71"/>
        <v>1.1554435107889813</v>
      </c>
      <c r="T258" s="73"/>
      <c r="U258" s="59">
        <f>IF(D258=0,0,SUM($L$21:L258))</f>
        <v>43869411.753946774</v>
      </c>
      <c r="V258" s="59">
        <f>IF(D258=0,0,SUM($J$21:J258))</f>
        <v>44762940</v>
      </c>
      <c r="W258" s="66">
        <f t="shared" si="66"/>
        <v>893528.24605322629</v>
      </c>
      <c r="X258" s="67">
        <f t="shared" si="72"/>
        <v>1.0203679103577867</v>
      </c>
      <c r="Y258" s="68">
        <f t="shared" si="76"/>
        <v>45895</v>
      </c>
      <c r="Z258" s="69">
        <f t="shared" si="76"/>
        <v>45895</v>
      </c>
      <c r="AA258" s="1"/>
      <c r="AB258" s="1"/>
      <c r="AC258" s="1"/>
      <c r="AD258" s="1"/>
      <c r="AE258" s="1"/>
      <c r="AF258" s="1"/>
      <c r="AG258" s="1"/>
    </row>
    <row r="259" spans="1:33" ht="20">
      <c r="A259" s="1"/>
      <c r="B259" s="11"/>
      <c r="C259" s="50">
        <v>239</v>
      </c>
      <c r="D259" s="51">
        <v>1</v>
      </c>
      <c r="E259" s="52">
        <f t="shared" si="67"/>
        <v>8</v>
      </c>
      <c r="F259" s="53">
        <f t="shared" si="68"/>
        <v>45896</v>
      </c>
      <c r="G259" s="54" t="str">
        <f t="shared" si="69"/>
        <v>Wed</v>
      </c>
      <c r="H259" s="55"/>
      <c r="I259" s="56"/>
      <c r="J259" s="82">
        <v>127690</v>
      </c>
      <c r="K259" s="83"/>
      <c r="L259" s="59">
        <f t="shared" si="70"/>
        <v>144049.79150461836</v>
      </c>
      <c r="M259" s="60">
        <f t="shared" si="74"/>
        <v>-16359.791504618363</v>
      </c>
      <c r="N259" s="61">
        <f t="shared" si="9"/>
        <v>0.88642960650106983</v>
      </c>
      <c r="O259" s="80"/>
      <c r="P259" s="59">
        <f>IF(D259=0,0,SUM($L$233:L259))</f>
        <v>1858724.7033461793</v>
      </c>
      <c r="Q259" s="59">
        <f>IF(D259=0,0,SUM($J$233:J259))</f>
        <v>2108900</v>
      </c>
      <c r="R259" s="63">
        <f t="shared" si="65"/>
        <v>250175.29665382067</v>
      </c>
      <c r="S259" s="64">
        <f t="shared" si="71"/>
        <v>1.1345951319221406</v>
      </c>
      <c r="T259" s="73"/>
      <c r="U259" s="59">
        <f>IF(D259=0,0,SUM($L$21:L259))</f>
        <v>44013461.545451395</v>
      </c>
      <c r="V259" s="59">
        <f>IF(D259=0,0,SUM($J$21:J259))</f>
        <v>44890630</v>
      </c>
      <c r="W259" s="66">
        <f t="shared" si="66"/>
        <v>877168.45454860479</v>
      </c>
      <c r="X259" s="67">
        <f t="shared" si="72"/>
        <v>1.0199295493639549</v>
      </c>
      <c r="Y259" s="68">
        <f t="shared" si="76"/>
        <v>45896</v>
      </c>
      <c r="Z259" s="69">
        <f t="shared" si="76"/>
        <v>45896</v>
      </c>
      <c r="AA259" s="1"/>
      <c r="AB259" s="1"/>
      <c r="AC259" s="1"/>
      <c r="AD259" s="1"/>
      <c r="AE259" s="1"/>
      <c r="AF259" s="1"/>
      <c r="AG259" s="1"/>
    </row>
    <row r="260" spans="1:33" ht="20">
      <c r="A260" s="1"/>
      <c r="B260" s="11"/>
      <c r="C260" s="50">
        <v>240</v>
      </c>
      <c r="D260" s="51">
        <v>1</v>
      </c>
      <c r="E260" s="52">
        <f t="shared" si="67"/>
        <v>8</v>
      </c>
      <c r="F260" s="53">
        <f t="shared" si="68"/>
        <v>45897</v>
      </c>
      <c r="G260" s="54" t="str">
        <f t="shared" si="69"/>
        <v>Thu</v>
      </c>
      <c r="H260" s="55"/>
      <c r="I260" s="56"/>
      <c r="J260" s="82">
        <v>115300</v>
      </c>
      <c r="K260" s="83"/>
      <c r="L260" s="59">
        <f t="shared" si="70"/>
        <v>134256.91603953423</v>
      </c>
      <c r="M260" s="60">
        <f t="shared" si="74"/>
        <v>-18956.916039534233</v>
      </c>
      <c r="N260" s="61">
        <f t="shared" si="9"/>
        <v>0.85880119550822953</v>
      </c>
      <c r="O260" s="80"/>
      <c r="P260" s="59">
        <f>IF(D260=0,0,SUM($L$233:L260))</f>
        <v>1992981.6193857135</v>
      </c>
      <c r="Q260" s="59">
        <f>IF(D260=0,0,SUM($J$233:J260))</f>
        <v>2224200</v>
      </c>
      <c r="R260" s="63">
        <f t="shared" si="65"/>
        <v>231218.38061428652</v>
      </c>
      <c r="S260" s="64">
        <f t="shared" si="71"/>
        <v>1.1160163136304055</v>
      </c>
      <c r="T260" s="73"/>
      <c r="U260" s="59">
        <f>IF(D260=0,0,SUM($L$21:L260))</f>
        <v>44147718.461490929</v>
      </c>
      <c r="V260" s="59">
        <f>IF(D260=0,0,SUM($J$21:J260))</f>
        <v>45005930</v>
      </c>
      <c r="W260" s="66">
        <f t="shared" si="66"/>
        <v>858211.53850907087</v>
      </c>
      <c r="X260" s="67">
        <f t="shared" si="72"/>
        <v>1.0194395445204643</v>
      </c>
      <c r="Y260" s="68">
        <f t="shared" si="76"/>
        <v>45897</v>
      </c>
      <c r="Z260" s="69">
        <f t="shared" si="76"/>
        <v>45897</v>
      </c>
      <c r="AA260" s="1"/>
      <c r="AB260" s="1"/>
      <c r="AC260" s="1"/>
      <c r="AD260" s="1"/>
      <c r="AE260" s="1"/>
      <c r="AF260" s="1"/>
      <c r="AG260" s="1"/>
    </row>
    <row r="261" spans="1:33" ht="20">
      <c r="A261" s="1"/>
      <c r="B261" s="11"/>
      <c r="C261" s="50">
        <v>241</v>
      </c>
      <c r="D261" s="51">
        <v>1</v>
      </c>
      <c r="E261" s="52">
        <f t="shared" si="67"/>
        <v>8</v>
      </c>
      <c r="F261" s="53">
        <f t="shared" si="68"/>
        <v>45898</v>
      </c>
      <c r="G261" s="54" t="str">
        <f t="shared" si="69"/>
        <v>Fri</v>
      </c>
      <c r="H261" s="55"/>
      <c r="I261" s="56"/>
      <c r="J261" s="82">
        <v>105250</v>
      </c>
      <c r="K261" s="83"/>
      <c r="L261" s="59">
        <f t="shared" si="70"/>
        <v>140867.09881310942</v>
      </c>
      <c r="M261" s="60">
        <f t="shared" si="74"/>
        <v>-35617.09881310942</v>
      </c>
      <c r="N261" s="61">
        <f t="shared" si="9"/>
        <v>0.74715814329105212</v>
      </c>
      <c r="O261" s="80"/>
      <c r="P261" s="59">
        <f>IF(D261=0,0,SUM($L$233:L261))</f>
        <v>2133848.7181988228</v>
      </c>
      <c r="Q261" s="59">
        <f>IF(D261=0,0,SUM($J$233:J261))</f>
        <v>2329450</v>
      </c>
      <c r="R261" s="63">
        <f t="shared" si="65"/>
        <v>195601.28180117719</v>
      </c>
      <c r="S261" s="64">
        <f t="shared" si="71"/>
        <v>1.0916659555726536</v>
      </c>
      <c r="T261" s="73"/>
      <c r="U261" s="59">
        <f>IF(D261=0,0,SUM($L$21:L261))</f>
        <v>44288585.560304038</v>
      </c>
      <c r="V261" s="59">
        <f>IF(D261=0,0,SUM($J$21:J261))</f>
        <v>45111180</v>
      </c>
      <c r="W261" s="66">
        <f t="shared" si="66"/>
        <v>822594.43969596177</v>
      </c>
      <c r="X261" s="67">
        <f t="shared" si="72"/>
        <v>1.0185735089366514</v>
      </c>
      <c r="Y261" s="68">
        <f t="shared" si="76"/>
        <v>45898</v>
      </c>
      <c r="Z261" s="69">
        <f t="shared" si="76"/>
        <v>45898</v>
      </c>
      <c r="AA261" s="1"/>
      <c r="AB261" s="1"/>
      <c r="AC261" s="1"/>
      <c r="AD261" s="1"/>
      <c r="AE261" s="1"/>
      <c r="AF261" s="1"/>
      <c r="AG261" s="1"/>
    </row>
    <row r="262" spans="1:33" ht="20">
      <c r="A262" s="1"/>
      <c r="B262" s="11"/>
      <c r="C262" s="50">
        <v>242</v>
      </c>
      <c r="D262" s="51">
        <v>1</v>
      </c>
      <c r="E262" s="52">
        <f t="shared" si="67"/>
        <v>8</v>
      </c>
      <c r="F262" s="53">
        <f t="shared" si="68"/>
        <v>45899</v>
      </c>
      <c r="G262" s="54" t="str">
        <f t="shared" si="69"/>
        <v>Sat</v>
      </c>
      <c r="H262" s="55"/>
      <c r="I262" s="56"/>
      <c r="J262" s="82">
        <v>84860</v>
      </c>
      <c r="K262" s="83"/>
      <c r="L262" s="59">
        <f t="shared" si="70"/>
        <v>76677.597590650563</v>
      </c>
      <c r="M262" s="60">
        <f t="shared" si="74"/>
        <v>8182.4024093494372</v>
      </c>
      <c r="N262" s="61">
        <f t="shared" si="9"/>
        <v>1.1067117732747946</v>
      </c>
      <c r="O262" s="80"/>
      <c r="P262" s="59">
        <f>IF(D262=0,0,SUM($L$233:L262))</f>
        <v>2210526.3157894732</v>
      </c>
      <c r="Q262" s="59">
        <f>IF(D262=0,0,SUM($J$233:J262))</f>
        <v>2414310</v>
      </c>
      <c r="R262" s="63">
        <f t="shared" si="65"/>
        <v>203783.68421052676</v>
      </c>
      <c r="S262" s="64">
        <f t="shared" si="71"/>
        <v>1.0921878571428574</v>
      </c>
      <c r="T262" s="73"/>
      <c r="U262" s="59">
        <f>IF(D262=0,0,SUM($L$21:L262))</f>
        <v>44365263.157894686</v>
      </c>
      <c r="V262" s="59">
        <f>IF(D262=0,0,SUM($J$21:J262))</f>
        <v>45196040</v>
      </c>
      <c r="W262" s="66">
        <f t="shared" si="66"/>
        <v>830776.84210531414</v>
      </c>
      <c r="X262" s="67">
        <f t="shared" si="72"/>
        <v>1.018725840510595</v>
      </c>
      <c r="Y262" s="68">
        <f t="shared" si="76"/>
        <v>45899</v>
      </c>
      <c r="Z262" s="69">
        <f t="shared" si="76"/>
        <v>45899</v>
      </c>
      <c r="AA262" s="1"/>
      <c r="AB262" s="1"/>
      <c r="AC262" s="1"/>
      <c r="AD262" s="1"/>
      <c r="AE262" s="1"/>
      <c r="AF262" s="1"/>
      <c r="AG262" s="1"/>
    </row>
    <row r="263" spans="1:33" ht="21" thickBot="1">
      <c r="A263" s="1"/>
      <c r="B263" s="11"/>
      <c r="C263" s="100">
        <v>243</v>
      </c>
      <c r="D263" s="85">
        <v>0</v>
      </c>
      <c r="E263" s="501">
        <f t="shared" si="67"/>
        <v>8</v>
      </c>
      <c r="F263" s="101">
        <f t="shared" si="68"/>
        <v>45900</v>
      </c>
      <c r="G263" s="87" t="str">
        <f t="shared" si="69"/>
        <v>Sun</v>
      </c>
      <c r="H263" s="508"/>
      <c r="I263" s="502"/>
      <c r="J263" s="102"/>
      <c r="K263" s="503"/>
      <c r="L263" s="534">
        <f t="shared" si="70"/>
        <v>0</v>
      </c>
      <c r="M263" s="91">
        <f t="shared" si="74"/>
        <v>0</v>
      </c>
      <c r="N263" s="92" t="str">
        <f t="shared" si="9"/>
        <v>¥0</v>
      </c>
      <c r="O263" s="509"/>
      <c r="P263" s="104">
        <f>IF(D263=0,0,SUM($L$233:L263))</f>
        <v>0</v>
      </c>
      <c r="Q263" s="103">
        <f>IF(D263=0,0,SUM($J$233:J263))</f>
        <v>0</v>
      </c>
      <c r="R263" s="105">
        <f t="shared" si="65"/>
        <v>0</v>
      </c>
      <c r="S263" s="505">
        <f t="shared" si="71"/>
        <v>0</v>
      </c>
      <c r="T263" s="510"/>
      <c r="U263" s="94">
        <f>IF(D263=0,0,SUM($L$21:L263))</f>
        <v>0</v>
      </c>
      <c r="V263" s="90">
        <f>IF(D263=0,0,SUM($J$21:J263))</f>
        <v>0</v>
      </c>
      <c r="W263" s="95">
        <f t="shared" si="66"/>
        <v>0</v>
      </c>
      <c r="X263" s="507">
        <f t="shared" si="72"/>
        <v>0</v>
      </c>
      <c r="Y263" s="68">
        <f t="shared" ref="Y263:Z278" si="77">Y262+1</f>
        <v>45900</v>
      </c>
      <c r="Z263" s="69">
        <f t="shared" si="77"/>
        <v>45900</v>
      </c>
      <c r="AA263" s="1"/>
      <c r="AB263" s="1"/>
      <c r="AC263" s="1"/>
      <c r="AD263" s="1"/>
      <c r="AE263" s="1"/>
      <c r="AF263" s="1"/>
      <c r="AG263" s="1"/>
    </row>
    <row r="264" spans="1:33" ht="21" thickTop="1">
      <c r="A264" s="1"/>
      <c r="B264" s="11"/>
      <c r="C264" s="50">
        <v>244</v>
      </c>
      <c r="D264" s="96">
        <v>1</v>
      </c>
      <c r="E264" s="52">
        <f t="shared" si="67"/>
        <v>9</v>
      </c>
      <c r="F264" s="53">
        <f t="shared" si="68"/>
        <v>45901</v>
      </c>
      <c r="G264" s="54" t="str">
        <f t="shared" si="69"/>
        <v>Mon</v>
      </c>
      <c r="H264" s="55"/>
      <c r="I264" s="56"/>
      <c r="J264" s="82">
        <v>132900</v>
      </c>
      <c r="K264" s="83"/>
      <c r="L264" s="59">
        <f t="shared" si="70"/>
        <v>99738.17970501013</v>
      </c>
      <c r="M264" s="63">
        <f t="shared" si="74"/>
        <v>33161.82029498987</v>
      </c>
      <c r="N264" s="97">
        <f t="shared" si="9"/>
        <v>1.3324887259128919</v>
      </c>
      <c r="O264" s="80"/>
      <c r="P264" s="59">
        <f>IF(D264=0,0,$L$264)</f>
        <v>99738.17970501013</v>
      </c>
      <c r="Q264" s="59">
        <f>IF(D264=0,0,$J$264)</f>
        <v>132900</v>
      </c>
      <c r="R264" s="63">
        <f t="shared" si="65"/>
        <v>33161.82029498987</v>
      </c>
      <c r="S264" s="499">
        <f t="shared" si="71"/>
        <v>1.3324887259128919</v>
      </c>
      <c r="T264" s="73"/>
      <c r="U264" s="59">
        <f>IF(D264=0,0,SUM($L$21:L264))</f>
        <v>44465001.337599695</v>
      </c>
      <c r="V264" s="59">
        <f>IF(D264=0,0,SUM($J$21:J264))</f>
        <v>45328940</v>
      </c>
      <c r="W264" s="66">
        <f t="shared" si="66"/>
        <v>863938.66240030527</v>
      </c>
      <c r="X264" s="500">
        <f t="shared" si="72"/>
        <v>1.0194296331139376</v>
      </c>
      <c r="Y264" s="68">
        <f t="shared" si="77"/>
        <v>45901</v>
      </c>
      <c r="Z264" s="69">
        <f t="shared" si="77"/>
        <v>45901</v>
      </c>
      <c r="AA264" s="1"/>
      <c r="AB264" s="1"/>
      <c r="AC264" s="1"/>
      <c r="AD264" s="1"/>
      <c r="AE264" s="1"/>
      <c r="AF264" s="1"/>
      <c r="AG264" s="1"/>
    </row>
    <row r="265" spans="1:33" ht="20">
      <c r="A265" s="1"/>
      <c r="B265" s="11"/>
      <c r="C265" s="50">
        <v>245</v>
      </c>
      <c r="D265" s="51">
        <v>1</v>
      </c>
      <c r="E265" s="52">
        <f t="shared" si="67"/>
        <v>9</v>
      </c>
      <c r="F265" s="53">
        <f t="shared" si="68"/>
        <v>45902</v>
      </c>
      <c r="G265" s="54" t="str">
        <f t="shared" si="69"/>
        <v>Tue</v>
      </c>
      <c r="H265" s="55"/>
      <c r="I265" s="56"/>
      <c r="J265" s="82">
        <v>96650</v>
      </c>
      <c r="K265" s="83"/>
      <c r="L265" s="59">
        <f t="shared" si="70"/>
        <v>164917.32614901999</v>
      </c>
      <c r="M265" s="60">
        <f t="shared" si="74"/>
        <v>-68267.326149019995</v>
      </c>
      <c r="N265" s="61">
        <f t="shared" si="9"/>
        <v>0.58605121885535938</v>
      </c>
      <c r="O265" s="80"/>
      <c r="P265" s="59">
        <f>IF(D265=0,0,SUM($L$264:L265))</f>
        <v>264655.50585403014</v>
      </c>
      <c r="Q265" s="59">
        <f>IF(D265=0,0,SUM($J$264:J265))</f>
        <v>229550</v>
      </c>
      <c r="R265" s="63">
        <f t="shared" si="65"/>
        <v>-35105.50585403014</v>
      </c>
      <c r="S265" s="64">
        <f t="shared" si="71"/>
        <v>0.86735395607680099</v>
      </c>
      <c r="T265" s="73"/>
      <c r="U265" s="59">
        <f>IF(D265=0,0,SUM($L$21:L265))</f>
        <v>44629918.663748711</v>
      </c>
      <c r="V265" s="59">
        <f>IF(D265=0,0,SUM($J$21:J265))</f>
        <v>45425590</v>
      </c>
      <c r="W265" s="66">
        <f t="shared" si="66"/>
        <v>795671.33625128865</v>
      </c>
      <c r="X265" s="67">
        <f t="shared" si="72"/>
        <v>1.0178282049368284</v>
      </c>
      <c r="Y265" s="68">
        <f t="shared" si="77"/>
        <v>45902</v>
      </c>
      <c r="Z265" s="69">
        <f t="shared" si="77"/>
        <v>45902</v>
      </c>
      <c r="AA265" s="1"/>
      <c r="AB265" s="1"/>
      <c r="AC265" s="1"/>
      <c r="AD265" s="1"/>
      <c r="AE265" s="1"/>
      <c r="AF265" s="1"/>
      <c r="AG265" s="1"/>
    </row>
    <row r="266" spans="1:33" ht="20">
      <c r="A266" s="1"/>
      <c r="B266" s="11"/>
      <c r="C266" s="50">
        <v>246</v>
      </c>
      <c r="D266" s="51">
        <v>1</v>
      </c>
      <c r="E266" s="52">
        <f t="shared" si="67"/>
        <v>9</v>
      </c>
      <c r="F266" s="53">
        <f t="shared" si="68"/>
        <v>45903</v>
      </c>
      <c r="G266" s="54" t="str">
        <f t="shared" si="69"/>
        <v>Wed</v>
      </c>
      <c r="H266" s="55"/>
      <c r="I266" s="56"/>
      <c r="J266" s="82">
        <v>168950</v>
      </c>
      <c r="K266" s="83"/>
      <c r="L266" s="59">
        <f t="shared" si="70"/>
        <v>111235.83399404859</v>
      </c>
      <c r="M266" s="60">
        <f t="shared" si="74"/>
        <v>57714.166005951411</v>
      </c>
      <c r="N266" s="61">
        <f t="shared" si="9"/>
        <v>1.5188450873577239</v>
      </c>
      <c r="O266" s="80"/>
      <c r="P266" s="59">
        <f>IF(D266=0,0,SUM($L$264:L266))</f>
        <v>375891.33984807873</v>
      </c>
      <c r="Q266" s="59">
        <f>IF(D266=0,0,SUM($J$264:J266))</f>
        <v>398500</v>
      </c>
      <c r="R266" s="63">
        <f t="shared" si="65"/>
        <v>22608.660151921271</v>
      </c>
      <c r="S266" s="64">
        <f t="shared" si="71"/>
        <v>1.0601467971064693</v>
      </c>
      <c r="T266" s="73"/>
      <c r="U266" s="59">
        <f>IF(D266=0,0,SUM($L$21:L266))</f>
        <v>44741154.497742757</v>
      </c>
      <c r="V266" s="59">
        <f>IF(D266=0,0,SUM($J$21:J266))</f>
        <v>45594540</v>
      </c>
      <c r="W266" s="66">
        <f t="shared" si="66"/>
        <v>853385.5022572428</v>
      </c>
      <c r="X266" s="67">
        <f t="shared" si="72"/>
        <v>1.0190738373168331</v>
      </c>
      <c r="Y266" s="68">
        <f t="shared" si="77"/>
        <v>45903</v>
      </c>
      <c r="Z266" s="69">
        <f t="shared" si="77"/>
        <v>45903</v>
      </c>
      <c r="AA266" s="1"/>
      <c r="AB266" s="1"/>
      <c r="AC266" s="1"/>
      <c r="AD266" s="1"/>
      <c r="AE266" s="1"/>
      <c r="AF266" s="1"/>
      <c r="AG266" s="1"/>
    </row>
    <row r="267" spans="1:33" ht="20">
      <c r="A267" s="1"/>
      <c r="B267" s="11"/>
      <c r="C267" s="50">
        <v>247</v>
      </c>
      <c r="D267" s="51">
        <v>1</v>
      </c>
      <c r="E267" s="52">
        <f t="shared" si="67"/>
        <v>9</v>
      </c>
      <c r="F267" s="53">
        <f t="shared" si="68"/>
        <v>45904</v>
      </c>
      <c r="G267" s="54" t="str">
        <f t="shared" si="69"/>
        <v>Thu</v>
      </c>
      <c r="H267" s="55"/>
      <c r="I267" s="56"/>
      <c r="J267" s="82">
        <v>134500</v>
      </c>
      <c r="K267" s="83"/>
      <c r="L267" s="59">
        <f t="shared" si="70"/>
        <v>125374.89828542268</v>
      </c>
      <c r="M267" s="60">
        <f t="shared" si="74"/>
        <v>9125.1017145773221</v>
      </c>
      <c r="N267" s="61">
        <f t="shared" si="9"/>
        <v>1.0727825253648744</v>
      </c>
      <c r="O267" s="80"/>
      <c r="P267" s="59">
        <f>IF(D267=0,0,SUM($L$264:L267))</f>
        <v>501266.23813350138</v>
      </c>
      <c r="Q267" s="59">
        <f>IF(D267=0,0,SUM($J$264:J267))</f>
        <v>533000</v>
      </c>
      <c r="R267" s="63">
        <f t="shared" si="65"/>
        <v>31733.761866498622</v>
      </c>
      <c r="S267" s="64">
        <f t="shared" si="71"/>
        <v>1.0633071997520946</v>
      </c>
      <c r="T267" s="73"/>
      <c r="U267" s="59">
        <f>IF(D267=0,0,SUM($L$21:L267))</f>
        <v>44866529.396028183</v>
      </c>
      <c r="V267" s="59">
        <f>IF(D267=0,0,SUM($J$21:J267))</f>
        <v>45729040</v>
      </c>
      <c r="W267" s="66">
        <f t="shared" si="66"/>
        <v>862510.6039718166</v>
      </c>
      <c r="X267" s="67">
        <f t="shared" si="72"/>
        <v>1.0192239207173481</v>
      </c>
      <c r="Y267" s="68">
        <f t="shared" si="77"/>
        <v>45904</v>
      </c>
      <c r="Z267" s="69">
        <f t="shared" si="77"/>
        <v>45904</v>
      </c>
      <c r="AA267" s="1"/>
      <c r="AB267" s="1"/>
      <c r="AC267" s="1"/>
      <c r="AD267" s="1"/>
      <c r="AE267" s="1"/>
      <c r="AF267" s="1"/>
      <c r="AG267" s="1"/>
    </row>
    <row r="268" spans="1:33" ht="20">
      <c r="A268" s="1"/>
      <c r="B268" s="11"/>
      <c r="C268" s="50">
        <v>248</v>
      </c>
      <c r="D268" s="51">
        <v>1</v>
      </c>
      <c r="E268" s="52">
        <f t="shared" si="67"/>
        <v>9</v>
      </c>
      <c r="F268" s="53">
        <f t="shared" si="68"/>
        <v>45905</v>
      </c>
      <c r="G268" s="54" t="str">
        <f t="shared" si="69"/>
        <v>Fri</v>
      </c>
      <c r="H268" s="55"/>
      <c r="I268" s="56"/>
      <c r="J268" s="82">
        <v>127550</v>
      </c>
      <c r="K268" s="83"/>
      <c r="L268" s="59">
        <f t="shared" si="70"/>
        <v>186257.3604973203</v>
      </c>
      <c r="M268" s="60">
        <f t="shared" si="74"/>
        <v>-58707.360497320304</v>
      </c>
      <c r="N268" s="61">
        <f t="shared" si="9"/>
        <v>0.68480515164304112</v>
      </c>
      <c r="O268" s="80"/>
      <c r="P268" s="59">
        <f>IF(D268=0,0,SUM($L$264:L268))</f>
        <v>687523.59863082168</v>
      </c>
      <c r="Q268" s="59">
        <f>IF(D268=0,0,SUM($J$264:J268))</f>
        <v>660550</v>
      </c>
      <c r="R268" s="63">
        <f t="shared" si="65"/>
        <v>-26973.598630821682</v>
      </c>
      <c r="S268" s="64">
        <f t="shared" si="71"/>
        <v>0.96076702140182735</v>
      </c>
      <c r="T268" s="73"/>
      <c r="U268" s="59">
        <f>IF(D268=0,0,SUM($L$21:L268))</f>
        <v>45052786.756525502</v>
      </c>
      <c r="V268" s="59">
        <f>IF(D268=0,0,SUM($J$21:J268))</f>
        <v>45856590</v>
      </c>
      <c r="W268" s="66">
        <f t="shared" si="66"/>
        <v>803803.24347449839</v>
      </c>
      <c r="X268" s="67">
        <f t="shared" si="72"/>
        <v>1.0178413656810714</v>
      </c>
      <c r="Y268" s="68">
        <f t="shared" si="77"/>
        <v>45905</v>
      </c>
      <c r="Z268" s="69">
        <f t="shared" si="77"/>
        <v>45905</v>
      </c>
      <c r="AA268" s="1"/>
      <c r="AB268" s="1"/>
      <c r="AC268" s="1"/>
      <c r="AD268" s="1"/>
      <c r="AE268" s="1"/>
      <c r="AF268" s="1"/>
      <c r="AG268" s="1"/>
    </row>
    <row r="269" spans="1:33" ht="20">
      <c r="A269" s="1"/>
      <c r="B269" s="11"/>
      <c r="C269" s="50">
        <v>249</v>
      </c>
      <c r="D269" s="51">
        <v>1</v>
      </c>
      <c r="E269" s="52">
        <f t="shared" si="67"/>
        <v>9</v>
      </c>
      <c r="F269" s="53">
        <f t="shared" si="68"/>
        <v>45906</v>
      </c>
      <c r="G269" s="54" t="str">
        <f t="shared" si="69"/>
        <v>Sat</v>
      </c>
      <c r="H269" s="55"/>
      <c r="I269" s="56"/>
      <c r="J269" s="82">
        <v>159390</v>
      </c>
      <c r="K269" s="83"/>
      <c r="L269" s="59">
        <f t="shared" si="70"/>
        <v>100143.97375539556</v>
      </c>
      <c r="M269" s="60">
        <f t="shared" si="74"/>
        <v>59246.026244604436</v>
      </c>
      <c r="N269" s="61">
        <f t="shared" si="9"/>
        <v>1.5916085014692396</v>
      </c>
      <c r="O269" s="80"/>
      <c r="P269" s="59">
        <f>IF(D269=0,0,SUM($L$264:L269))</f>
        <v>787667.5723862173</v>
      </c>
      <c r="Q269" s="59">
        <f>IF(D269=0,0,SUM($J$264:J269))</f>
        <v>819940</v>
      </c>
      <c r="R269" s="63">
        <f t="shared" si="65"/>
        <v>32272.427613782696</v>
      </c>
      <c r="S269" s="64">
        <f t="shared" si="71"/>
        <v>1.0409721419862623</v>
      </c>
      <c r="T269" s="73"/>
      <c r="U269" s="59">
        <f>IF(D269=0,0,SUM($L$21:L269))</f>
        <v>45152930.730280899</v>
      </c>
      <c r="V269" s="59">
        <f>IF(D269=0,0,SUM($J$21:J269))</f>
        <v>46015980</v>
      </c>
      <c r="W269" s="66">
        <f t="shared" si="66"/>
        <v>863049.26971910149</v>
      </c>
      <c r="X269" s="67">
        <f t="shared" si="72"/>
        <v>1.0191139147727639</v>
      </c>
      <c r="Y269" s="68">
        <f t="shared" si="77"/>
        <v>45906</v>
      </c>
      <c r="Z269" s="69">
        <f t="shared" si="77"/>
        <v>45906</v>
      </c>
      <c r="AA269" s="1"/>
      <c r="AB269" s="1"/>
      <c r="AC269" s="1"/>
      <c r="AD269" s="1"/>
      <c r="AE269" s="1"/>
      <c r="AF269" s="1"/>
      <c r="AG269" s="1"/>
    </row>
    <row r="270" spans="1:33" ht="20">
      <c r="A270" s="1"/>
      <c r="B270" s="11"/>
      <c r="C270" s="50">
        <v>250</v>
      </c>
      <c r="D270" s="51">
        <v>0</v>
      </c>
      <c r="E270" s="52">
        <f t="shared" si="67"/>
        <v>9</v>
      </c>
      <c r="F270" s="53">
        <f t="shared" si="68"/>
        <v>45907</v>
      </c>
      <c r="G270" s="54" t="str">
        <f t="shared" si="69"/>
        <v>Sun</v>
      </c>
      <c r="H270" s="55"/>
      <c r="I270" s="56"/>
      <c r="J270" s="82"/>
      <c r="K270" s="83"/>
      <c r="L270" s="59">
        <f t="shared" si="70"/>
        <v>0</v>
      </c>
      <c r="M270" s="60">
        <f t="shared" si="74"/>
        <v>0</v>
      </c>
      <c r="N270" s="61" t="str">
        <f t="shared" si="9"/>
        <v>¥0</v>
      </c>
      <c r="O270" s="81"/>
      <c r="P270" s="59">
        <f>IF(D270=0,0,SUM($L$264:L270))</f>
        <v>0</v>
      </c>
      <c r="Q270" s="59">
        <f>IF(D270=0,0,SUM($J$264:J270))</f>
        <v>0</v>
      </c>
      <c r="R270" s="63">
        <f t="shared" si="65"/>
        <v>0</v>
      </c>
      <c r="S270" s="64">
        <f t="shared" si="71"/>
        <v>0</v>
      </c>
      <c r="T270" s="78"/>
      <c r="U270" s="59">
        <f>IF(D270=0,0,SUM($L$21:L270))</f>
        <v>0</v>
      </c>
      <c r="V270" s="59">
        <f>IF(D270=0,0,SUM($J$21:J270))</f>
        <v>0</v>
      </c>
      <c r="W270" s="66">
        <f t="shared" si="66"/>
        <v>0</v>
      </c>
      <c r="X270" s="67">
        <f t="shared" si="72"/>
        <v>0</v>
      </c>
      <c r="Y270" s="68">
        <f t="shared" si="77"/>
        <v>45907</v>
      </c>
      <c r="Z270" s="69">
        <f t="shared" si="77"/>
        <v>45907</v>
      </c>
      <c r="AA270" s="1"/>
      <c r="AB270" s="1"/>
      <c r="AC270" s="1"/>
      <c r="AD270" s="1"/>
      <c r="AE270" s="1"/>
      <c r="AF270" s="1"/>
      <c r="AG270" s="1"/>
    </row>
    <row r="271" spans="1:33" ht="20">
      <c r="A271" s="1"/>
      <c r="B271" s="11"/>
      <c r="C271" s="50">
        <v>251</v>
      </c>
      <c r="D271" s="51">
        <v>1</v>
      </c>
      <c r="E271" s="52">
        <f t="shared" si="67"/>
        <v>9</v>
      </c>
      <c r="F271" s="53">
        <f t="shared" si="68"/>
        <v>45908</v>
      </c>
      <c r="G271" s="54" t="str">
        <f t="shared" si="69"/>
        <v>Mon</v>
      </c>
      <c r="H271" s="55"/>
      <c r="I271" s="56"/>
      <c r="J271" s="82">
        <v>47500</v>
      </c>
      <c r="K271" s="83"/>
      <c r="L271" s="59">
        <f t="shared" si="70"/>
        <v>99738.17970501013</v>
      </c>
      <c r="M271" s="60">
        <f t="shared" si="74"/>
        <v>-52238.17970501013</v>
      </c>
      <c r="N271" s="61">
        <f t="shared" si="9"/>
        <v>0.47624691106743688</v>
      </c>
      <c r="O271" s="80"/>
      <c r="P271" s="59">
        <f>IF(D271=0,0,SUM($L$264:L271))</f>
        <v>887405.75209122745</v>
      </c>
      <c r="Q271" s="59">
        <f>IF(D271=0,0,SUM($J$264:J271))</f>
        <v>867440</v>
      </c>
      <c r="R271" s="63">
        <f t="shared" si="65"/>
        <v>-19965.752091227449</v>
      </c>
      <c r="S271" s="64">
        <f t="shared" si="71"/>
        <v>0.97750098864676405</v>
      </c>
      <c r="T271" s="73"/>
      <c r="U271" s="59">
        <f>IF(D271=0,0,SUM($L$21:L271))</f>
        <v>45252668.909985907</v>
      </c>
      <c r="V271" s="59">
        <f>IF(D271=0,0,SUM($J$21:J271))</f>
        <v>46063480</v>
      </c>
      <c r="W271" s="66">
        <f t="shared" si="66"/>
        <v>810811.09001409262</v>
      </c>
      <c r="X271" s="67">
        <f t="shared" si="72"/>
        <v>1.0179174203321999</v>
      </c>
      <c r="Y271" s="68">
        <f t="shared" si="77"/>
        <v>45908</v>
      </c>
      <c r="Z271" s="69">
        <f t="shared" si="77"/>
        <v>45908</v>
      </c>
      <c r="AA271" s="1"/>
      <c r="AB271" s="1"/>
      <c r="AC271" s="1"/>
      <c r="AD271" s="1"/>
      <c r="AE271" s="1"/>
      <c r="AF271" s="1"/>
      <c r="AG271" s="1"/>
    </row>
    <row r="272" spans="1:33" ht="20">
      <c r="A272" s="1"/>
      <c r="B272" s="11"/>
      <c r="C272" s="50">
        <v>252</v>
      </c>
      <c r="D272" s="51">
        <v>1</v>
      </c>
      <c r="E272" s="52">
        <f t="shared" si="67"/>
        <v>9</v>
      </c>
      <c r="F272" s="53">
        <f t="shared" si="68"/>
        <v>45909</v>
      </c>
      <c r="G272" s="54" t="str">
        <f t="shared" si="69"/>
        <v>Tue</v>
      </c>
      <c r="H272" s="55"/>
      <c r="I272" s="56"/>
      <c r="J272" s="82">
        <v>112240</v>
      </c>
      <c r="K272" s="83"/>
      <c r="L272" s="59">
        <f t="shared" si="70"/>
        <v>164917.32614901999</v>
      </c>
      <c r="M272" s="60">
        <f t="shared" si="74"/>
        <v>-52677.326149019995</v>
      </c>
      <c r="N272" s="61">
        <f t="shared" si="9"/>
        <v>0.68058343305044533</v>
      </c>
      <c r="O272" s="80"/>
      <c r="P272" s="59">
        <f>IF(D272=0,0,SUM($L$264:L272))</f>
        <v>1052323.0782402474</v>
      </c>
      <c r="Q272" s="59">
        <f>IF(D272=0,0,SUM($J$264:J272))</f>
        <v>979680</v>
      </c>
      <c r="R272" s="63">
        <f t="shared" si="65"/>
        <v>-72643.078240247443</v>
      </c>
      <c r="S272" s="64">
        <f t="shared" si="71"/>
        <v>0.93096884431944116</v>
      </c>
      <c r="T272" s="73"/>
      <c r="U272" s="59">
        <f>IF(D272=0,0,SUM($L$21:L272))</f>
        <v>45417586.236134924</v>
      </c>
      <c r="V272" s="59">
        <f>IF(D272=0,0,SUM($J$21:J272))</f>
        <v>46175720</v>
      </c>
      <c r="W272" s="66">
        <f t="shared" si="66"/>
        <v>758133.76386507601</v>
      </c>
      <c r="X272" s="67">
        <f t="shared" si="72"/>
        <v>1.0166925155362372</v>
      </c>
      <c r="Y272" s="68">
        <f t="shared" si="77"/>
        <v>45909</v>
      </c>
      <c r="Z272" s="69">
        <f t="shared" si="77"/>
        <v>45909</v>
      </c>
      <c r="AA272" s="1"/>
      <c r="AB272" s="1"/>
      <c r="AC272" s="1"/>
      <c r="AD272" s="1"/>
      <c r="AE272" s="1"/>
      <c r="AF272" s="1"/>
      <c r="AG272" s="1"/>
    </row>
    <row r="273" spans="1:33" ht="20">
      <c r="A273" s="1"/>
      <c r="B273" s="11"/>
      <c r="C273" s="50">
        <v>253</v>
      </c>
      <c r="D273" s="51">
        <v>1</v>
      </c>
      <c r="E273" s="52">
        <f t="shared" si="67"/>
        <v>9</v>
      </c>
      <c r="F273" s="53">
        <f t="shared" si="68"/>
        <v>45910</v>
      </c>
      <c r="G273" s="54" t="str">
        <f t="shared" si="69"/>
        <v>Wed</v>
      </c>
      <c r="H273" s="55"/>
      <c r="I273" s="56"/>
      <c r="J273" s="82">
        <v>164830</v>
      </c>
      <c r="K273" s="83"/>
      <c r="L273" s="59">
        <f t="shared" si="70"/>
        <v>111235.83399404859</v>
      </c>
      <c r="M273" s="60">
        <f t="shared" si="74"/>
        <v>53594.166005951411</v>
      </c>
      <c r="N273" s="61">
        <f t="shared" si="9"/>
        <v>1.4818066632090774</v>
      </c>
      <c r="O273" s="80"/>
      <c r="P273" s="59">
        <f>IF(D273=0,0,SUM($L$264:L273))</f>
        <v>1163558.9122342961</v>
      </c>
      <c r="Q273" s="59">
        <f>IF(D273=0,0,SUM($J$264:J273))</f>
        <v>1144510</v>
      </c>
      <c r="R273" s="63">
        <f t="shared" si="65"/>
        <v>-19048.912234296091</v>
      </c>
      <c r="S273" s="64">
        <f t="shared" si="71"/>
        <v>0.98362875138164008</v>
      </c>
      <c r="T273" s="73"/>
      <c r="U273" s="59">
        <f>IF(D273=0,0,SUM($L$21:L273))</f>
        <v>45528822.07012897</v>
      </c>
      <c r="V273" s="59">
        <f>IF(D273=0,0,SUM($J$21:J273))</f>
        <v>46340550</v>
      </c>
      <c r="W273" s="66">
        <f t="shared" si="66"/>
        <v>811727.92987103015</v>
      </c>
      <c r="X273" s="67">
        <f t="shared" si="72"/>
        <v>1.0178288805412252</v>
      </c>
      <c r="Y273" s="68">
        <f t="shared" si="77"/>
        <v>45910</v>
      </c>
      <c r="Z273" s="69">
        <f t="shared" si="77"/>
        <v>45910</v>
      </c>
      <c r="AA273" s="1"/>
      <c r="AB273" s="1"/>
      <c r="AC273" s="1"/>
      <c r="AD273" s="1"/>
      <c r="AE273" s="1"/>
      <c r="AF273" s="1"/>
      <c r="AG273" s="1"/>
    </row>
    <row r="274" spans="1:33" ht="20">
      <c r="A274" s="1"/>
      <c r="B274" s="11"/>
      <c r="C274" s="50">
        <v>254</v>
      </c>
      <c r="D274" s="51">
        <v>1</v>
      </c>
      <c r="E274" s="52">
        <f t="shared" si="67"/>
        <v>9</v>
      </c>
      <c r="F274" s="53">
        <f t="shared" si="68"/>
        <v>45911</v>
      </c>
      <c r="G274" s="54" t="str">
        <f t="shared" si="69"/>
        <v>Thu</v>
      </c>
      <c r="H274" s="55"/>
      <c r="I274" s="56"/>
      <c r="J274" s="82">
        <v>103370</v>
      </c>
      <c r="K274" s="83"/>
      <c r="L274" s="59">
        <f t="shared" si="70"/>
        <v>125374.89828542268</v>
      </c>
      <c r="M274" s="60">
        <f t="shared" si="74"/>
        <v>-22004.898285422678</v>
      </c>
      <c r="N274" s="61">
        <f t="shared" si="9"/>
        <v>0.82448720927113062</v>
      </c>
      <c r="O274" s="80"/>
      <c r="P274" s="59">
        <f>IF(D274=0,0,SUM($L$264:L274))</f>
        <v>1288933.8105197188</v>
      </c>
      <c r="Q274" s="59">
        <f>IF(D274=0,0,SUM($J$264:J274))</f>
        <v>1247880</v>
      </c>
      <c r="R274" s="63">
        <f t="shared" si="65"/>
        <v>-41053.810519718798</v>
      </c>
      <c r="S274" s="64">
        <f t="shared" si="71"/>
        <v>0.96814901573327083</v>
      </c>
      <c r="T274" s="73"/>
      <c r="U274" s="59">
        <f>IF(D274=0,0,SUM($L$21:L274))</f>
        <v>45654196.968414396</v>
      </c>
      <c r="V274" s="59">
        <f>IF(D274=0,0,SUM($J$21:J274))</f>
        <v>46443920</v>
      </c>
      <c r="W274" s="66">
        <f t="shared" si="66"/>
        <v>789723.03158560395</v>
      </c>
      <c r="X274" s="67">
        <f t="shared" si="72"/>
        <v>1.0172979284277406</v>
      </c>
      <c r="Y274" s="68">
        <f t="shared" si="77"/>
        <v>45911</v>
      </c>
      <c r="Z274" s="69">
        <f t="shared" si="77"/>
        <v>45911</v>
      </c>
      <c r="AA274" s="1"/>
      <c r="AB274" s="1"/>
      <c r="AC274" s="1"/>
      <c r="AD274" s="1"/>
      <c r="AE274" s="1"/>
      <c r="AF274" s="1"/>
      <c r="AG274" s="1"/>
    </row>
    <row r="275" spans="1:33" ht="20">
      <c r="A275" s="1"/>
      <c r="B275" s="11"/>
      <c r="C275" s="50">
        <v>255</v>
      </c>
      <c r="D275" s="51">
        <v>1</v>
      </c>
      <c r="E275" s="52">
        <f t="shared" si="67"/>
        <v>9</v>
      </c>
      <c r="F275" s="53">
        <f t="shared" si="68"/>
        <v>45912</v>
      </c>
      <c r="G275" s="54" t="str">
        <f t="shared" si="69"/>
        <v>Fri</v>
      </c>
      <c r="H275" s="55"/>
      <c r="I275" s="56"/>
      <c r="J275" s="82">
        <v>214600</v>
      </c>
      <c r="K275" s="83"/>
      <c r="L275" s="59">
        <f t="shared" si="70"/>
        <v>186257.3604973203</v>
      </c>
      <c r="M275" s="60">
        <f t="shared" si="74"/>
        <v>28342.639502679696</v>
      </c>
      <c r="N275" s="61">
        <f t="shared" si="9"/>
        <v>1.1521692320078136</v>
      </c>
      <c r="O275" s="80"/>
      <c r="P275" s="59">
        <f>IF(D275=0,0,SUM($L$264:L275))</f>
        <v>1475191.1710170391</v>
      </c>
      <c r="Q275" s="59">
        <f>IF(D275=0,0,SUM($J$264:J275))</f>
        <v>1462480</v>
      </c>
      <c r="R275" s="63">
        <f t="shared" si="65"/>
        <v>-12711.171017039102</v>
      </c>
      <c r="S275" s="64">
        <f t="shared" si="71"/>
        <v>0.99138337371672602</v>
      </c>
      <c r="T275" s="73"/>
      <c r="U275" s="59">
        <f>IF(D275=0,0,SUM($L$21:L275))</f>
        <v>45840454.328911714</v>
      </c>
      <c r="V275" s="59">
        <f>IF(D275=0,0,SUM($J$21:J275))</f>
        <v>46658520</v>
      </c>
      <c r="W275" s="66">
        <f t="shared" si="66"/>
        <v>818065.67108828574</v>
      </c>
      <c r="X275" s="67">
        <f t="shared" si="72"/>
        <v>1.0178459328788181</v>
      </c>
      <c r="Y275" s="68">
        <f t="shared" si="77"/>
        <v>45912</v>
      </c>
      <c r="Z275" s="69">
        <f t="shared" si="77"/>
        <v>45912</v>
      </c>
      <c r="AA275" s="1"/>
      <c r="AB275" s="1"/>
      <c r="AC275" s="1"/>
      <c r="AD275" s="1"/>
      <c r="AE275" s="1"/>
      <c r="AF275" s="1"/>
      <c r="AG275" s="1"/>
    </row>
    <row r="276" spans="1:33" ht="20">
      <c r="A276" s="1"/>
      <c r="B276" s="11"/>
      <c r="C276" s="50">
        <v>256</v>
      </c>
      <c r="D276" s="51">
        <v>1</v>
      </c>
      <c r="E276" s="52">
        <f t="shared" si="67"/>
        <v>9</v>
      </c>
      <c r="F276" s="53">
        <f t="shared" si="68"/>
        <v>45913</v>
      </c>
      <c r="G276" s="54" t="str">
        <f t="shared" si="69"/>
        <v>Sat</v>
      </c>
      <c r="H276" s="55"/>
      <c r="I276" s="56"/>
      <c r="J276" s="82">
        <v>142580</v>
      </c>
      <c r="K276" s="83"/>
      <c r="L276" s="59">
        <f t="shared" si="70"/>
        <v>100143.97375539556</v>
      </c>
      <c r="M276" s="60">
        <f t="shared" si="74"/>
        <v>42436.026244604436</v>
      </c>
      <c r="N276" s="61">
        <f t="shared" ref="N276:N385" si="78">IFERROR(J276/L276,"¥0")</f>
        <v>1.4237501734078939</v>
      </c>
      <c r="O276" s="80"/>
      <c r="P276" s="59">
        <f>IF(D276=0,0,SUM($L$264:L276))</f>
        <v>1575335.1447724346</v>
      </c>
      <c r="Q276" s="59">
        <f>IF(D276=0,0,SUM($J$264:J276))</f>
        <v>1605060</v>
      </c>
      <c r="R276" s="63">
        <f t="shared" si="65"/>
        <v>29724.855227565393</v>
      </c>
      <c r="S276" s="64">
        <f t="shared" si="71"/>
        <v>1.0188689088326404</v>
      </c>
      <c r="T276" s="73"/>
      <c r="U276" s="59">
        <f>IF(D276=0,0,SUM($L$21:L276))</f>
        <v>45940598.302667111</v>
      </c>
      <c r="V276" s="59">
        <f>IF(D276=0,0,SUM($J$21:J276))</f>
        <v>46801100</v>
      </c>
      <c r="W276" s="66">
        <f t="shared" si="66"/>
        <v>860501.69733288884</v>
      </c>
      <c r="X276" s="67">
        <f t="shared" si="72"/>
        <v>1.0187307464231028</v>
      </c>
      <c r="Y276" s="68">
        <f t="shared" si="77"/>
        <v>45913</v>
      </c>
      <c r="Z276" s="69">
        <f t="shared" si="77"/>
        <v>45913</v>
      </c>
      <c r="AA276" s="1"/>
      <c r="AB276" s="1"/>
      <c r="AC276" s="1"/>
      <c r="AD276" s="1"/>
      <c r="AE276" s="1"/>
      <c r="AF276" s="1"/>
      <c r="AG276" s="1"/>
    </row>
    <row r="277" spans="1:33" ht="20">
      <c r="A277" s="1"/>
      <c r="B277" s="11"/>
      <c r="C277" s="50">
        <v>257</v>
      </c>
      <c r="D277" s="51">
        <v>0</v>
      </c>
      <c r="E277" s="52">
        <f t="shared" si="67"/>
        <v>9</v>
      </c>
      <c r="F277" s="53">
        <f t="shared" si="68"/>
        <v>45914</v>
      </c>
      <c r="G277" s="54" t="str">
        <f t="shared" si="69"/>
        <v>Sun</v>
      </c>
      <c r="H277" s="55"/>
      <c r="I277" s="56"/>
      <c r="J277" s="82"/>
      <c r="K277" s="83"/>
      <c r="L277" s="59">
        <f t="shared" si="70"/>
        <v>0</v>
      </c>
      <c r="M277" s="60">
        <f t="shared" ref="M277:M340" si="79">IF(D277=0,0,J277-L277)</f>
        <v>0</v>
      </c>
      <c r="N277" s="61" t="str">
        <f t="shared" si="78"/>
        <v>¥0</v>
      </c>
      <c r="O277" s="81"/>
      <c r="P277" s="59">
        <f>IF(D277=0,0,SUM($L$264:L277))</f>
        <v>0</v>
      </c>
      <c r="Q277" s="59">
        <f>IF(D277=0,0,SUM($J$264:J277))</f>
        <v>0</v>
      </c>
      <c r="R277" s="63">
        <f t="shared" ref="R277:R340" si="80">IF(D277=0,0,Q277-P277)</f>
        <v>0</v>
      </c>
      <c r="S277" s="64">
        <f t="shared" si="71"/>
        <v>0</v>
      </c>
      <c r="T277" s="78"/>
      <c r="U277" s="59">
        <f>IF(D277=0,0,SUM($L$21:L277))</f>
        <v>0</v>
      </c>
      <c r="V277" s="59">
        <f>IF(D277=0,0,SUM($J$21:J277))</f>
        <v>0</v>
      </c>
      <c r="W277" s="66">
        <f t="shared" ref="W277:W340" si="81">IF(D277=0,0,V277-U277)</f>
        <v>0</v>
      </c>
      <c r="X277" s="67">
        <f t="shared" si="72"/>
        <v>0</v>
      </c>
      <c r="Y277" s="68">
        <f t="shared" si="77"/>
        <v>45914</v>
      </c>
      <c r="Z277" s="69">
        <f t="shared" si="77"/>
        <v>45914</v>
      </c>
      <c r="AA277" s="1"/>
      <c r="AB277" s="1"/>
      <c r="AC277" s="1"/>
      <c r="AD277" s="1"/>
      <c r="AE277" s="1"/>
      <c r="AF277" s="1"/>
      <c r="AG277" s="1"/>
    </row>
    <row r="278" spans="1:33" ht="20">
      <c r="A278" s="1"/>
      <c r="B278" s="11"/>
      <c r="C278" s="50">
        <v>258</v>
      </c>
      <c r="D278" s="51">
        <v>0</v>
      </c>
      <c r="E278" s="52">
        <f t="shared" ref="E278:E341" si="82">MONTH(Y278)</f>
        <v>9</v>
      </c>
      <c r="F278" s="53">
        <f t="shared" ref="F278:F341" si="83">F277+1</f>
        <v>45915</v>
      </c>
      <c r="G278" s="54" t="str">
        <f t="shared" ref="G278:G341" si="84">TEXT(Z278,"ddd")</f>
        <v>Mon</v>
      </c>
      <c r="H278" s="55"/>
      <c r="I278" s="56"/>
      <c r="J278" s="82"/>
      <c r="K278" s="83"/>
      <c r="L278" s="59">
        <f t="shared" ref="L278:L341" si="85">IF(D278=0,0,IFERROR(SUMIFS($AE$21:$AE$104,$AA$21:$AA$104,$E278,$AB$21:$AB$104,$G278),0))</f>
        <v>0</v>
      </c>
      <c r="M278" s="60">
        <f t="shared" si="79"/>
        <v>0</v>
      </c>
      <c r="N278" s="61" t="str">
        <f t="shared" si="78"/>
        <v>¥0</v>
      </c>
      <c r="O278" s="81"/>
      <c r="P278" s="59">
        <f>IF(D278=0,0,SUM($L$264:L278))</f>
        <v>0</v>
      </c>
      <c r="Q278" s="59">
        <f>IF(D278=0,0,SUM($J$264:J278))</f>
        <v>0</v>
      </c>
      <c r="R278" s="63">
        <f t="shared" si="80"/>
        <v>0</v>
      </c>
      <c r="S278" s="64">
        <f t="shared" ref="S278:S341" si="86">IF(D278=0,0,Q278/P278)</f>
        <v>0</v>
      </c>
      <c r="T278" s="78"/>
      <c r="U278" s="59">
        <f>IF(D278=0,0,SUM($L$21:L278))</f>
        <v>0</v>
      </c>
      <c r="V278" s="59">
        <f>IF(D278=0,0,SUM($J$21:J278))</f>
        <v>0</v>
      </c>
      <c r="W278" s="66">
        <f t="shared" si="81"/>
        <v>0</v>
      </c>
      <c r="X278" s="67">
        <f t="shared" ref="X278:X341" si="87">IF(D278=0,0,V278/U278)</f>
        <v>0</v>
      </c>
      <c r="Y278" s="68">
        <f t="shared" si="77"/>
        <v>45915</v>
      </c>
      <c r="Z278" s="69">
        <f t="shared" si="77"/>
        <v>45915</v>
      </c>
      <c r="AA278" s="1"/>
      <c r="AB278" s="1"/>
      <c r="AC278" s="1"/>
      <c r="AD278" s="1"/>
      <c r="AE278" s="1"/>
      <c r="AF278" s="1"/>
      <c r="AG278" s="1"/>
    </row>
    <row r="279" spans="1:33" ht="20">
      <c r="A279" s="1"/>
      <c r="B279" s="11"/>
      <c r="C279" s="50">
        <v>259</v>
      </c>
      <c r="D279" s="51">
        <v>1</v>
      </c>
      <c r="E279" s="52">
        <f t="shared" si="82"/>
        <v>9</v>
      </c>
      <c r="F279" s="53">
        <f t="shared" si="83"/>
        <v>45916</v>
      </c>
      <c r="G279" s="54" t="str">
        <f t="shared" si="84"/>
        <v>Tue</v>
      </c>
      <c r="H279" s="55"/>
      <c r="I279" s="56"/>
      <c r="J279" s="82">
        <v>340000</v>
      </c>
      <c r="K279" s="83"/>
      <c r="L279" s="59">
        <f t="shared" si="85"/>
        <v>164917.32614901999</v>
      </c>
      <c r="M279" s="60">
        <f t="shared" si="79"/>
        <v>175082.67385098001</v>
      </c>
      <c r="N279" s="61">
        <f t="shared" si="78"/>
        <v>2.0616390523623611</v>
      </c>
      <c r="O279" s="80"/>
      <c r="P279" s="59">
        <f>IF(D279=0,0,SUM($L$264:L279))</f>
        <v>1740252.4709214545</v>
      </c>
      <c r="Q279" s="59">
        <f>IF(D279=0,0,SUM($J$264:J279))</f>
        <v>1945060</v>
      </c>
      <c r="R279" s="63">
        <f t="shared" si="80"/>
        <v>204807.52907854551</v>
      </c>
      <c r="S279" s="64">
        <f t="shared" si="86"/>
        <v>1.1176884001032914</v>
      </c>
      <c r="T279" s="73"/>
      <c r="U279" s="59">
        <f>IF(D279=0,0,SUM($L$21:L279))</f>
        <v>46105515.628816128</v>
      </c>
      <c r="V279" s="59">
        <f>IF(D279=0,0,SUM($J$21:J279))</f>
        <v>47141100</v>
      </c>
      <c r="W279" s="66">
        <f t="shared" si="81"/>
        <v>1035584.3711838722</v>
      </c>
      <c r="X279" s="67">
        <f t="shared" si="87"/>
        <v>1.0224611818577434</v>
      </c>
      <c r="Y279" s="68">
        <f t="shared" ref="Y279:Z294" si="88">Y278+1</f>
        <v>45916</v>
      </c>
      <c r="Z279" s="69">
        <f t="shared" si="88"/>
        <v>45916</v>
      </c>
      <c r="AA279" s="1"/>
      <c r="AB279" s="1"/>
      <c r="AC279" s="1"/>
      <c r="AD279" s="1"/>
      <c r="AE279" s="1"/>
      <c r="AF279" s="1"/>
      <c r="AG279" s="1"/>
    </row>
    <row r="280" spans="1:33" ht="20">
      <c r="A280" s="1"/>
      <c r="B280" s="11"/>
      <c r="C280" s="50">
        <v>260</v>
      </c>
      <c r="D280" s="51">
        <v>1</v>
      </c>
      <c r="E280" s="52">
        <f t="shared" si="82"/>
        <v>9</v>
      </c>
      <c r="F280" s="53">
        <f t="shared" si="83"/>
        <v>45917</v>
      </c>
      <c r="G280" s="54" t="str">
        <f t="shared" si="84"/>
        <v>Wed</v>
      </c>
      <c r="H280" s="55"/>
      <c r="I280" s="56"/>
      <c r="J280" s="82">
        <v>218950</v>
      </c>
      <c r="K280" s="83"/>
      <c r="L280" s="59">
        <f t="shared" si="85"/>
        <v>111235.83399404859</v>
      </c>
      <c r="M280" s="60">
        <f t="shared" si="79"/>
        <v>107714.16600595141</v>
      </c>
      <c r="N280" s="61">
        <f t="shared" si="78"/>
        <v>1.9683405260548898</v>
      </c>
      <c r="O280" s="80"/>
      <c r="P280" s="59">
        <f>IF(D280=0,0,SUM($L$264:L280))</f>
        <v>1851488.3049155031</v>
      </c>
      <c r="Q280" s="59">
        <f>IF(D280=0,0,SUM($J$264:J280))</f>
        <v>2164010</v>
      </c>
      <c r="R280" s="63">
        <f t="shared" si="80"/>
        <v>312521.69508449687</v>
      </c>
      <c r="S280" s="64">
        <f t="shared" si="86"/>
        <v>1.1687948523654108</v>
      </c>
      <c r="T280" s="73"/>
      <c r="U280" s="59">
        <f>IF(D280=0,0,SUM($L$21:L280))</f>
        <v>46216751.462810174</v>
      </c>
      <c r="V280" s="59">
        <f>IF(D280=0,0,SUM($J$21:J280))</f>
        <v>47360050</v>
      </c>
      <c r="W280" s="66">
        <f t="shared" si="81"/>
        <v>1143298.5371898264</v>
      </c>
      <c r="X280" s="67">
        <f t="shared" si="87"/>
        <v>1.0247377520272021</v>
      </c>
      <c r="Y280" s="68">
        <f t="shared" si="88"/>
        <v>45917</v>
      </c>
      <c r="Z280" s="69">
        <f t="shared" si="88"/>
        <v>45917</v>
      </c>
      <c r="AA280" s="1"/>
      <c r="AB280" s="1"/>
      <c r="AC280" s="1"/>
      <c r="AD280" s="1"/>
      <c r="AE280" s="1"/>
      <c r="AF280" s="1"/>
      <c r="AG280" s="1"/>
    </row>
    <row r="281" spans="1:33" ht="20">
      <c r="A281" s="1"/>
      <c r="B281" s="11"/>
      <c r="C281" s="50">
        <v>261</v>
      </c>
      <c r="D281" s="51">
        <v>1</v>
      </c>
      <c r="E281" s="52">
        <f t="shared" si="82"/>
        <v>9</v>
      </c>
      <c r="F281" s="53">
        <f t="shared" si="83"/>
        <v>45918</v>
      </c>
      <c r="G281" s="54" t="str">
        <f t="shared" si="84"/>
        <v>Thu</v>
      </c>
      <c r="H281" s="55"/>
      <c r="I281" s="56"/>
      <c r="J281" s="82">
        <v>230350</v>
      </c>
      <c r="K281" s="83"/>
      <c r="L281" s="59">
        <f t="shared" si="85"/>
        <v>125374.89828542268</v>
      </c>
      <c r="M281" s="60">
        <f t="shared" si="79"/>
        <v>104975.10171457732</v>
      </c>
      <c r="N281" s="61">
        <f t="shared" si="78"/>
        <v>1.8372896261546381</v>
      </c>
      <c r="O281" s="80"/>
      <c r="P281" s="59">
        <f>IF(D281=0,0,SUM($L$264:L281))</f>
        <v>1976863.2032009258</v>
      </c>
      <c r="Q281" s="59">
        <f>IF(D281=0,0,SUM($J$264:J281))</f>
        <v>2394360</v>
      </c>
      <c r="R281" s="63">
        <f t="shared" si="80"/>
        <v>417496.79679907416</v>
      </c>
      <c r="S281" s="64">
        <f t="shared" si="86"/>
        <v>1.2111915463462852</v>
      </c>
      <c r="T281" s="73"/>
      <c r="U281" s="59">
        <f>IF(D281=0,0,SUM($L$21:L281))</f>
        <v>46342126.3610956</v>
      </c>
      <c r="V281" s="59">
        <f>IF(D281=0,0,SUM($J$21:J281))</f>
        <v>47590400</v>
      </c>
      <c r="W281" s="66">
        <f t="shared" si="81"/>
        <v>1248273.6389044002</v>
      </c>
      <c r="X281" s="67">
        <f t="shared" si="87"/>
        <v>1.0269360458166703</v>
      </c>
      <c r="Y281" s="68">
        <f t="shared" si="88"/>
        <v>45918</v>
      </c>
      <c r="Z281" s="69">
        <f t="shared" si="88"/>
        <v>45918</v>
      </c>
      <c r="AA281" s="1"/>
      <c r="AB281" s="1"/>
      <c r="AC281" s="1"/>
      <c r="AD281" s="1"/>
      <c r="AE281" s="1"/>
      <c r="AF281" s="1"/>
      <c r="AG281" s="1"/>
    </row>
    <row r="282" spans="1:33" ht="20">
      <c r="A282" s="1"/>
      <c r="B282" s="11"/>
      <c r="C282" s="50">
        <v>262</v>
      </c>
      <c r="D282" s="51">
        <v>1</v>
      </c>
      <c r="E282" s="52">
        <f t="shared" si="82"/>
        <v>9</v>
      </c>
      <c r="F282" s="53">
        <f t="shared" si="83"/>
        <v>45919</v>
      </c>
      <c r="G282" s="54" t="str">
        <f t="shared" si="84"/>
        <v>Fri</v>
      </c>
      <c r="H282" s="55"/>
      <c r="I282" s="56"/>
      <c r="J282" s="82">
        <v>223300</v>
      </c>
      <c r="K282" s="83"/>
      <c r="L282" s="59">
        <f t="shared" si="85"/>
        <v>186257.3604973203</v>
      </c>
      <c r="M282" s="60">
        <f t="shared" si="79"/>
        <v>37042.639502679696</v>
      </c>
      <c r="N282" s="61">
        <f t="shared" si="78"/>
        <v>1.1988787954675897</v>
      </c>
      <c r="O282" s="80"/>
      <c r="P282" s="59">
        <f>IF(D282=0,0,SUM($L$264:L282))</f>
        <v>2163120.5636982461</v>
      </c>
      <c r="Q282" s="59">
        <f>IF(D282=0,0,SUM($J$264:J282))</f>
        <v>2617660</v>
      </c>
      <c r="R282" s="63">
        <f t="shared" si="80"/>
        <v>454539.43630175386</v>
      </c>
      <c r="S282" s="64">
        <f t="shared" si="86"/>
        <v>1.2101313463197061</v>
      </c>
      <c r="T282" s="73"/>
      <c r="U282" s="59">
        <f>IF(D282=0,0,SUM($L$21:L282))</f>
        <v>46528383.721592918</v>
      </c>
      <c r="V282" s="59">
        <f>IF(D282=0,0,SUM($J$21:J282))</f>
        <v>47813700</v>
      </c>
      <c r="W282" s="66">
        <f t="shared" si="81"/>
        <v>1285316.278407082</v>
      </c>
      <c r="X282" s="67">
        <f t="shared" si="87"/>
        <v>1.0276243483138785</v>
      </c>
      <c r="Y282" s="68">
        <f t="shared" si="88"/>
        <v>45919</v>
      </c>
      <c r="Z282" s="69">
        <f t="shared" si="88"/>
        <v>45919</v>
      </c>
      <c r="AA282" s="1"/>
      <c r="AB282" s="1"/>
      <c r="AC282" s="1"/>
      <c r="AD282" s="1"/>
      <c r="AE282" s="1"/>
      <c r="AF282" s="1"/>
      <c r="AG282" s="1"/>
    </row>
    <row r="283" spans="1:33" ht="20">
      <c r="A283" s="1"/>
      <c r="B283" s="11"/>
      <c r="C283" s="50">
        <v>263</v>
      </c>
      <c r="D283" s="51">
        <v>1</v>
      </c>
      <c r="E283" s="52">
        <f t="shared" si="82"/>
        <v>9</v>
      </c>
      <c r="F283" s="53">
        <f t="shared" si="83"/>
        <v>45920</v>
      </c>
      <c r="G283" s="54" t="str">
        <f t="shared" si="84"/>
        <v>Sat</v>
      </c>
      <c r="H283" s="55"/>
      <c r="I283" s="56"/>
      <c r="J283" s="82">
        <v>72330</v>
      </c>
      <c r="K283" s="83"/>
      <c r="L283" s="59">
        <f t="shared" si="85"/>
        <v>100143.97375539556</v>
      </c>
      <c r="M283" s="60">
        <f t="shared" si="79"/>
        <v>-27813.973755395564</v>
      </c>
      <c r="N283" s="61">
        <f t="shared" si="78"/>
        <v>0.7222601349599731</v>
      </c>
      <c r="O283" s="80"/>
      <c r="P283" s="59">
        <f>IF(D283=0,0,SUM($L$264:L283))</f>
        <v>2263264.5374536416</v>
      </c>
      <c r="Q283" s="59">
        <f>IF(D283=0,0,SUM($J$264:J283))</f>
        <v>2689990</v>
      </c>
      <c r="R283" s="63">
        <f t="shared" si="80"/>
        <v>426725.46254635835</v>
      </c>
      <c r="S283" s="64">
        <f t="shared" si="86"/>
        <v>1.1885442269273832</v>
      </c>
      <c r="T283" s="73"/>
      <c r="U283" s="59">
        <f>IF(D283=0,0,SUM($L$21:L283))</f>
        <v>46628527.695348315</v>
      </c>
      <c r="V283" s="59">
        <f>IF(D283=0,0,SUM($J$21:J283))</f>
        <v>47886030</v>
      </c>
      <c r="W283" s="66">
        <f t="shared" si="81"/>
        <v>1257502.3046516851</v>
      </c>
      <c r="X283" s="67">
        <f t="shared" si="87"/>
        <v>1.0269685183471304</v>
      </c>
      <c r="Y283" s="68">
        <f t="shared" si="88"/>
        <v>45920</v>
      </c>
      <c r="Z283" s="69">
        <f t="shared" si="88"/>
        <v>45920</v>
      </c>
      <c r="AA283" s="1"/>
      <c r="AB283" s="1"/>
      <c r="AC283" s="1"/>
      <c r="AD283" s="1"/>
      <c r="AE283" s="1"/>
      <c r="AF283" s="1"/>
      <c r="AG283" s="1"/>
    </row>
    <row r="284" spans="1:33" ht="20">
      <c r="A284" s="1"/>
      <c r="B284" s="11"/>
      <c r="C284" s="50">
        <v>264</v>
      </c>
      <c r="D284" s="51">
        <v>0</v>
      </c>
      <c r="E284" s="52">
        <f t="shared" si="82"/>
        <v>9</v>
      </c>
      <c r="F284" s="53">
        <f t="shared" si="83"/>
        <v>45921</v>
      </c>
      <c r="G284" s="54" t="str">
        <f t="shared" si="84"/>
        <v>Sun</v>
      </c>
      <c r="H284" s="55"/>
      <c r="I284" s="56"/>
      <c r="J284" s="82"/>
      <c r="K284" s="83"/>
      <c r="L284" s="59">
        <f t="shared" si="85"/>
        <v>0</v>
      </c>
      <c r="M284" s="60">
        <f t="shared" si="79"/>
        <v>0</v>
      </c>
      <c r="N284" s="61" t="str">
        <f t="shared" si="78"/>
        <v>¥0</v>
      </c>
      <c r="O284" s="81"/>
      <c r="P284" s="59">
        <f>IF(D284=0,0,SUM($L$264:L284))</f>
        <v>0</v>
      </c>
      <c r="Q284" s="59">
        <f>IF(D284=0,0,SUM($J$264:J284))</f>
        <v>0</v>
      </c>
      <c r="R284" s="63">
        <f t="shared" si="80"/>
        <v>0</v>
      </c>
      <c r="S284" s="64">
        <f t="shared" si="86"/>
        <v>0</v>
      </c>
      <c r="T284" s="78"/>
      <c r="U284" s="59">
        <f>IF(D284=0,0,SUM($L$21:L284))</f>
        <v>0</v>
      </c>
      <c r="V284" s="59">
        <f>IF(D284=0,0,SUM($J$21:J284))</f>
        <v>0</v>
      </c>
      <c r="W284" s="66">
        <f t="shared" si="81"/>
        <v>0</v>
      </c>
      <c r="X284" s="67">
        <f t="shared" si="87"/>
        <v>0</v>
      </c>
      <c r="Y284" s="68">
        <f t="shared" si="88"/>
        <v>45921</v>
      </c>
      <c r="Z284" s="69">
        <f t="shared" si="88"/>
        <v>45921</v>
      </c>
      <c r="AA284" s="1"/>
      <c r="AB284" s="1"/>
      <c r="AC284" s="1"/>
      <c r="AD284" s="1"/>
      <c r="AE284" s="1"/>
      <c r="AF284" s="1"/>
      <c r="AG284" s="1"/>
    </row>
    <row r="285" spans="1:33" ht="20">
      <c r="A285" s="1"/>
      <c r="B285" s="11"/>
      <c r="C285" s="50">
        <v>265</v>
      </c>
      <c r="D285" s="51">
        <v>1</v>
      </c>
      <c r="E285" s="52">
        <f t="shared" si="82"/>
        <v>9</v>
      </c>
      <c r="F285" s="53">
        <f t="shared" si="83"/>
        <v>45922</v>
      </c>
      <c r="G285" s="54" t="str">
        <f t="shared" si="84"/>
        <v>Mon</v>
      </c>
      <c r="H285" s="55"/>
      <c r="I285" s="56"/>
      <c r="J285" s="82">
        <v>173900</v>
      </c>
      <c r="K285" s="83"/>
      <c r="L285" s="59">
        <f t="shared" si="85"/>
        <v>99738.17970501013</v>
      </c>
      <c r="M285" s="60">
        <f t="shared" si="79"/>
        <v>74161.82029498987</v>
      </c>
      <c r="N285" s="61">
        <f t="shared" si="78"/>
        <v>1.7435650070447848</v>
      </c>
      <c r="O285" s="80"/>
      <c r="P285" s="59">
        <f>IF(D285=0,0,SUM($L$264:L285))</f>
        <v>2363002.7171586519</v>
      </c>
      <c r="Q285" s="59">
        <f>IF(D285=0,0,SUM($J$264:J285))</f>
        <v>2863890</v>
      </c>
      <c r="R285" s="63">
        <f t="shared" si="80"/>
        <v>500887.28284134809</v>
      </c>
      <c r="S285" s="64">
        <f t="shared" si="86"/>
        <v>1.2119706757864548</v>
      </c>
      <c r="T285" s="73"/>
      <c r="U285" s="59">
        <f>IF(D285=0,0,SUM($L$21:L285))</f>
        <v>46728265.875053324</v>
      </c>
      <c r="V285" s="59">
        <f>IF(D285=0,0,SUM($J$21:J285))</f>
        <v>48059930</v>
      </c>
      <c r="W285" s="66">
        <f t="shared" si="81"/>
        <v>1331664.1249466762</v>
      </c>
      <c r="X285" s="67">
        <f t="shared" si="87"/>
        <v>1.0284980428870913</v>
      </c>
      <c r="Y285" s="68">
        <f t="shared" si="88"/>
        <v>45922</v>
      </c>
      <c r="Z285" s="69">
        <f t="shared" si="88"/>
        <v>45922</v>
      </c>
      <c r="AA285" s="1"/>
      <c r="AB285" s="1"/>
      <c r="AC285" s="1"/>
      <c r="AD285" s="1"/>
      <c r="AE285" s="1"/>
      <c r="AF285" s="1"/>
      <c r="AG285" s="1"/>
    </row>
    <row r="286" spans="1:33" ht="20">
      <c r="A286" s="1"/>
      <c r="B286" s="11"/>
      <c r="C286" s="50">
        <v>266</v>
      </c>
      <c r="D286" s="51">
        <v>0</v>
      </c>
      <c r="E286" s="52">
        <f t="shared" si="82"/>
        <v>9</v>
      </c>
      <c r="F286" s="53">
        <f t="shared" si="83"/>
        <v>45923</v>
      </c>
      <c r="G286" s="54" t="str">
        <f t="shared" si="84"/>
        <v>Tue</v>
      </c>
      <c r="H286" s="55"/>
      <c r="I286" s="56"/>
      <c r="J286" s="82"/>
      <c r="K286" s="83"/>
      <c r="L286" s="59">
        <f t="shared" si="85"/>
        <v>0</v>
      </c>
      <c r="M286" s="60">
        <f t="shared" si="79"/>
        <v>0</v>
      </c>
      <c r="N286" s="61" t="str">
        <f t="shared" si="78"/>
        <v>¥0</v>
      </c>
      <c r="O286" s="81"/>
      <c r="P286" s="59">
        <f>IF(D286=0,0,SUM($L$264:L286))</f>
        <v>0</v>
      </c>
      <c r="Q286" s="59">
        <f>IF(D286=0,0,SUM($J$264:J286))</f>
        <v>0</v>
      </c>
      <c r="R286" s="63">
        <f t="shared" si="80"/>
        <v>0</v>
      </c>
      <c r="S286" s="64">
        <f t="shared" si="86"/>
        <v>0</v>
      </c>
      <c r="T286" s="78"/>
      <c r="U286" s="59">
        <f>IF(D286=0,0,SUM($L$21:L286))</f>
        <v>0</v>
      </c>
      <c r="V286" s="59">
        <f>IF(D286=0,0,SUM($J$21:J286))</f>
        <v>0</v>
      </c>
      <c r="W286" s="66">
        <f t="shared" si="81"/>
        <v>0</v>
      </c>
      <c r="X286" s="67">
        <f t="shared" si="87"/>
        <v>0</v>
      </c>
      <c r="Y286" s="68">
        <f t="shared" si="88"/>
        <v>45923</v>
      </c>
      <c r="Z286" s="69">
        <f t="shared" si="88"/>
        <v>45923</v>
      </c>
      <c r="AA286" s="1"/>
      <c r="AB286" s="1"/>
      <c r="AC286" s="1"/>
      <c r="AD286" s="1"/>
      <c r="AE286" s="1"/>
      <c r="AF286" s="1"/>
      <c r="AG286" s="1"/>
    </row>
    <row r="287" spans="1:33" ht="20">
      <c r="A287" s="1"/>
      <c r="B287" s="11"/>
      <c r="C287" s="50">
        <v>267</v>
      </c>
      <c r="D287" s="51">
        <v>1</v>
      </c>
      <c r="E287" s="52">
        <f t="shared" si="82"/>
        <v>9</v>
      </c>
      <c r="F287" s="53">
        <f t="shared" si="83"/>
        <v>45924</v>
      </c>
      <c r="G287" s="54" t="str">
        <f t="shared" si="84"/>
        <v>Wed</v>
      </c>
      <c r="H287" s="55"/>
      <c r="I287" s="56"/>
      <c r="J287" s="82">
        <v>216150</v>
      </c>
      <c r="K287" s="83"/>
      <c r="L287" s="59">
        <f t="shared" si="85"/>
        <v>111235.83399404859</v>
      </c>
      <c r="M287" s="60">
        <f t="shared" si="79"/>
        <v>104914.16600595141</v>
      </c>
      <c r="N287" s="61">
        <f t="shared" si="78"/>
        <v>1.9431687814878487</v>
      </c>
      <c r="O287" s="80"/>
      <c r="P287" s="59">
        <f>IF(D287=0,0,SUM($L$264:L287))</f>
        <v>2474238.5511527006</v>
      </c>
      <c r="Q287" s="59">
        <f>IF(D287=0,0,SUM($J$264:J287))</f>
        <v>3080040</v>
      </c>
      <c r="R287" s="63">
        <f t="shared" si="80"/>
        <v>605801.44884729944</v>
      </c>
      <c r="S287" s="64">
        <f t="shared" si="86"/>
        <v>1.2448435897844483</v>
      </c>
      <c r="T287" s="73"/>
      <c r="U287" s="59">
        <f>IF(D287=0,0,SUM($L$21:L287))</f>
        <v>46839501.70904737</v>
      </c>
      <c r="V287" s="59">
        <f>IF(D287=0,0,SUM($J$21:J287))</f>
        <v>48276080</v>
      </c>
      <c r="W287" s="66">
        <f t="shared" si="81"/>
        <v>1436578.2909526303</v>
      </c>
      <c r="X287" s="67">
        <f t="shared" si="87"/>
        <v>1.0306702300096233</v>
      </c>
      <c r="Y287" s="68">
        <f t="shared" si="88"/>
        <v>45924</v>
      </c>
      <c r="Z287" s="69">
        <f t="shared" si="88"/>
        <v>45924</v>
      </c>
      <c r="AA287" s="1"/>
      <c r="AB287" s="1"/>
      <c r="AC287" s="1"/>
      <c r="AD287" s="1"/>
      <c r="AE287" s="1"/>
      <c r="AF287" s="1"/>
      <c r="AG287" s="1"/>
    </row>
    <row r="288" spans="1:33" ht="20">
      <c r="A288" s="1"/>
      <c r="B288" s="11"/>
      <c r="C288" s="50">
        <v>268</v>
      </c>
      <c r="D288" s="51">
        <v>1</v>
      </c>
      <c r="E288" s="52">
        <f t="shared" si="82"/>
        <v>9</v>
      </c>
      <c r="F288" s="53">
        <f t="shared" si="83"/>
        <v>45925</v>
      </c>
      <c r="G288" s="54" t="str">
        <f t="shared" si="84"/>
        <v>Thu</v>
      </c>
      <c r="H288" s="55"/>
      <c r="I288" s="56"/>
      <c r="J288" s="82">
        <v>222630</v>
      </c>
      <c r="K288" s="83"/>
      <c r="L288" s="59">
        <f t="shared" si="85"/>
        <v>125374.89828542268</v>
      </c>
      <c r="M288" s="60">
        <f t="shared" si="79"/>
        <v>97255.101714577322</v>
      </c>
      <c r="N288" s="61">
        <f t="shared" si="78"/>
        <v>1.7757143020221708</v>
      </c>
      <c r="O288" s="80"/>
      <c r="P288" s="59">
        <f>IF(D288=0,0,SUM($L$264:L288))</f>
        <v>2599613.449438123</v>
      </c>
      <c r="Q288" s="59">
        <f>IF(D288=0,0,SUM($J$264:J288))</f>
        <v>3302670</v>
      </c>
      <c r="R288" s="63">
        <f t="shared" si="80"/>
        <v>703056.55056187697</v>
      </c>
      <c r="S288" s="64">
        <f t="shared" si="86"/>
        <v>1.270446573783435</v>
      </c>
      <c r="T288" s="73"/>
      <c r="U288" s="59">
        <f>IF(D288=0,0,SUM($L$21:L288))</f>
        <v>46964876.607332796</v>
      </c>
      <c r="V288" s="59">
        <f>IF(D288=0,0,SUM($J$21:J288))</f>
        <v>48498710</v>
      </c>
      <c r="W288" s="66">
        <f t="shared" si="81"/>
        <v>1533833.3926672041</v>
      </c>
      <c r="X288" s="67">
        <f t="shared" si="87"/>
        <v>1.0326591594286809</v>
      </c>
      <c r="Y288" s="68">
        <f t="shared" si="88"/>
        <v>45925</v>
      </c>
      <c r="Z288" s="69">
        <f t="shared" si="88"/>
        <v>45925</v>
      </c>
      <c r="AA288" s="1"/>
      <c r="AB288" s="1"/>
      <c r="AC288" s="1"/>
      <c r="AD288" s="1"/>
      <c r="AE288" s="1"/>
      <c r="AF288" s="1"/>
      <c r="AG288" s="1"/>
    </row>
    <row r="289" spans="1:33" ht="20">
      <c r="A289" s="1"/>
      <c r="B289" s="11"/>
      <c r="C289" s="50">
        <v>269</v>
      </c>
      <c r="D289" s="51">
        <v>1</v>
      </c>
      <c r="E289" s="52">
        <f t="shared" si="82"/>
        <v>9</v>
      </c>
      <c r="F289" s="53">
        <f t="shared" si="83"/>
        <v>45926</v>
      </c>
      <c r="G289" s="54" t="str">
        <f t="shared" si="84"/>
        <v>Fri</v>
      </c>
      <c r="H289" s="55"/>
      <c r="I289" s="56"/>
      <c r="J289" s="82">
        <v>186150</v>
      </c>
      <c r="K289" s="83"/>
      <c r="L289" s="59">
        <f t="shared" si="85"/>
        <v>186257.3604973203</v>
      </c>
      <c r="M289" s="60">
        <f t="shared" si="79"/>
        <v>-107.36049732030369</v>
      </c>
      <c r="N289" s="61">
        <f t="shared" si="78"/>
        <v>0.99942359057900509</v>
      </c>
      <c r="O289" s="80"/>
      <c r="P289" s="59">
        <f>IF(D289=0,0,SUM($L$264:L289))</f>
        <v>2785870.8099354431</v>
      </c>
      <c r="Q289" s="59">
        <f>IF(D289=0,0,SUM($J$264:J289))</f>
        <v>3488820</v>
      </c>
      <c r="R289" s="63">
        <f t="shared" si="80"/>
        <v>702949.1900645569</v>
      </c>
      <c r="S289" s="64">
        <f t="shared" si="86"/>
        <v>1.2523265571244657</v>
      </c>
      <c r="T289" s="73"/>
      <c r="U289" s="59">
        <f>IF(D289=0,0,SUM($L$21:L289))</f>
        <v>47151133.967830114</v>
      </c>
      <c r="V289" s="59">
        <f>IF(D289=0,0,SUM($J$21:J289))</f>
        <v>48684860</v>
      </c>
      <c r="W289" s="66">
        <f t="shared" si="81"/>
        <v>1533726.0321698859</v>
      </c>
      <c r="X289" s="67">
        <f t="shared" si="87"/>
        <v>1.0325278716142077</v>
      </c>
      <c r="Y289" s="68">
        <f t="shared" si="88"/>
        <v>45926</v>
      </c>
      <c r="Z289" s="69">
        <f t="shared" si="88"/>
        <v>45926</v>
      </c>
      <c r="AA289" s="1"/>
      <c r="AB289" s="1"/>
      <c r="AC289" s="1"/>
      <c r="AD289" s="1"/>
      <c r="AE289" s="1"/>
      <c r="AF289" s="1"/>
      <c r="AG289" s="1"/>
    </row>
    <row r="290" spans="1:33" ht="20">
      <c r="A290" s="1"/>
      <c r="B290" s="11"/>
      <c r="C290" s="50">
        <v>270</v>
      </c>
      <c r="D290" s="51">
        <v>0</v>
      </c>
      <c r="E290" s="52">
        <f t="shared" si="82"/>
        <v>9</v>
      </c>
      <c r="F290" s="53">
        <f t="shared" si="83"/>
        <v>45927</v>
      </c>
      <c r="G290" s="54" t="str">
        <f t="shared" si="84"/>
        <v>Sat</v>
      </c>
      <c r="H290" s="55"/>
      <c r="I290" s="56"/>
      <c r="J290" s="82"/>
      <c r="K290" s="83"/>
      <c r="L290" s="59">
        <f t="shared" si="85"/>
        <v>0</v>
      </c>
      <c r="M290" s="60">
        <f t="shared" si="79"/>
        <v>0</v>
      </c>
      <c r="N290" s="61" t="str">
        <f t="shared" si="78"/>
        <v>¥0</v>
      </c>
      <c r="O290" s="80"/>
      <c r="P290" s="59">
        <f>IF(D290=0,0,SUM($L$264:L290))</f>
        <v>0</v>
      </c>
      <c r="Q290" s="59">
        <f>IF(D290=0,0,SUM($J$264:J290))</f>
        <v>0</v>
      </c>
      <c r="R290" s="63">
        <f t="shared" si="80"/>
        <v>0</v>
      </c>
      <c r="S290" s="64">
        <f t="shared" si="86"/>
        <v>0</v>
      </c>
      <c r="T290" s="73"/>
      <c r="U290" s="59">
        <f>IF(D290=0,0,SUM($L$21:L290))</f>
        <v>0</v>
      </c>
      <c r="V290" s="59">
        <f>IF(D290=0,0,SUM($J$21:J290))</f>
        <v>0</v>
      </c>
      <c r="W290" s="66">
        <f t="shared" si="81"/>
        <v>0</v>
      </c>
      <c r="X290" s="67">
        <f t="shared" si="87"/>
        <v>0</v>
      </c>
      <c r="Y290" s="68">
        <f t="shared" si="88"/>
        <v>45927</v>
      </c>
      <c r="Z290" s="69">
        <f t="shared" si="88"/>
        <v>45927</v>
      </c>
      <c r="AA290" s="1"/>
      <c r="AB290" s="1"/>
      <c r="AC290" s="1"/>
      <c r="AD290" s="1"/>
      <c r="AE290" s="1"/>
      <c r="AF290" s="1"/>
      <c r="AG290" s="1"/>
    </row>
    <row r="291" spans="1:33" ht="20">
      <c r="A291" s="1"/>
      <c r="B291" s="11"/>
      <c r="C291" s="50">
        <v>271</v>
      </c>
      <c r="D291" s="51">
        <v>0</v>
      </c>
      <c r="E291" s="52">
        <f t="shared" si="82"/>
        <v>9</v>
      </c>
      <c r="F291" s="53">
        <f t="shared" si="83"/>
        <v>45928</v>
      </c>
      <c r="G291" s="54" t="str">
        <f t="shared" si="84"/>
        <v>Sun</v>
      </c>
      <c r="H291" s="55"/>
      <c r="I291" s="56"/>
      <c r="J291" s="82"/>
      <c r="K291" s="83"/>
      <c r="L291" s="59">
        <f t="shared" si="85"/>
        <v>0</v>
      </c>
      <c r="M291" s="60">
        <f t="shared" si="79"/>
        <v>0</v>
      </c>
      <c r="N291" s="61" t="str">
        <f t="shared" si="78"/>
        <v>¥0</v>
      </c>
      <c r="O291" s="81"/>
      <c r="P291" s="59">
        <f>IF(D291=0,0,SUM($L$264:L291))</f>
        <v>0</v>
      </c>
      <c r="Q291" s="59">
        <f>IF(D291=0,0,SUM($J$264:J291))</f>
        <v>0</v>
      </c>
      <c r="R291" s="63">
        <f t="shared" si="80"/>
        <v>0</v>
      </c>
      <c r="S291" s="64">
        <f t="shared" si="86"/>
        <v>0</v>
      </c>
      <c r="T291" s="78"/>
      <c r="U291" s="59">
        <f>IF(D291=0,0,SUM($L$21:L291))</f>
        <v>0</v>
      </c>
      <c r="V291" s="59">
        <f>IF(D291=0,0,SUM($J$21:J291))</f>
        <v>0</v>
      </c>
      <c r="W291" s="66">
        <f t="shared" si="81"/>
        <v>0</v>
      </c>
      <c r="X291" s="67">
        <f t="shared" si="87"/>
        <v>0</v>
      </c>
      <c r="Y291" s="68">
        <f t="shared" si="88"/>
        <v>45928</v>
      </c>
      <c r="Z291" s="69">
        <f t="shared" si="88"/>
        <v>45928</v>
      </c>
      <c r="AA291" s="1"/>
      <c r="AB291" s="1"/>
      <c r="AC291" s="1"/>
      <c r="AD291" s="1"/>
      <c r="AE291" s="1"/>
      <c r="AF291" s="1"/>
      <c r="AG291" s="1"/>
    </row>
    <row r="292" spans="1:33" ht="20">
      <c r="A292" s="1"/>
      <c r="B292" s="11"/>
      <c r="C292" s="50">
        <v>272</v>
      </c>
      <c r="D292" s="51">
        <v>1</v>
      </c>
      <c r="E292" s="52">
        <f t="shared" si="82"/>
        <v>9</v>
      </c>
      <c r="F292" s="53">
        <f t="shared" si="83"/>
        <v>45929</v>
      </c>
      <c r="G292" s="54" t="str">
        <f t="shared" si="84"/>
        <v>Mon</v>
      </c>
      <c r="H292" s="55"/>
      <c r="I292" s="56"/>
      <c r="J292" s="82">
        <v>256950</v>
      </c>
      <c r="K292" s="83"/>
      <c r="L292" s="59">
        <f t="shared" si="85"/>
        <v>99738.17970501013</v>
      </c>
      <c r="M292" s="60">
        <f t="shared" si="79"/>
        <v>157211.82029498986</v>
      </c>
      <c r="N292" s="61">
        <f t="shared" si="78"/>
        <v>2.5762451326058509</v>
      </c>
      <c r="O292" s="80"/>
      <c r="P292" s="59">
        <f>IF(D292=0,0,SUM($L$264:L292))</f>
        <v>2885608.9896404534</v>
      </c>
      <c r="Q292" s="59">
        <f>IF(D292=0,0,SUM($J$264:J292))</f>
        <v>3745770</v>
      </c>
      <c r="R292" s="63">
        <f t="shared" si="80"/>
        <v>860161.01035954664</v>
      </c>
      <c r="S292" s="64">
        <f t="shared" si="86"/>
        <v>1.2980864744487515</v>
      </c>
      <c r="T292" s="73"/>
      <c r="U292" s="59">
        <f>IF(D292=0,0,SUM($L$21:L292))</f>
        <v>47250872.147535123</v>
      </c>
      <c r="V292" s="59">
        <f>IF(D292=0,0,SUM($J$21:J292))</f>
        <v>48941810</v>
      </c>
      <c r="W292" s="66">
        <f t="shared" si="81"/>
        <v>1690937.8524648771</v>
      </c>
      <c r="X292" s="67">
        <f t="shared" si="87"/>
        <v>1.035786383946208</v>
      </c>
      <c r="Y292" s="68">
        <f t="shared" si="88"/>
        <v>45929</v>
      </c>
      <c r="Z292" s="69">
        <f t="shared" si="88"/>
        <v>45929</v>
      </c>
      <c r="AA292" s="1"/>
      <c r="AB292" s="1"/>
      <c r="AC292" s="1"/>
      <c r="AD292" s="1"/>
      <c r="AE292" s="1"/>
      <c r="AF292" s="1"/>
      <c r="AG292" s="1"/>
    </row>
    <row r="293" spans="1:33" ht="21" thickBot="1">
      <c r="A293" s="1"/>
      <c r="B293" s="11"/>
      <c r="C293" s="100">
        <v>273</v>
      </c>
      <c r="D293" s="85">
        <v>1</v>
      </c>
      <c r="E293" s="501">
        <f t="shared" si="82"/>
        <v>9</v>
      </c>
      <c r="F293" s="101">
        <f t="shared" si="83"/>
        <v>45930</v>
      </c>
      <c r="G293" s="87" t="str">
        <f t="shared" si="84"/>
        <v>Tue</v>
      </c>
      <c r="H293" s="508"/>
      <c r="I293" s="502"/>
      <c r="J293" s="102">
        <v>212150</v>
      </c>
      <c r="K293" s="503"/>
      <c r="L293" s="534">
        <f t="shared" si="85"/>
        <v>164917.32614901999</v>
      </c>
      <c r="M293" s="91">
        <f t="shared" si="79"/>
        <v>47232.673850980005</v>
      </c>
      <c r="N293" s="92">
        <f t="shared" si="78"/>
        <v>1.2864021322313968</v>
      </c>
      <c r="O293" s="504"/>
      <c r="P293" s="104">
        <f>IF(D293=0,0,SUM($L$264:L293))</f>
        <v>3050526.3157894732</v>
      </c>
      <c r="Q293" s="103">
        <f>IF(D293=0,0,SUM($J$264:J293))</f>
        <v>3957920</v>
      </c>
      <c r="R293" s="105">
        <f t="shared" si="80"/>
        <v>907393.68421052676</v>
      </c>
      <c r="S293" s="505">
        <f t="shared" si="86"/>
        <v>1.2974547964113183</v>
      </c>
      <c r="T293" s="506"/>
      <c r="U293" s="94">
        <f>IF(D293=0,0,SUM($L$21:L293))</f>
        <v>47415789.47368414</v>
      </c>
      <c r="V293" s="94">
        <f>IF(D293=0,0,SUM($J$21:J293))</f>
        <v>49153960</v>
      </c>
      <c r="W293" s="95">
        <f t="shared" si="81"/>
        <v>1738170.5263158605</v>
      </c>
      <c r="X293" s="507">
        <f t="shared" si="87"/>
        <v>1.0366580530580547</v>
      </c>
      <c r="Y293" s="68">
        <f t="shared" si="88"/>
        <v>45930</v>
      </c>
      <c r="Z293" s="69">
        <f t="shared" si="88"/>
        <v>45930</v>
      </c>
      <c r="AA293" s="1"/>
      <c r="AB293" s="1"/>
      <c r="AC293" s="1"/>
      <c r="AD293" s="1"/>
      <c r="AE293" s="1"/>
      <c r="AF293" s="1"/>
      <c r="AG293" s="1"/>
    </row>
    <row r="294" spans="1:33" ht="21" thickTop="1">
      <c r="A294" s="1"/>
      <c r="B294" s="11"/>
      <c r="C294" s="50">
        <v>274</v>
      </c>
      <c r="D294" s="96">
        <v>1</v>
      </c>
      <c r="E294" s="52">
        <f t="shared" si="82"/>
        <v>10</v>
      </c>
      <c r="F294" s="53">
        <f t="shared" si="83"/>
        <v>45931</v>
      </c>
      <c r="G294" s="54" t="str">
        <f t="shared" si="84"/>
        <v>Wed</v>
      </c>
      <c r="H294" s="55"/>
      <c r="I294" s="56"/>
      <c r="J294" s="82">
        <v>126350</v>
      </c>
      <c r="K294" s="83"/>
      <c r="L294" s="59">
        <f t="shared" si="85"/>
        <v>198827.97557710868</v>
      </c>
      <c r="M294" s="63">
        <f t="shared" si="79"/>
        <v>-72477.975577108678</v>
      </c>
      <c r="N294" s="97">
        <f t="shared" si="78"/>
        <v>0.63547395497672032</v>
      </c>
      <c r="O294" s="80"/>
      <c r="P294" s="59">
        <f>IF(D294=0,0,$L$294)</f>
        <v>198827.97557710868</v>
      </c>
      <c r="Q294" s="59">
        <f>IF(D294=0,0,$J$294)</f>
        <v>126350</v>
      </c>
      <c r="R294" s="63">
        <f t="shared" si="80"/>
        <v>-72477.975577108678</v>
      </c>
      <c r="S294" s="499">
        <f t="shared" si="86"/>
        <v>0.63547395497672032</v>
      </c>
      <c r="T294" s="73"/>
      <c r="U294" s="59">
        <f>IF(D294=0,0,SUM($L$21:L294))</f>
        <v>47614617.449261248</v>
      </c>
      <c r="V294" s="59">
        <f>IF(D294=0,0,SUM($J$21:J294))</f>
        <v>49280310</v>
      </c>
      <c r="W294" s="66">
        <f t="shared" si="81"/>
        <v>1665692.5507387519</v>
      </c>
      <c r="X294" s="500">
        <f t="shared" si="87"/>
        <v>1.0349827981399564</v>
      </c>
      <c r="Y294" s="68">
        <f t="shared" si="88"/>
        <v>45931</v>
      </c>
      <c r="Z294" s="69">
        <f t="shared" si="88"/>
        <v>45931</v>
      </c>
      <c r="AA294" s="1"/>
      <c r="AB294" s="1"/>
      <c r="AC294" s="1"/>
      <c r="AD294" s="1"/>
      <c r="AE294" s="1"/>
      <c r="AF294" s="1"/>
      <c r="AG294" s="1"/>
    </row>
    <row r="295" spans="1:33" ht="20">
      <c r="A295" s="1"/>
      <c r="B295" s="11"/>
      <c r="C295" s="50">
        <v>275</v>
      </c>
      <c r="D295" s="51">
        <v>1</v>
      </c>
      <c r="E295" s="52">
        <f t="shared" si="82"/>
        <v>10</v>
      </c>
      <c r="F295" s="53">
        <f t="shared" si="83"/>
        <v>45932</v>
      </c>
      <c r="G295" s="54" t="str">
        <f t="shared" si="84"/>
        <v>Thu</v>
      </c>
      <c r="H295" s="55"/>
      <c r="I295" s="56"/>
      <c r="J295" s="82">
        <v>104950</v>
      </c>
      <c r="K295" s="83"/>
      <c r="L295" s="59">
        <f t="shared" si="85"/>
        <v>231857.03538446798</v>
      </c>
      <c r="M295" s="60">
        <f t="shared" si="79"/>
        <v>-126907.03538446798</v>
      </c>
      <c r="N295" s="61">
        <f t="shared" si="78"/>
        <v>0.45264962448075263</v>
      </c>
      <c r="O295" s="80"/>
      <c r="P295" s="59">
        <f>IF(D295=0,0,SUM($L$294:L295))</f>
        <v>430685.01096157666</v>
      </c>
      <c r="Q295" s="59">
        <f>IF(D295=0,0,SUM($J$294:J295))</f>
        <v>231300</v>
      </c>
      <c r="R295" s="63">
        <f t="shared" si="80"/>
        <v>-199385.01096157666</v>
      </c>
      <c r="S295" s="64">
        <f t="shared" si="86"/>
        <v>0.53705142763985192</v>
      </c>
      <c r="T295" s="73"/>
      <c r="U295" s="59">
        <f>IF(D295=0,0,SUM($L$21:L295))</f>
        <v>47846474.484645717</v>
      </c>
      <c r="V295" s="59">
        <f>IF(D295=0,0,SUM($J$21:J295))</f>
        <v>49385260</v>
      </c>
      <c r="W295" s="66">
        <f t="shared" si="81"/>
        <v>1538785.5153542832</v>
      </c>
      <c r="X295" s="67">
        <f t="shared" si="87"/>
        <v>1.0321608965326816</v>
      </c>
      <c r="Y295" s="68">
        <f t="shared" ref="Y295:Z310" si="89">Y294+1</f>
        <v>45932</v>
      </c>
      <c r="Z295" s="69">
        <f t="shared" si="89"/>
        <v>45932</v>
      </c>
      <c r="AA295" s="1"/>
      <c r="AB295" s="1"/>
      <c r="AC295" s="1"/>
      <c r="AD295" s="1"/>
      <c r="AE295" s="1"/>
      <c r="AF295" s="1"/>
      <c r="AG295" s="1"/>
    </row>
    <row r="296" spans="1:33" ht="20">
      <c r="A296" s="1"/>
      <c r="B296" s="11"/>
      <c r="C296" s="50">
        <v>276</v>
      </c>
      <c r="D296" s="51">
        <v>1</v>
      </c>
      <c r="E296" s="52">
        <f t="shared" si="82"/>
        <v>10</v>
      </c>
      <c r="F296" s="53">
        <f t="shared" si="83"/>
        <v>45933</v>
      </c>
      <c r="G296" s="54" t="str">
        <f t="shared" si="84"/>
        <v>Fri</v>
      </c>
      <c r="H296" s="55"/>
      <c r="I296" s="56"/>
      <c r="J296" s="82">
        <v>241350</v>
      </c>
      <c r="K296" s="83"/>
      <c r="L296" s="59">
        <f t="shared" si="85"/>
        <v>186910.17759734325</v>
      </c>
      <c r="M296" s="60">
        <f t="shared" si="79"/>
        <v>54439.822402656748</v>
      </c>
      <c r="N296" s="61">
        <f t="shared" si="78"/>
        <v>1.2912619478642589</v>
      </c>
      <c r="O296" s="80"/>
      <c r="P296" s="59">
        <f>IF(D296=0,0,SUM($L$294:L296))</f>
        <v>617595.18855891994</v>
      </c>
      <c r="Q296" s="59">
        <f>IF(D296=0,0,SUM($J$294:J296))</f>
        <v>472650</v>
      </c>
      <c r="R296" s="63">
        <f t="shared" si="80"/>
        <v>-144945.18855891994</v>
      </c>
      <c r="S296" s="64">
        <f t="shared" si="86"/>
        <v>0.76530712796333278</v>
      </c>
      <c r="T296" s="73"/>
      <c r="U296" s="59">
        <f>IF(D296=0,0,SUM($L$21:L296))</f>
        <v>48033384.662243061</v>
      </c>
      <c r="V296" s="59">
        <f>IF(D296=0,0,SUM($J$21:J296))</f>
        <v>49626610</v>
      </c>
      <c r="W296" s="66">
        <f t="shared" si="81"/>
        <v>1593225.3377569392</v>
      </c>
      <c r="X296" s="67">
        <f t="shared" si="87"/>
        <v>1.033169124952573</v>
      </c>
      <c r="Y296" s="68">
        <f t="shared" si="89"/>
        <v>45933</v>
      </c>
      <c r="Z296" s="69">
        <f t="shared" si="89"/>
        <v>45933</v>
      </c>
      <c r="AA296" s="1"/>
      <c r="AB296" s="1"/>
      <c r="AC296" s="1"/>
      <c r="AD296" s="1"/>
      <c r="AE296" s="1"/>
      <c r="AF296" s="1"/>
      <c r="AG296" s="1"/>
    </row>
    <row r="297" spans="1:33" ht="20">
      <c r="A297" s="1"/>
      <c r="B297" s="11"/>
      <c r="C297" s="50">
        <v>277</v>
      </c>
      <c r="D297" s="51">
        <v>1</v>
      </c>
      <c r="E297" s="52">
        <f t="shared" si="82"/>
        <v>10</v>
      </c>
      <c r="F297" s="53">
        <f t="shared" si="83"/>
        <v>45934</v>
      </c>
      <c r="G297" s="54" t="str">
        <f t="shared" si="84"/>
        <v>Sat</v>
      </c>
      <c r="H297" s="55"/>
      <c r="I297" s="56"/>
      <c r="J297" s="82">
        <v>124450</v>
      </c>
      <c r="K297" s="83"/>
      <c r="L297" s="59">
        <f t="shared" si="85"/>
        <v>126898.94384040481</v>
      </c>
      <c r="M297" s="60">
        <f t="shared" si="79"/>
        <v>-2448.9438404048124</v>
      </c>
      <c r="N297" s="61">
        <f t="shared" si="78"/>
        <v>0.98070162157153384</v>
      </c>
      <c r="O297" s="80"/>
      <c r="P297" s="59">
        <f>IF(D297=0,0,SUM($L$294:L297))</f>
        <v>744494.13239932479</v>
      </c>
      <c r="Q297" s="59">
        <f>IF(D297=0,0,SUM($J$294:J297))</f>
        <v>597100</v>
      </c>
      <c r="R297" s="63">
        <f t="shared" si="80"/>
        <v>-147394.13239932479</v>
      </c>
      <c r="S297" s="64">
        <f t="shared" si="86"/>
        <v>0.80202109595637905</v>
      </c>
      <c r="T297" s="73"/>
      <c r="U297" s="59">
        <f>IF(D297=0,0,SUM($L$21:L297))</f>
        <v>48160283.606083468</v>
      </c>
      <c r="V297" s="59">
        <f>IF(D297=0,0,SUM($J$21:J297))</f>
        <v>49751060</v>
      </c>
      <c r="W297" s="66">
        <f t="shared" si="81"/>
        <v>1590776.3939165324</v>
      </c>
      <c r="X297" s="67">
        <f t="shared" si="87"/>
        <v>1.0330308767890144</v>
      </c>
      <c r="Y297" s="68">
        <f t="shared" si="89"/>
        <v>45934</v>
      </c>
      <c r="Z297" s="69">
        <f t="shared" si="89"/>
        <v>45934</v>
      </c>
      <c r="AA297" s="1"/>
      <c r="AB297" s="1"/>
      <c r="AC297" s="1"/>
      <c r="AD297" s="1"/>
      <c r="AE297" s="1"/>
      <c r="AF297" s="1"/>
      <c r="AG297" s="1"/>
    </row>
    <row r="298" spans="1:33" ht="20">
      <c r="A298" s="1"/>
      <c r="B298" s="11"/>
      <c r="C298" s="50">
        <v>278</v>
      </c>
      <c r="D298" s="51">
        <v>0</v>
      </c>
      <c r="E298" s="52">
        <f t="shared" si="82"/>
        <v>10</v>
      </c>
      <c r="F298" s="53">
        <f t="shared" si="83"/>
        <v>45935</v>
      </c>
      <c r="G298" s="54" t="str">
        <f t="shared" si="84"/>
        <v>Sun</v>
      </c>
      <c r="H298" s="55"/>
      <c r="I298" s="56"/>
      <c r="J298" s="82"/>
      <c r="K298" s="83"/>
      <c r="L298" s="59">
        <f t="shared" si="85"/>
        <v>0</v>
      </c>
      <c r="M298" s="60">
        <f t="shared" si="79"/>
        <v>0</v>
      </c>
      <c r="N298" s="61" t="str">
        <f t="shared" si="78"/>
        <v>¥0</v>
      </c>
      <c r="O298" s="81"/>
      <c r="P298" s="59">
        <f>IF(D298=0,0,SUM($L$294:L298))</f>
        <v>0</v>
      </c>
      <c r="Q298" s="59">
        <f>IF(D298=0,0,SUM($J$294:J298))</f>
        <v>0</v>
      </c>
      <c r="R298" s="63">
        <f t="shared" si="80"/>
        <v>0</v>
      </c>
      <c r="S298" s="64">
        <f t="shared" si="86"/>
        <v>0</v>
      </c>
      <c r="T298" s="78"/>
      <c r="U298" s="59">
        <f>IF(D298=0,0,SUM($L$21:L298))</f>
        <v>0</v>
      </c>
      <c r="V298" s="59">
        <f>IF(D298=0,0,SUM($J$21:J298))</f>
        <v>0</v>
      </c>
      <c r="W298" s="66">
        <f t="shared" si="81"/>
        <v>0</v>
      </c>
      <c r="X298" s="67">
        <f t="shared" si="87"/>
        <v>0</v>
      </c>
      <c r="Y298" s="68">
        <f t="shared" si="89"/>
        <v>45935</v>
      </c>
      <c r="Z298" s="69">
        <f t="shared" si="89"/>
        <v>45935</v>
      </c>
      <c r="AA298" s="1"/>
      <c r="AB298" s="1"/>
      <c r="AC298" s="1"/>
      <c r="AD298" s="1"/>
      <c r="AE298" s="1"/>
      <c r="AF298" s="1"/>
      <c r="AG298" s="1"/>
    </row>
    <row r="299" spans="1:33" ht="20">
      <c r="A299" s="1"/>
      <c r="B299" s="11"/>
      <c r="C299" s="50">
        <v>279</v>
      </c>
      <c r="D299" s="51">
        <v>1</v>
      </c>
      <c r="E299" s="52">
        <f t="shared" si="82"/>
        <v>10</v>
      </c>
      <c r="F299" s="53">
        <f t="shared" si="83"/>
        <v>45936</v>
      </c>
      <c r="G299" s="54" t="str">
        <f t="shared" si="84"/>
        <v>Mon</v>
      </c>
      <c r="H299" s="55"/>
      <c r="I299" s="56"/>
      <c r="J299" s="82">
        <v>89800</v>
      </c>
      <c r="K299" s="83"/>
      <c r="L299" s="59">
        <f t="shared" si="85"/>
        <v>218508.48092848598</v>
      </c>
      <c r="M299" s="60">
        <f t="shared" si="79"/>
        <v>-128708.48092848598</v>
      </c>
      <c r="N299" s="61">
        <f t="shared" si="78"/>
        <v>0.41096803024954431</v>
      </c>
      <c r="O299" s="80"/>
      <c r="P299" s="59">
        <f>IF(D299=0,0,SUM($L$294:L299))</f>
        <v>963002.61332781077</v>
      </c>
      <c r="Q299" s="59">
        <f>IF(D299=0,0,SUM($J$294:J299))</f>
        <v>686900</v>
      </c>
      <c r="R299" s="63">
        <f t="shared" si="80"/>
        <v>-276102.61332781077</v>
      </c>
      <c r="S299" s="64">
        <f t="shared" si="86"/>
        <v>0.71328986078896117</v>
      </c>
      <c r="T299" s="73"/>
      <c r="U299" s="59">
        <f>IF(D299=0,0,SUM($L$21:L299))</f>
        <v>48378792.087011956</v>
      </c>
      <c r="V299" s="59">
        <f>IF(D299=0,0,SUM($J$21:J299))</f>
        <v>49840860</v>
      </c>
      <c r="W299" s="66">
        <f t="shared" si="81"/>
        <v>1462067.9129880443</v>
      </c>
      <c r="X299" s="67">
        <f t="shared" si="87"/>
        <v>1.0302212570822031</v>
      </c>
      <c r="Y299" s="68">
        <f t="shared" si="89"/>
        <v>45936</v>
      </c>
      <c r="Z299" s="69">
        <f t="shared" si="89"/>
        <v>45936</v>
      </c>
      <c r="AA299" s="1"/>
      <c r="AB299" s="1"/>
      <c r="AC299" s="1"/>
      <c r="AD299" s="1"/>
      <c r="AE299" s="1"/>
      <c r="AF299" s="1"/>
      <c r="AG299" s="1"/>
    </row>
    <row r="300" spans="1:33" ht="20">
      <c r="A300" s="1"/>
      <c r="B300" s="11"/>
      <c r="C300" s="50">
        <v>280</v>
      </c>
      <c r="D300" s="51">
        <v>1</v>
      </c>
      <c r="E300" s="52">
        <f t="shared" si="82"/>
        <v>10</v>
      </c>
      <c r="F300" s="53">
        <f t="shared" si="83"/>
        <v>45937</v>
      </c>
      <c r="G300" s="54" t="str">
        <f t="shared" si="84"/>
        <v>Tue</v>
      </c>
      <c r="H300" s="55"/>
      <c r="I300" s="56"/>
      <c r="J300" s="82">
        <v>157350</v>
      </c>
      <c r="K300" s="83"/>
      <c r="L300" s="59">
        <f t="shared" si="85"/>
        <v>230383.60450142281</v>
      </c>
      <c r="M300" s="60">
        <f t="shared" si="79"/>
        <v>-73033.604501422815</v>
      </c>
      <c r="N300" s="61">
        <f t="shared" si="78"/>
        <v>0.68299131069037611</v>
      </c>
      <c r="O300" s="80"/>
      <c r="P300" s="59">
        <f>IF(D300=0,0,SUM($L$294:L300))</f>
        <v>1193386.2178292335</v>
      </c>
      <c r="Q300" s="59">
        <f>IF(D300=0,0,SUM($J$294:J300))</f>
        <v>844250</v>
      </c>
      <c r="R300" s="63">
        <f t="shared" si="80"/>
        <v>-349136.2178292335</v>
      </c>
      <c r="S300" s="64">
        <f t="shared" si="86"/>
        <v>0.70744071566008915</v>
      </c>
      <c r="T300" s="73"/>
      <c r="U300" s="59">
        <f>IF(D300=0,0,SUM($L$21:L300))</f>
        <v>48609175.691513382</v>
      </c>
      <c r="V300" s="59">
        <f>IF(D300=0,0,SUM($J$21:J300))</f>
        <v>49998210</v>
      </c>
      <c r="W300" s="66">
        <f t="shared" si="81"/>
        <v>1389034.3084866181</v>
      </c>
      <c r="X300" s="67">
        <f t="shared" si="87"/>
        <v>1.0285755577774409</v>
      </c>
      <c r="Y300" s="68">
        <f t="shared" si="89"/>
        <v>45937</v>
      </c>
      <c r="Z300" s="69">
        <f t="shared" si="89"/>
        <v>45937</v>
      </c>
      <c r="AA300" s="1"/>
      <c r="AB300" s="1"/>
      <c r="AC300" s="1"/>
      <c r="AD300" s="1"/>
      <c r="AE300" s="1"/>
      <c r="AF300" s="1"/>
      <c r="AG300" s="1"/>
    </row>
    <row r="301" spans="1:33" ht="20">
      <c r="A301" s="1"/>
      <c r="B301" s="11"/>
      <c r="C301" s="50">
        <v>281</v>
      </c>
      <c r="D301" s="51">
        <v>1</v>
      </c>
      <c r="E301" s="52">
        <f t="shared" si="82"/>
        <v>10</v>
      </c>
      <c r="F301" s="53">
        <f t="shared" si="83"/>
        <v>45938</v>
      </c>
      <c r="G301" s="54" t="str">
        <f t="shared" si="84"/>
        <v>Wed</v>
      </c>
      <c r="H301" s="55"/>
      <c r="I301" s="56"/>
      <c r="J301" s="82">
        <v>174630</v>
      </c>
      <c r="K301" s="83"/>
      <c r="L301" s="59">
        <f t="shared" si="85"/>
        <v>198827.97557710868</v>
      </c>
      <c r="M301" s="60">
        <f t="shared" si="79"/>
        <v>-24197.975577108678</v>
      </c>
      <c r="N301" s="61">
        <f t="shared" si="78"/>
        <v>0.87829692724641606</v>
      </c>
      <c r="O301" s="80"/>
      <c r="P301" s="59">
        <f>IF(D301=0,0,SUM($L$294:L301))</f>
        <v>1392214.1934063421</v>
      </c>
      <c r="Q301" s="59">
        <f>IF(D301=0,0,SUM($J$294:J301))</f>
        <v>1018880</v>
      </c>
      <c r="R301" s="63">
        <f t="shared" si="80"/>
        <v>-373334.19340634206</v>
      </c>
      <c r="S301" s="64">
        <f t="shared" si="86"/>
        <v>0.73184141120347135</v>
      </c>
      <c r="T301" s="73"/>
      <c r="U301" s="59">
        <f>IF(D301=0,0,SUM($L$21:L301))</f>
        <v>48808003.66709049</v>
      </c>
      <c r="V301" s="59">
        <f>IF(D301=0,0,SUM($J$21:J301))</f>
        <v>50172840</v>
      </c>
      <c r="W301" s="66">
        <f t="shared" si="81"/>
        <v>1364836.3329095095</v>
      </c>
      <c r="X301" s="67">
        <f t="shared" si="87"/>
        <v>1.0279633713810297</v>
      </c>
      <c r="Y301" s="68">
        <f t="shared" si="89"/>
        <v>45938</v>
      </c>
      <c r="Z301" s="69">
        <f t="shared" si="89"/>
        <v>45938</v>
      </c>
      <c r="AA301" s="1"/>
      <c r="AB301" s="1"/>
      <c r="AC301" s="1"/>
      <c r="AD301" s="1"/>
      <c r="AE301" s="1"/>
      <c r="AF301" s="1"/>
      <c r="AG301" s="1"/>
    </row>
    <row r="302" spans="1:33" ht="20">
      <c r="A302" s="1"/>
      <c r="B302" s="11"/>
      <c r="C302" s="50">
        <v>282</v>
      </c>
      <c r="D302" s="51">
        <v>1</v>
      </c>
      <c r="E302" s="52">
        <f t="shared" si="82"/>
        <v>10</v>
      </c>
      <c r="F302" s="53">
        <f t="shared" si="83"/>
        <v>45939</v>
      </c>
      <c r="G302" s="54" t="str">
        <f t="shared" si="84"/>
        <v>Thu</v>
      </c>
      <c r="H302" s="55"/>
      <c r="I302" s="56"/>
      <c r="J302" s="82">
        <v>98600</v>
      </c>
      <c r="K302" s="83"/>
      <c r="L302" s="59">
        <f t="shared" si="85"/>
        <v>231857.03538446798</v>
      </c>
      <c r="M302" s="60">
        <f t="shared" si="79"/>
        <v>-133257.03538446798</v>
      </c>
      <c r="N302" s="61">
        <f t="shared" si="78"/>
        <v>0.42526205787329402</v>
      </c>
      <c r="O302" s="80"/>
      <c r="P302" s="59">
        <f>IF(D302=0,0,SUM($L$294:L302))</f>
        <v>1624071.2287908101</v>
      </c>
      <c r="Q302" s="59">
        <f>IF(D302=0,0,SUM($J$294:J302))</f>
        <v>1117480</v>
      </c>
      <c r="R302" s="63">
        <f t="shared" si="80"/>
        <v>-506591.2287908101</v>
      </c>
      <c r="S302" s="64">
        <f t="shared" si="86"/>
        <v>0.68807326931837298</v>
      </c>
      <c r="T302" s="73"/>
      <c r="U302" s="59">
        <f>IF(D302=0,0,SUM($L$21:L302))</f>
        <v>49039860.702474959</v>
      </c>
      <c r="V302" s="59">
        <f>IF(D302=0,0,SUM($J$21:J302))</f>
        <v>50271440</v>
      </c>
      <c r="W302" s="66">
        <f t="shared" si="81"/>
        <v>1231579.2975250408</v>
      </c>
      <c r="X302" s="67">
        <f t="shared" si="87"/>
        <v>1.0251138416766115</v>
      </c>
      <c r="Y302" s="68">
        <f t="shared" si="89"/>
        <v>45939</v>
      </c>
      <c r="Z302" s="69">
        <f t="shared" si="89"/>
        <v>45939</v>
      </c>
      <c r="AA302" s="1"/>
      <c r="AB302" s="1"/>
      <c r="AC302" s="1"/>
      <c r="AD302" s="1"/>
      <c r="AE302" s="1"/>
      <c r="AF302" s="1"/>
      <c r="AG302" s="1"/>
    </row>
    <row r="303" spans="1:33" ht="20">
      <c r="A303" s="1"/>
      <c r="B303" s="11"/>
      <c r="C303" s="50">
        <v>283</v>
      </c>
      <c r="D303" s="51">
        <v>1</v>
      </c>
      <c r="E303" s="52">
        <f t="shared" si="82"/>
        <v>10</v>
      </c>
      <c r="F303" s="53">
        <f t="shared" si="83"/>
        <v>45940</v>
      </c>
      <c r="G303" s="54" t="str">
        <f t="shared" si="84"/>
        <v>Fri</v>
      </c>
      <c r="H303" s="55"/>
      <c r="I303" s="56"/>
      <c r="J303" s="82">
        <v>278000</v>
      </c>
      <c r="K303" s="83"/>
      <c r="L303" s="59">
        <f t="shared" si="85"/>
        <v>186910.17759734325</v>
      </c>
      <c r="M303" s="60">
        <f t="shared" si="79"/>
        <v>91089.822402656748</v>
      </c>
      <c r="N303" s="61">
        <f t="shared" si="78"/>
        <v>1.4873454381863018</v>
      </c>
      <c r="O303" s="80"/>
      <c r="P303" s="59">
        <f>IF(D303=0,0,SUM($L$294:L303))</f>
        <v>1810981.4063881533</v>
      </c>
      <c r="Q303" s="59">
        <f>IF(D303=0,0,SUM($J$294:J303))</f>
        <v>1395480</v>
      </c>
      <c r="R303" s="63">
        <f t="shared" si="80"/>
        <v>-415501.40638815332</v>
      </c>
      <c r="S303" s="64">
        <f t="shared" si="86"/>
        <v>0.77056561435556914</v>
      </c>
      <c r="T303" s="73"/>
      <c r="U303" s="59">
        <f>IF(D303=0,0,SUM($L$21:L303))</f>
        <v>49226770.880072303</v>
      </c>
      <c r="V303" s="59">
        <f>IF(D303=0,0,SUM($J$21:J303))</f>
        <v>50549440</v>
      </c>
      <c r="W303" s="66">
        <f t="shared" si="81"/>
        <v>1322669.1199276969</v>
      </c>
      <c r="X303" s="67">
        <f t="shared" si="87"/>
        <v>1.026868898696403</v>
      </c>
      <c r="Y303" s="68">
        <f t="shared" si="89"/>
        <v>45940</v>
      </c>
      <c r="Z303" s="69">
        <f t="shared" si="89"/>
        <v>45940</v>
      </c>
      <c r="AA303" s="1"/>
      <c r="AB303" s="1"/>
      <c r="AC303" s="1"/>
      <c r="AD303" s="1"/>
      <c r="AE303" s="1"/>
      <c r="AF303" s="1"/>
      <c r="AG303" s="1"/>
    </row>
    <row r="304" spans="1:33" ht="20">
      <c r="A304" s="1"/>
      <c r="B304" s="11"/>
      <c r="C304" s="50">
        <v>284</v>
      </c>
      <c r="D304" s="51">
        <v>1</v>
      </c>
      <c r="E304" s="52">
        <f t="shared" si="82"/>
        <v>10</v>
      </c>
      <c r="F304" s="53">
        <f t="shared" si="83"/>
        <v>45941</v>
      </c>
      <c r="G304" s="54" t="str">
        <f t="shared" si="84"/>
        <v>Sat</v>
      </c>
      <c r="H304" s="55"/>
      <c r="I304" s="56"/>
      <c r="J304" s="82">
        <v>97560</v>
      </c>
      <c r="K304" s="83"/>
      <c r="L304" s="59">
        <f t="shared" si="85"/>
        <v>126898.94384040481</v>
      </c>
      <c r="M304" s="60">
        <f t="shared" si="79"/>
        <v>-29338.943840404812</v>
      </c>
      <c r="N304" s="61">
        <f t="shared" si="78"/>
        <v>0.76880072479324091</v>
      </c>
      <c r="O304" s="80"/>
      <c r="P304" s="59">
        <f>IF(D304=0,0,SUM($L$294:L304))</f>
        <v>1937880.3502285581</v>
      </c>
      <c r="Q304" s="59">
        <f>IF(D304=0,0,SUM($J$294:J304))</f>
        <v>1493040</v>
      </c>
      <c r="R304" s="63">
        <f t="shared" si="80"/>
        <v>-444840.35022855806</v>
      </c>
      <c r="S304" s="64">
        <f t="shared" si="86"/>
        <v>0.77045004343220025</v>
      </c>
      <c r="T304" s="73"/>
      <c r="U304" s="59">
        <f>IF(D304=0,0,SUM($L$21:L304))</f>
        <v>49353669.82391271</v>
      </c>
      <c r="V304" s="59">
        <f>IF(D304=0,0,SUM($J$21:J304))</f>
        <v>50647000</v>
      </c>
      <c r="W304" s="66">
        <f t="shared" si="81"/>
        <v>1293330.17608729</v>
      </c>
      <c r="X304" s="67">
        <f t="shared" si="87"/>
        <v>1.0262053496873023</v>
      </c>
      <c r="Y304" s="68">
        <f t="shared" si="89"/>
        <v>45941</v>
      </c>
      <c r="Z304" s="69">
        <f t="shared" si="89"/>
        <v>45941</v>
      </c>
      <c r="AA304" s="1"/>
      <c r="AB304" s="1"/>
      <c r="AC304" s="1"/>
      <c r="AD304" s="1"/>
      <c r="AE304" s="1"/>
      <c r="AF304" s="1"/>
      <c r="AG304" s="1"/>
    </row>
    <row r="305" spans="1:33" ht="20">
      <c r="A305" s="1"/>
      <c r="B305" s="11"/>
      <c r="C305" s="50">
        <v>285</v>
      </c>
      <c r="D305" s="51">
        <v>0</v>
      </c>
      <c r="E305" s="52">
        <f t="shared" si="82"/>
        <v>10</v>
      </c>
      <c r="F305" s="53">
        <f t="shared" si="83"/>
        <v>45942</v>
      </c>
      <c r="G305" s="54" t="str">
        <f t="shared" si="84"/>
        <v>Sun</v>
      </c>
      <c r="H305" s="55"/>
      <c r="I305" s="56"/>
      <c r="J305" s="82"/>
      <c r="K305" s="83"/>
      <c r="L305" s="59">
        <f t="shared" si="85"/>
        <v>0</v>
      </c>
      <c r="M305" s="60">
        <f t="shared" si="79"/>
        <v>0</v>
      </c>
      <c r="N305" s="61" t="str">
        <f t="shared" si="78"/>
        <v>¥0</v>
      </c>
      <c r="O305" s="81"/>
      <c r="P305" s="59">
        <f>IF(D305=0,0,SUM($L$294:L305))</f>
        <v>0</v>
      </c>
      <c r="Q305" s="59">
        <f>IF(D305=0,0,SUM($J$294:J305))</f>
        <v>0</v>
      </c>
      <c r="R305" s="63">
        <f t="shared" si="80"/>
        <v>0</v>
      </c>
      <c r="S305" s="64">
        <f t="shared" si="86"/>
        <v>0</v>
      </c>
      <c r="T305" s="78"/>
      <c r="U305" s="59">
        <f>IF(D305=0,0,SUM($L$21:L305))</f>
        <v>0</v>
      </c>
      <c r="V305" s="59">
        <f>IF(D305=0,0,SUM($J$21:J305))</f>
        <v>0</v>
      </c>
      <c r="W305" s="66">
        <f t="shared" si="81"/>
        <v>0</v>
      </c>
      <c r="X305" s="67">
        <f t="shared" si="87"/>
        <v>0</v>
      </c>
      <c r="Y305" s="68">
        <f t="shared" si="89"/>
        <v>45942</v>
      </c>
      <c r="Z305" s="69">
        <f t="shared" si="89"/>
        <v>45942</v>
      </c>
      <c r="AA305" s="1"/>
      <c r="AB305" s="1"/>
      <c r="AC305" s="1"/>
      <c r="AD305" s="1"/>
      <c r="AE305" s="1"/>
      <c r="AF305" s="1"/>
      <c r="AG305" s="1"/>
    </row>
    <row r="306" spans="1:33" ht="20">
      <c r="A306" s="1"/>
      <c r="B306" s="11"/>
      <c r="C306" s="50">
        <v>286</v>
      </c>
      <c r="D306" s="51">
        <v>0</v>
      </c>
      <c r="E306" s="52">
        <f t="shared" si="82"/>
        <v>10</v>
      </c>
      <c r="F306" s="53">
        <f t="shared" si="83"/>
        <v>45943</v>
      </c>
      <c r="G306" s="54" t="str">
        <f t="shared" si="84"/>
        <v>Mon</v>
      </c>
      <c r="H306" s="55"/>
      <c r="I306" s="56"/>
      <c r="J306" s="82"/>
      <c r="K306" s="83"/>
      <c r="L306" s="59">
        <f t="shared" si="85"/>
        <v>0</v>
      </c>
      <c r="M306" s="60">
        <f t="shared" si="79"/>
        <v>0</v>
      </c>
      <c r="N306" s="61" t="str">
        <f t="shared" si="78"/>
        <v>¥0</v>
      </c>
      <c r="O306" s="81"/>
      <c r="P306" s="59">
        <f>IF(D306=0,0,SUM($L$294:L306))</f>
        <v>0</v>
      </c>
      <c r="Q306" s="59">
        <f>IF(D306=0,0,SUM($J$294:J306))</f>
        <v>0</v>
      </c>
      <c r="R306" s="63">
        <f t="shared" si="80"/>
        <v>0</v>
      </c>
      <c r="S306" s="64">
        <f t="shared" si="86"/>
        <v>0</v>
      </c>
      <c r="T306" s="78"/>
      <c r="U306" s="59">
        <f>IF(D306=0,0,SUM($L$21:L306))</f>
        <v>0</v>
      </c>
      <c r="V306" s="59">
        <f>IF(D306=0,0,SUM($J$21:J306))</f>
        <v>0</v>
      </c>
      <c r="W306" s="66">
        <f t="shared" si="81"/>
        <v>0</v>
      </c>
      <c r="X306" s="67">
        <f t="shared" si="87"/>
        <v>0</v>
      </c>
      <c r="Y306" s="68">
        <f t="shared" si="89"/>
        <v>45943</v>
      </c>
      <c r="Z306" s="69">
        <f t="shared" si="89"/>
        <v>45943</v>
      </c>
      <c r="AA306" s="1"/>
      <c r="AB306" s="1"/>
      <c r="AC306" s="1"/>
      <c r="AD306" s="1"/>
      <c r="AE306" s="1"/>
      <c r="AF306" s="1"/>
      <c r="AG306" s="1"/>
    </row>
    <row r="307" spans="1:33" ht="20">
      <c r="A307" s="1"/>
      <c r="B307" s="11"/>
      <c r="C307" s="50">
        <v>287</v>
      </c>
      <c r="D307" s="51">
        <v>1</v>
      </c>
      <c r="E307" s="52">
        <f t="shared" si="82"/>
        <v>10</v>
      </c>
      <c r="F307" s="53">
        <f t="shared" si="83"/>
        <v>45944</v>
      </c>
      <c r="G307" s="54" t="str">
        <f t="shared" si="84"/>
        <v>Tue</v>
      </c>
      <c r="H307" s="55"/>
      <c r="I307" s="56"/>
      <c r="J307" s="82">
        <v>38650</v>
      </c>
      <c r="K307" s="83"/>
      <c r="L307" s="59">
        <f t="shared" si="85"/>
        <v>230383.60450142281</v>
      </c>
      <c r="M307" s="60">
        <f t="shared" si="79"/>
        <v>-191733.60450142281</v>
      </c>
      <c r="N307" s="61">
        <f t="shared" si="78"/>
        <v>0.16776367434498277</v>
      </c>
      <c r="O307" s="80"/>
      <c r="P307" s="59">
        <f>IF(D307=0,0,SUM($L$294:L307))</f>
        <v>2168263.9547299808</v>
      </c>
      <c r="Q307" s="59">
        <f>IF(D307=0,0,SUM($J$294:J307))</f>
        <v>1531690</v>
      </c>
      <c r="R307" s="63">
        <f t="shared" si="80"/>
        <v>-636573.95472998079</v>
      </c>
      <c r="S307" s="64">
        <f t="shared" si="86"/>
        <v>0.70641307146147025</v>
      </c>
      <c r="T307" s="73"/>
      <c r="U307" s="59">
        <f>IF(D307=0,0,SUM($L$21:L307))</f>
        <v>49584053.428414136</v>
      </c>
      <c r="V307" s="59">
        <f>IF(D307=0,0,SUM($J$21:J307))</f>
        <v>50685650</v>
      </c>
      <c r="W307" s="66">
        <f t="shared" si="81"/>
        <v>1101596.5715858638</v>
      </c>
      <c r="X307" s="67">
        <f t="shared" si="87"/>
        <v>1.0222167510604245</v>
      </c>
      <c r="Y307" s="68">
        <f t="shared" si="89"/>
        <v>45944</v>
      </c>
      <c r="Z307" s="69">
        <f t="shared" si="89"/>
        <v>45944</v>
      </c>
      <c r="AA307" s="1"/>
      <c r="AB307" s="1"/>
      <c r="AC307" s="1"/>
      <c r="AD307" s="1"/>
      <c r="AE307" s="1"/>
      <c r="AF307" s="1"/>
      <c r="AG307" s="1"/>
    </row>
    <row r="308" spans="1:33" ht="20">
      <c r="A308" s="1"/>
      <c r="B308" s="11"/>
      <c r="C308" s="50">
        <v>288</v>
      </c>
      <c r="D308" s="51">
        <v>1</v>
      </c>
      <c r="E308" s="52">
        <f t="shared" si="82"/>
        <v>10</v>
      </c>
      <c r="F308" s="53">
        <f t="shared" si="83"/>
        <v>45945</v>
      </c>
      <c r="G308" s="54" t="str">
        <f t="shared" si="84"/>
        <v>Wed</v>
      </c>
      <c r="H308" s="55"/>
      <c r="I308" s="56"/>
      <c r="J308" s="82">
        <v>78990</v>
      </c>
      <c r="K308" s="83"/>
      <c r="L308" s="59">
        <f t="shared" si="85"/>
        <v>198827.97557710868</v>
      </c>
      <c r="M308" s="60">
        <f t="shared" si="79"/>
        <v>-119837.97557710868</v>
      </c>
      <c r="N308" s="61">
        <f t="shared" si="78"/>
        <v>0.39727809816866749</v>
      </c>
      <c r="O308" s="80"/>
      <c r="P308" s="59">
        <f>IF(D308=0,0,SUM($L$294:L308))</f>
        <v>2367091.9303070894</v>
      </c>
      <c r="Q308" s="59">
        <f>IF(D308=0,0,SUM($J$294:J308))</f>
        <v>1610680</v>
      </c>
      <c r="R308" s="63">
        <f t="shared" si="80"/>
        <v>-756411.93030708935</v>
      </c>
      <c r="S308" s="64">
        <f t="shared" si="86"/>
        <v>0.68044674538307515</v>
      </c>
      <c r="T308" s="73"/>
      <c r="U308" s="59">
        <f>IF(D308=0,0,SUM($L$21:L308))</f>
        <v>49782881.403991245</v>
      </c>
      <c r="V308" s="59">
        <f>IF(D308=0,0,SUM($J$21:J308))</f>
        <v>50764640</v>
      </c>
      <c r="W308" s="66">
        <f t="shared" si="81"/>
        <v>981758.59600875527</v>
      </c>
      <c r="X308" s="67">
        <f t="shared" si="87"/>
        <v>1.0197208069987296</v>
      </c>
      <c r="Y308" s="68">
        <f t="shared" si="89"/>
        <v>45945</v>
      </c>
      <c r="Z308" s="69">
        <f t="shared" si="89"/>
        <v>45945</v>
      </c>
      <c r="AA308" s="1"/>
      <c r="AB308" s="1"/>
      <c r="AC308" s="1"/>
      <c r="AD308" s="1"/>
      <c r="AE308" s="1"/>
      <c r="AF308" s="1"/>
      <c r="AG308" s="1"/>
    </row>
    <row r="309" spans="1:33" ht="20">
      <c r="A309" s="1"/>
      <c r="B309" s="11"/>
      <c r="C309" s="50">
        <v>289</v>
      </c>
      <c r="D309" s="51">
        <v>1</v>
      </c>
      <c r="E309" s="52">
        <f t="shared" si="82"/>
        <v>10</v>
      </c>
      <c r="F309" s="53">
        <f t="shared" si="83"/>
        <v>45946</v>
      </c>
      <c r="G309" s="54" t="str">
        <f t="shared" si="84"/>
        <v>Thu</v>
      </c>
      <c r="H309" s="55"/>
      <c r="I309" s="56"/>
      <c r="J309" s="82">
        <v>191000</v>
      </c>
      <c r="K309" s="83"/>
      <c r="L309" s="59">
        <f t="shared" si="85"/>
        <v>231857.03538446798</v>
      </c>
      <c r="M309" s="60">
        <f t="shared" si="79"/>
        <v>-40857.035384467978</v>
      </c>
      <c r="N309" s="61">
        <f t="shared" si="78"/>
        <v>0.8237834995314316</v>
      </c>
      <c r="O309" s="80"/>
      <c r="P309" s="59">
        <f>IF(D309=0,0,SUM($L$294:L309))</f>
        <v>2598948.9656915572</v>
      </c>
      <c r="Q309" s="59">
        <f>IF(D309=0,0,SUM($J$294:J309))</f>
        <v>1801680</v>
      </c>
      <c r="R309" s="63">
        <f t="shared" si="80"/>
        <v>-797268.96569155715</v>
      </c>
      <c r="S309" s="64">
        <f t="shared" si="86"/>
        <v>0.69323408184761681</v>
      </c>
      <c r="T309" s="73"/>
      <c r="U309" s="59">
        <f>IF(D309=0,0,SUM($L$21:L309))</f>
        <v>50014738.439375713</v>
      </c>
      <c r="V309" s="59">
        <f>IF(D309=0,0,SUM($J$21:J309))</f>
        <v>50955640</v>
      </c>
      <c r="W309" s="66">
        <f t="shared" si="81"/>
        <v>940901.56062428653</v>
      </c>
      <c r="X309" s="67">
        <f t="shared" si="87"/>
        <v>1.018812485878833</v>
      </c>
      <c r="Y309" s="68">
        <f t="shared" si="89"/>
        <v>45946</v>
      </c>
      <c r="Z309" s="69">
        <f t="shared" si="89"/>
        <v>45946</v>
      </c>
      <c r="AA309" s="1"/>
      <c r="AB309" s="1"/>
      <c r="AC309" s="1"/>
      <c r="AD309" s="1"/>
      <c r="AE309" s="1"/>
      <c r="AF309" s="1"/>
      <c r="AG309" s="1"/>
    </row>
    <row r="310" spans="1:33" ht="20">
      <c r="A310" s="1"/>
      <c r="B310" s="11"/>
      <c r="C310" s="50">
        <v>290</v>
      </c>
      <c r="D310" s="51">
        <v>1</v>
      </c>
      <c r="E310" s="52">
        <f t="shared" si="82"/>
        <v>10</v>
      </c>
      <c r="F310" s="53">
        <f t="shared" si="83"/>
        <v>45947</v>
      </c>
      <c r="G310" s="54" t="str">
        <f t="shared" si="84"/>
        <v>Fri</v>
      </c>
      <c r="H310" s="55"/>
      <c r="I310" s="56"/>
      <c r="J310" s="82">
        <v>200550</v>
      </c>
      <c r="K310" s="83"/>
      <c r="L310" s="59">
        <f t="shared" si="85"/>
        <v>186910.17759734325</v>
      </c>
      <c r="M310" s="60">
        <f t="shared" si="79"/>
        <v>13639.822402656748</v>
      </c>
      <c r="N310" s="61">
        <f t="shared" si="78"/>
        <v>1.0729752792383556</v>
      </c>
      <c r="O310" s="80"/>
      <c r="P310" s="59">
        <f>IF(D310=0,0,SUM($L$294:L310))</f>
        <v>2785859.1432889006</v>
      </c>
      <c r="Q310" s="59">
        <f>IF(D310=0,0,SUM($J$294:J310))</f>
        <v>2002230</v>
      </c>
      <c r="R310" s="63">
        <f t="shared" si="80"/>
        <v>-783629.14328890061</v>
      </c>
      <c r="S310" s="64">
        <f t="shared" si="86"/>
        <v>0.71871185764124035</v>
      </c>
      <c r="T310" s="73"/>
      <c r="U310" s="59">
        <f>IF(D310=0,0,SUM($L$21:L310))</f>
        <v>50201648.616973057</v>
      </c>
      <c r="V310" s="59">
        <f>IF(D310=0,0,SUM($J$21:J310))</f>
        <v>51156190</v>
      </c>
      <c r="W310" s="66">
        <f t="shared" si="81"/>
        <v>954541.38302694261</v>
      </c>
      <c r="X310" s="67">
        <f t="shared" si="87"/>
        <v>1.0190141441431511</v>
      </c>
      <c r="Y310" s="68">
        <f t="shared" si="89"/>
        <v>45947</v>
      </c>
      <c r="Z310" s="69">
        <f t="shared" si="89"/>
        <v>45947</v>
      </c>
      <c r="AA310" s="1"/>
      <c r="AB310" s="1"/>
      <c r="AC310" s="1"/>
      <c r="AD310" s="1"/>
      <c r="AE310" s="1"/>
      <c r="AF310" s="1"/>
      <c r="AG310" s="1"/>
    </row>
    <row r="311" spans="1:33" ht="20">
      <c r="A311" s="1"/>
      <c r="B311" s="11"/>
      <c r="C311" s="50">
        <v>291</v>
      </c>
      <c r="D311" s="51">
        <v>1</v>
      </c>
      <c r="E311" s="52">
        <f t="shared" si="82"/>
        <v>10</v>
      </c>
      <c r="F311" s="53">
        <f t="shared" si="83"/>
        <v>45948</v>
      </c>
      <c r="G311" s="54" t="str">
        <f t="shared" si="84"/>
        <v>Sat</v>
      </c>
      <c r="H311" s="55"/>
      <c r="I311" s="56"/>
      <c r="J311" s="82">
        <v>184950</v>
      </c>
      <c r="K311" s="83"/>
      <c r="L311" s="59">
        <f t="shared" si="85"/>
        <v>126898.94384040481</v>
      </c>
      <c r="M311" s="60">
        <f t="shared" si="79"/>
        <v>58051.056159595188</v>
      </c>
      <c r="N311" s="61">
        <f t="shared" si="78"/>
        <v>1.4574589386071126</v>
      </c>
      <c r="O311" s="80"/>
      <c r="P311" s="59">
        <f>IF(D311=0,0,SUM($L$294:L311))</f>
        <v>2912758.0871293056</v>
      </c>
      <c r="Q311" s="59">
        <f>IF(D311=0,0,SUM($J$294:J311))</f>
        <v>2187180</v>
      </c>
      <c r="R311" s="63">
        <f t="shared" si="80"/>
        <v>-725578.08712930558</v>
      </c>
      <c r="S311" s="64">
        <f t="shared" si="86"/>
        <v>0.75089655047721271</v>
      </c>
      <c r="T311" s="73"/>
      <c r="U311" s="59">
        <f>IF(D311=0,0,SUM($L$21:L311))</f>
        <v>50328547.560813464</v>
      </c>
      <c r="V311" s="59">
        <f>IF(D311=0,0,SUM($J$21:J311))</f>
        <v>51341140</v>
      </c>
      <c r="W311" s="66">
        <f t="shared" si="81"/>
        <v>1012592.4391865358</v>
      </c>
      <c r="X311" s="67">
        <f t="shared" si="87"/>
        <v>1.0201196435872304</v>
      </c>
      <c r="Y311" s="68">
        <f t="shared" ref="Y311:Z326" si="90">Y310+1</f>
        <v>45948</v>
      </c>
      <c r="Z311" s="69">
        <f t="shared" si="90"/>
        <v>45948</v>
      </c>
      <c r="AA311" s="1"/>
      <c r="AB311" s="1"/>
      <c r="AC311" s="1"/>
      <c r="AD311" s="1"/>
      <c r="AE311" s="1"/>
      <c r="AF311" s="1"/>
      <c r="AG311" s="1"/>
    </row>
    <row r="312" spans="1:33" ht="20">
      <c r="A312" s="1"/>
      <c r="B312" s="11"/>
      <c r="C312" s="50">
        <v>292</v>
      </c>
      <c r="D312" s="51">
        <v>0</v>
      </c>
      <c r="E312" s="52">
        <f t="shared" si="82"/>
        <v>10</v>
      </c>
      <c r="F312" s="53">
        <f t="shared" si="83"/>
        <v>45949</v>
      </c>
      <c r="G312" s="54" t="str">
        <f t="shared" si="84"/>
        <v>Sun</v>
      </c>
      <c r="H312" s="55"/>
      <c r="I312" s="56"/>
      <c r="J312" s="82"/>
      <c r="K312" s="83"/>
      <c r="L312" s="59">
        <f t="shared" si="85"/>
        <v>0</v>
      </c>
      <c r="M312" s="60">
        <f t="shared" si="79"/>
        <v>0</v>
      </c>
      <c r="N312" s="61" t="str">
        <f t="shared" si="78"/>
        <v>¥0</v>
      </c>
      <c r="O312" s="81"/>
      <c r="P312" s="59">
        <f>IF(D312=0,0,SUM($L$294:L312))</f>
        <v>0</v>
      </c>
      <c r="Q312" s="59">
        <f>IF(D312=0,0,SUM($J$294:J312))</f>
        <v>0</v>
      </c>
      <c r="R312" s="63">
        <f t="shared" si="80"/>
        <v>0</v>
      </c>
      <c r="S312" s="64">
        <f t="shared" si="86"/>
        <v>0</v>
      </c>
      <c r="T312" s="78"/>
      <c r="U312" s="59">
        <f>IF(D312=0,0,SUM($L$21:L312))</f>
        <v>0</v>
      </c>
      <c r="V312" s="59">
        <f>IF(D312=0,0,SUM($J$21:J312))</f>
        <v>0</v>
      </c>
      <c r="W312" s="66">
        <f t="shared" si="81"/>
        <v>0</v>
      </c>
      <c r="X312" s="67">
        <f t="shared" si="87"/>
        <v>0</v>
      </c>
      <c r="Y312" s="68">
        <f t="shared" si="90"/>
        <v>45949</v>
      </c>
      <c r="Z312" s="69">
        <f t="shared" si="90"/>
        <v>45949</v>
      </c>
      <c r="AA312" s="1"/>
      <c r="AB312" s="1"/>
      <c r="AC312" s="1"/>
      <c r="AD312" s="1"/>
      <c r="AE312" s="1"/>
      <c r="AF312" s="1"/>
      <c r="AG312" s="1"/>
    </row>
    <row r="313" spans="1:33" ht="20">
      <c r="A313" s="1"/>
      <c r="B313" s="11"/>
      <c r="C313" s="50">
        <v>293</v>
      </c>
      <c r="D313" s="51">
        <v>1</v>
      </c>
      <c r="E313" s="52">
        <f t="shared" si="82"/>
        <v>10</v>
      </c>
      <c r="F313" s="53">
        <f t="shared" si="83"/>
        <v>45950</v>
      </c>
      <c r="G313" s="54" t="str">
        <f t="shared" si="84"/>
        <v>Mon</v>
      </c>
      <c r="H313" s="55"/>
      <c r="I313" s="56"/>
      <c r="J313" s="82">
        <v>43420</v>
      </c>
      <c r="K313" s="83"/>
      <c r="L313" s="59">
        <f t="shared" si="85"/>
        <v>218508.48092848598</v>
      </c>
      <c r="M313" s="60">
        <f t="shared" si="79"/>
        <v>-175088.48092848598</v>
      </c>
      <c r="N313" s="61">
        <f t="shared" si="78"/>
        <v>0.19871082264404469</v>
      </c>
      <c r="O313" s="80"/>
      <c r="P313" s="59">
        <f>IF(D313=0,0,SUM($L$294:L313))</f>
        <v>3131266.5680577913</v>
      </c>
      <c r="Q313" s="59">
        <f>IF(D313=0,0,SUM($J$294:J313))</f>
        <v>2230600</v>
      </c>
      <c r="R313" s="63">
        <f t="shared" si="80"/>
        <v>-900666.56805779133</v>
      </c>
      <c r="S313" s="64">
        <f t="shared" si="86"/>
        <v>0.71236349621410822</v>
      </c>
      <c r="T313" s="73"/>
      <c r="U313" s="59">
        <f>IF(D313=0,0,SUM($L$21:L313))</f>
        <v>50547056.041741952</v>
      </c>
      <c r="V313" s="59">
        <f>IF(D313=0,0,SUM($J$21:J313))</f>
        <v>51384560</v>
      </c>
      <c r="W313" s="66">
        <f t="shared" si="81"/>
        <v>837503.9582580477</v>
      </c>
      <c r="X313" s="67">
        <f t="shared" si="87"/>
        <v>1.0165687979447593</v>
      </c>
      <c r="Y313" s="68">
        <f t="shared" si="90"/>
        <v>45950</v>
      </c>
      <c r="Z313" s="69">
        <f t="shared" si="90"/>
        <v>45950</v>
      </c>
      <c r="AA313" s="1"/>
      <c r="AB313" s="1"/>
      <c r="AC313" s="1"/>
      <c r="AD313" s="1"/>
      <c r="AE313" s="1"/>
      <c r="AF313" s="1"/>
      <c r="AG313" s="1"/>
    </row>
    <row r="314" spans="1:33" ht="20">
      <c r="A314" s="1"/>
      <c r="B314" s="11"/>
      <c r="C314" s="50">
        <v>294</v>
      </c>
      <c r="D314" s="51">
        <v>1</v>
      </c>
      <c r="E314" s="52">
        <f t="shared" si="82"/>
        <v>10</v>
      </c>
      <c r="F314" s="53">
        <f t="shared" si="83"/>
        <v>45951</v>
      </c>
      <c r="G314" s="54" t="str">
        <f t="shared" si="84"/>
        <v>Tue</v>
      </c>
      <c r="H314" s="55"/>
      <c r="I314" s="56"/>
      <c r="J314" s="82">
        <v>220010</v>
      </c>
      <c r="K314" s="83"/>
      <c r="L314" s="59">
        <f t="shared" si="85"/>
        <v>230383.60450142281</v>
      </c>
      <c r="M314" s="60">
        <f t="shared" si="79"/>
        <v>-10373.604501422815</v>
      </c>
      <c r="N314" s="61">
        <f t="shared" si="78"/>
        <v>0.95497247070219027</v>
      </c>
      <c r="O314" s="80"/>
      <c r="P314" s="59">
        <f>IF(D314=0,0,SUM($L$294:L314))</f>
        <v>3361650.1725592143</v>
      </c>
      <c r="Q314" s="59">
        <f>IF(D314=0,0,SUM($J$294:J314))</f>
        <v>2450610</v>
      </c>
      <c r="R314" s="63">
        <f t="shared" si="80"/>
        <v>-911040.17255921429</v>
      </c>
      <c r="S314" s="64">
        <f t="shared" si="86"/>
        <v>0.72899019059272252</v>
      </c>
      <c r="T314" s="73"/>
      <c r="U314" s="59">
        <f>IF(D314=0,0,SUM($L$21:L314))</f>
        <v>50777439.646243379</v>
      </c>
      <c r="V314" s="59">
        <f>IF(D314=0,0,SUM($J$21:J314))</f>
        <v>51604570</v>
      </c>
      <c r="W314" s="66">
        <f t="shared" si="81"/>
        <v>827130.35375662148</v>
      </c>
      <c r="X314" s="67">
        <f t="shared" si="87"/>
        <v>1.0162893276919647</v>
      </c>
      <c r="Y314" s="68">
        <f t="shared" si="90"/>
        <v>45951</v>
      </c>
      <c r="Z314" s="69">
        <f t="shared" si="90"/>
        <v>45951</v>
      </c>
      <c r="AA314" s="1"/>
      <c r="AB314" s="1"/>
      <c r="AC314" s="1"/>
      <c r="AD314" s="1"/>
      <c r="AE314" s="1"/>
      <c r="AF314" s="1"/>
      <c r="AG314" s="1"/>
    </row>
    <row r="315" spans="1:33" ht="20">
      <c r="A315" s="1"/>
      <c r="B315" s="11"/>
      <c r="C315" s="50">
        <v>295</v>
      </c>
      <c r="D315" s="51">
        <v>1</v>
      </c>
      <c r="E315" s="52">
        <f t="shared" si="82"/>
        <v>10</v>
      </c>
      <c r="F315" s="53">
        <f t="shared" si="83"/>
        <v>45952</v>
      </c>
      <c r="G315" s="54" t="str">
        <f t="shared" si="84"/>
        <v>Wed</v>
      </c>
      <c r="H315" s="55"/>
      <c r="I315" s="56"/>
      <c r="J315" s="82">
        <v>116300</v>
      </c>
      <c r="K315" s="83"/>
      <c r="L315" s="59">
        <f t="shared" si="85"/>
        <v>198827.97557710868</v>
      </c>
      <c r="M315" s="60">
        <f t="shared" si="79"/>
        <v>-82527.975577108678</v>
      </c>
      <c r="N315" s="61">
        <f t="shared" si="78"/>
        <v>0.5849277480315993</v>
      </c>
      <c r="O315" s="80"/>
      <c r="P315" s="59">
        <f>IF(D315=0,0,SUM($L$294:L315))</f>
        <v>3560478.1481363229</v>
      </c>
      <c r="Q315" s="59">
        <f>IF(D315=0,0,SUM($J$294:J315))</f>
        <v>2566910</v>
      </c>
      <c r="R315" s="63">
        <f t="shared" si="80"/>
        <v>-993568.14813632285</v>
      </c>
      <c r="S315" s="64">
        <f t="shared" si="86"/>
        <v>0.72094530374905108</v>
      </c>
      <c r="T315" s="73"/>
      <c r="U315" s="59">
        <f>IF(D315=0,0,SUM($L$21:L315))</f>
        <v>50976267.621820487</v>
      </c>
      <c r="V315" s="59">
        <f>IF(D315=0,0,SUM($J$21:J315))</f>
        <v>51720870</v>
      </c>
      <c r="W315" s="66">
        <f t="shared" si="81"/>
        <v>744602.37817951292</v>
      </c>
      <c r="X315" s="67">
        <f t="shared" si="87"/>
        <v>1.0146068437905953</v>
      </c>
      <c r="Y315" s="68">
        <f t="shared" si="90"/>
        <v>45952</v>
      </c>
      <c r="Z315" s="69">
        <f t="shared" si="90"/>
        <v>45952</v>
      </c>
      <c r="AA315" s="1"/>
      <c r="AB315" s="1"/>
      <c r="AC315" s="1"/>
      <c r="AD315" s="1"/>
      <c r="AE315" s="1"/>
      <c r="AF315" s="1"/>
      <c r="AG315" s="1"/>
    </row>
    <row r="316" spans="1:33" ht="20">
      <c r="A316" s="1"/>
      <c r="B316" s="11"/>
      <c r="C316" s="50">
        <v>296</v>
      </c>
      <c r="D316" s="51">
        <v>1</v>
      </c>
      <c r="E316" s="52">
        <f t="shared" si="82"/>
        <v>10</v>
      </c>
      <c r="F316" s="53">
        <f t="shared" si="83"/>
        <v>45953</v>
      </c>
      <c r="G316" s="54" t="str">
        <f t="shared" si="84"/>
        <v>Thu</v>
      </c>
      <c r="H316" s="55"/>
      <c r="I316" s="56"/>
      <c r="J316" s="82">
        <v>220000</v>
      </c>
      <c r="K316" s="83"/>
      <c r="L316" s="59">
        <f t="shared" si="85"/>
        <v>231857.03538446798</v>
      </c>
      <c r="M316" s="60">
        <f t="shared" si="79"/>
        <v>-11857.035384467978</v>
      </c>
      <c r="N316" s="61">
        <f t="shared" si="78"/>
        <v>0.94886057537651813</v>
      </c>
      <c r="O316" s="80"/>
      <c r="P316" s="59">
        <f>IF(D316=0,0,SUM($L$294:L316))</f>
        <v>3792335.1835207907</v>
      </c>
      <c r="Q316" s="59">
        <f>IF(D316=0,0,SUM($J$294:J316))</f>
        <v>2786910</v>
      </c>
      <c r="R316" s="63">
        <f t="shared" si="80"/>
        <v>-1005425.1835207907</v>
      </c>
      <c r="S316" s="64">
        <f t="shared" si="86"/>
        <v>0.73487966256522785</v>
      </c>
      <c r="T316" s="73"/>
      <c r="U316" s="59">
        <f>IF(D316=0,0,SUM($L$21:L316))</f>
        <v>51208124.657204956</v>
      </c>
      <c r="V316" s="59">
        <f>IF(D316=0,0,SUM($J$21:J316))</f>
        <v>51940870</v>
      </c>
      <c r="W316" s="66">
        <f t="shared" si="81"/>
        <v>732745.34279504418</v>
      </c>
      <c r="X316" s="67">
        <f t="shared" si="87"/>
        <v>1.0143091618312554</v>
      </c>
      <c r="Y316" s="68">
        <f t="shared" si="90"/>
        <v>45953</v>
      </c>
      <c r="Z316" s="69">
        <f t="shared" si="90"/>
        <v>45953</v>
      </c>
      <c r="AA316" s="1"/>
      <c r="AB316" s="1"/>
      <c r="AC316" s="1"/>
      <c r="AD316" s="1"/>
      <c r="AE316" s="1"/>
      <c r="AF316" s="1"/>
      <c r="AG316" s="1"/>
    </row>
    <row r="317" spans="1:33" ht="20">
      <c r="A317" s="1"/>
      <c r="B317" s="11"/>
      <c r="C317" s="50">
        <v>297</v>
      </c>
      <c r="D317" s="51">
        <v>1</v>
      </c>
      <c r="E317" s="52">
        <f t="shared" si="82"/>
        <v>10</v>
      </c>
      <c r="F317" s="53">
        <f t="shared" si="83"/>
        <v>45954</v>
      </c>
      <c r="G317" s="54" t="str">
        <f t="shared" si="84"/>
        <v>Fri</v>
      </c>
      <c r="H317" s="55"/>
      <c r="I317" s="56"/>
      <c r="J317" s="82">
        <v>155950</v>
      </c>
      <c r="K317" s="83"/>
      <c r="L317" s="59">
        <f t="shared" si="85"/>
        <v>186910.17759734325</v>
      </c>
      <c r="M317" s="60">
        <f t="shared" si="79"/>
        <v>-30960.177597343252</v>
      </c>
      <c r="N317" s="61">
        <f t="shared" si="78"/>
        <v>0.83435798951494167</v>
      </c>
      <c r="O317" s="80"/>
      <c r="P317" s="59">
        <f>IF(D317=0,0,SUM($L$294:L317))</f>
        <v>3979245.3611181341</v>
      </c>
      <c r="Q317" s="59">
        <f>IF(D317=0,0,SUM($J$294:J317))</f>
        <v>2942860</v>
      </c>
      <c r="R317" s="63">
        <f t="shared" si="80"/>
        <v>-1036385.3611181341</v>
      </c>
      <c r="S317" s="64">
        <f t="shared" si="86"/>
        <v>0.73955228515315308</v>
      </c>
      <c r="T317" s="73"/>
      <c r="U317" s="59">
        <f>IF(D317=0,0,SUM($L$21:L317))</f>
        <v>51395034.8348023</v>
      </c>
      <c r="V317" s="59">
        <f>IF(D317=0,0,SUM($J$21:J317))</f>
        <v>52096820</v>
      </c>
      <c r="W317" s="66">
        <f t="shared" si="81"/>
        <v>701785.16519770026</v>
      </c>
      <c r="X317" s="67">
        <f t="shared" si="87"/>
        <v>1.0136547269099716</v>
      </c>
      <c r="Y317" s="68">
        <f t="shared" si="90"/>
        <v>45954</v>
      </c>
      <c r="Z317" s="69">
        <f t="shared" si="90"/>
        <v>45954</v>
      </c>
      <c r="AA317" s="1"/>
      <c r="AB317" s="1"/>
      <c r="AC317" s="1"/>
      <c r="AD317" s="1"/>
      <c r="AE317" s="1"/>
      <c r="AF317" s="1"/>
      <c r="AG317" s="1"/>
    </row>
    <row r="318" spans="1:33" ht="20">
      <c r="A318" s="1"/>
      <c r="B318" s="11"/>
      <c r="C318" s="50">
        <v>298</v>
      </c>
      <c r="D318" s="51">
        <v>1</v>
      </c>
      <c r="E318" s="52">
        <f t="shared" si="82"/>
        <v>10</v>
      </c>
      <c r="F318" s="53">
        <f t="shared" si="83"/>
        <v>45955</v>
      </c>
      <c r="G318" s="54" t="str">
        <f t="shared" si="84"/>
        <v>Sat</v>
      </c>
      <c r="H318" s="55"/>
      <c r="I318" s="56"/>
      <c r="J318" s="82">
        <v>66600</v>
      </c>
      <c r="K318" s="83"/>
      <c r="L318" s="59">
        <f t="shared" si="85"/>
        <v>126898.94384040481</v>
      </c>
      <c r="M318" s="60">
        <f t="shared" si="79"/>
        <v>-60298.943840404812</v>
      </c>
      <c r="N318" s="61">
        <f t="shared" si="78"/>
        <v>0.52482706305073645</v>
      </c>
      <c r="O318" s="80"/>
      <c r="P318" s="59">
        <f>IF(D318=0,0,SUM($L$294:L318))</f>
        <v>4106144.3049585391</v>
      </c>
      <c r="Q318" s="59">
        <f>IF(D318=0,0,SUM($J$294:J318))</f>
        <v>3009460</v>
      </c>
      <c r="R318" s="63">
        <f t="shared" si="80"/>
        <v>-1096684.3049585391</v>
      </c>
      <c r="S318" s="64">
        <f t="shared" si="86"/>
        <v>0.73291627777567536</v>
      </c>
      <c r="T318" s="73"/>
      <c r="U318" s="59">
        <f>IF(D318=0,0,SUM($L$21:L318))</f>
        <v>51521933.778642707</v>
      </c>
      <c r="V318" s="59">
        <f>IF(D318=0,0,SUM($J$21:J318))</f>
        <v>52163420</v>
      </c>
      <c r="W318" s="66">
        <f t="shared" si="81"/>
        <v>641486.22135729343</v>
      </c>
      <c r="X318" s="67">
        <f t="shared" si="87"/>
        <v>1.0124507403800749</v>
      </c>
      <c r="Y318" s="68">
        <f t="shared" si="90"/>
        <v>45955</v>
      </c>
      <c r="Z318" s="69">
        <f t="shared" si="90"/>
        <v>45955</v>
      </c>
      <c r="AA318" s="1"/>
      <c r="AB318" s="1"/>
      <c r="AC318" s="1"/>
      <c r="AD318" s="1"/>
      <c r="AE318" s="1"/>
      <c r="AF318" s="1"/>
      <c r="AG318" s="1"/>
    </row>
    <row r="319" spans="1:33" ht="20">
      <c r="A319" s="1"/>
      <c r="B319" s="11"/>
      <c r="C319" s="50">
        <v>299</v>
      </c>
      <c r="D319" s="51">
        <v>0</v>
      </c>
      <c r="E319" s="52">
        <f t="shared" si="82"/>
        <v>10</v>
      </c>
      <c r="F319" s="53">
        <f t="shared" si="83"/>
        <v>45956</v>
      </c>
      <c r="G319" s="54" t="str">
        <f t="shared" si="84"/>
        <v>Sun</v>
      </c>
      <c r="H319" s="55"/>
      <c r="I319" s="56"/>
      <c r="J319" s="82"/>
      <c r="K319" s="83"/>
      <c r="L319" s="59">
        <f t="shared" si="85"/>
        <v>0</v>
      </c>
      <c r="M319" s="60">
        <f t="shared" si="79"/>
        <v>0</v>
      </c>
      <c r="N319" s="61" t="str">
        <f t="shared" si="78"/>
        <v>¥0</v>
      </c>
      <c r="O319" s="81"/>
      <c r="P319" s="59">
        <f>IF(D319=0,0,SUM($L$294:L319))</f>
        <v>0</v>
      </c>
      <c r="Q319" s="59">
        <f>IF(D319=0,0,SUM($J$294:J319))</f>
        <v>0</v>
      </c>
      <c r="R319" s="63">
        <f t="shared" si="80"/>
        <v>0</v>
      </c>
      <c r="S319" s="64">
        <f t="shared" si="86"/>
        <v>0</v>
      </c>
      <c r="T319" s="78"/>
      <c r="U319" s="59">
        <f>IF(D319=0,0,SUM($L$21:L319))</f>
        <v>0</v>
      </c>
      <c r="V319" s="59">
        <f>IF(D319=0,0,SUM($J$21:J319))</f>
        <v>0</v>
      </c>
      <c r="W319" s="66">
        <f t="shared" si="81"/>
        <v>0</v>
      </c>
      <c r="X319" s="67">
        <f t="shared" si="87"/>
        <v>0</v>
      </c>
      <c r="Y319" s="68">
        <f t="shared" si="90"/>
        <v>45956</v>
      </c>
      <c r="Z319" s="69">
        <f t="shared" si="90"/>
        <v>45956</v>
      </c>
      <c r="AA319" s="1"/>
      <c r="AB319" s="1"/>
      <c r="AC319" s="1"/>
      <c r="AD319" s="1"/>
      <c r="AE319" s="1"/>
      <c r="AF319" s="1"/>
      <c r="AG319" s="1"/>
    </row>
    <row r="320" spans="1:33" ht="20">
      <c r="A320" s="1"/>
      <c r="B320" s="11"/>
      <c r="C320" s="50">
        <v>300</v>
      </c>
      <c r="D320" s="51">
        <v>1</v>
      </c>
      <c r="E320" s="52">
        <f t="shared" si="82"/>
        <v>10</v>
      </c>
      <c r="F320" s="53">
        <f t="shared" si="83"/>
        <v>45957</v>
      </c>
      <c r="G320" s="54" t="str">
        <f t="shared" si="84"/>
        <v>Mon</v>
      </c>
      <c r="H320" s="55"/>
      <c r="I320" s="56"/>
      <c r="J320" s="82">
        <v>77150</v>
      </c>
      <c r="K320" s="83"/>
      <c r="L320" s="59">
        <f t="shared" si="85"/>
        <v>218508.48092848598</v>
      </c>
      <c r="M320" s="60">
        <f t="shared" si="79"/>
        <v>-141358.48092848598</v>
      </c>
      <c r="N320" s="61">
        <f t="shared" si="78"/>
        <v>0.35307554046494816</v>
      </c>
      <c r="O320" s="80"/>
      <c r="P320" s="59">
        <f>IF(D320=0,0,SUM($L$294:L320))</f>
        <v>4324652.7858870253</v>
      </c>
      <c r="Q320" s="59">
        <f>IF(D320=0,0,SUM($J$294:J320))</f>
        <v>3086610</v>
      </c>
      <c r="R320" s="63">
        <f t="shared" si="80"/>
        <v>-1238042.7858870253</v>
      </c>
      <c r="S320" s="64">
        <f t="shared" si="86"/>
        <v>0.713724350327678</v>
      </c>
      <c r="T320" s="73"/>
      <c r="U320" s="59">
        <f>IF(D320=0,0,SUM($L$21:L320))</f>
        <v>51740442.259571195</v>
      </c>
      <c r="V320" s="59">
        <f>IF(D320=0,0,SUM($J$21:J320))</f>
        <v>52240570</v>
      </c>
      <c r="W320" s="66">
        <f t="shared" si="81"/>
        <v>500127.74042880535</v>
      </c>
      <c r="X320" s="67">
        <f t="shared" si="87"/>
        <v>1.0096660893990772</v>
      </c>
      <c r="Y320" s="68">
        <f t="shared" si="90"/>
        <v>45957</v>
      </c>
      <c r="Z320" s="69">
        <f t="shared" si="90"/>
        <v>45957</v>
      </c>
      <c r="AA320" s="1"/>
      <c r="AB320" s="1"/>
      <c r="AC320" s="1"/>
      <c r="AD320" s="1"/>
      <c r="AE320" s="1"/>
      <c r="AF320" s="1"/>
      <c r="AG320" s="1"/>
    </row>
    <row r="321" spans="1:33" ht="20">
      <c r="A321" s="1"/>
      <c r="B321" s="11"/>
      <c r="C321" s="50">
        <v>301</v>
      </c>
      <c r="D321" s="51">
        <v>1</v>
      </c>
      <c r="E321" s="52">
        <f t="shared" si="82"/>
        <v>10</v>
      </c>
      <c r="F321" s="53">
        <f t="shared" si="83"/>
        <v>45958</v>
      </c>
      <c r="G321" s="54" t="str">
        <f t="shared" si="84"/>
        <v>Tue</v>
      </c>
      <c r="H321" s="55"/>
      <c r="I321" s="56"/>
      <c r="J321" s="82">
        <v>192550</v>
      </c>
      <c r="K321" s="83"/>
      <c r="L321" s="59">
        <f t="shared" si="85"/>
        <v>230383.60450142281</v>
      </c>
      <c r="M321" s="60">
        <f t="shared" si="79"/>
        <v>-37833.604501422815</v>
      </c>
      <c r="N321" s="61">
        <f t="shared" si="78"/>
        <v>0.83577996106407315</v>
      </c>
      <c r="O321" s="80"/>
      <c r="P321" s="59">
        <f>IF(D321=0,0,SUM($L$294:L321))</f>
        <v>4555036.3903884478</v>
      </c>
      <c r="Q321" s="59">
        <f>IF(D321=0,0,SUM($J$294:J321))</f>
        <v>3279160</v>
      </c>
      <c r="R321" s="63">
        <f t="shared" si="80"/>
        <v>-1275876.3903884478</v>
      </c>
      <c r="S321" s="64">
        <f t="shared" si="86"/>
        <v>0.71989765151368135</v>
      </c>
      <c r="T321" s="73"/>
      <c r="U321" s="59">
        <f>IF(D321=0,0,SUM($L$21:L321))</f>
        <v>51970825.864072621</v>
      </c>
      <c r="V321" s="59">
        <f>IF(D321=0,0,SUM($J$21:J321))</f>
        <v>52433120</v>
      </c>
      <c r="W321" s="66">
        <f t="shared" si="81"/>
        <v>462294.13592737913</v>
      </c>
      <c r="X321" s="67">
        <f t="shared" si="87"/>
        <v>1.0088952624523706</v>
      </c>
      <c r="Y321" s="68">
        <f t="shared" si="90"/>
        <v>45958</v>
      </c>
      <c r="Z321" s="69">
        <f t="shared" si="90"/>
        <v>45958</v>
      </c>
      <c r="AA321" s="1"/>
      <c r="AB321" s="1"/>
      <c r="AC321" s="1"/>
      <c r="AD321" s="1"/>
      <c r="AE321" s="1"/>
      <c r="AF321" s="1"/>
      <c r="AG321" s="1"/>
    </row>
    <row r="322" spans="1:33" ht="20">
      <c r="A322" s="1"/>
      <c r="B322" s="11"/>
      <c r="C322" s="50">
        <v>302</v>
      </c>
      <c r="D322" s="51">
        <v>1</v>
      </c>
      <c r="E322" s="52">
        <f t="shared" si="82"/>
        <v>10</v>
      </c>
      <c r="F322" s="53">
        <f t="shared" si="83"/>
        <v>45959</v>
      </c>
      <c r="G322" s="54" t="str">
        <f t="shared" si="84"/>
        <v>Wed</v>
      </c>
      <c r="H322" s="55"/>
      <c r="I322" s="56"/>
      <c r="J322" s="82">
        <v>154300</v>
      </c>
      <c r="K322" s="83"/>
      <c r="L322" s="59">
        <f t="shared" si="85"/>
        <v>198827.97557710868</v>
      </c>
      <c r="M322" s="60">
        <f t="shared" si="79"/>
        <v>-44527.975577108678</v>
      </c>
      <c r="N322" s="61">
        <f t="shared" si="78"/>
        <v>0.77604773449076325</v>
      </c>
      <c r="O322" s="80"/>
      <c r="P322" s="59">
        <f>IF(D322=0,0,SUM($L$294:L322))</f>
        <v>4753864.3659655564</v>
      </c>
      <c r="Q322" s="59">
        <f>IF(D322=0,0,SUM($J$294:J322))</f>
        <v>3433460</v>
      </c>
      <c r="R322" s="63">
        <f t="shared" si="80"/>
        <v>-1320404.3659655564</v>
      </c>
      <c r="S322" s="64">
        <f t="shared" si="86"/>
        <v>0.72224610036862735</v>
      </c>
      <c r="T322" s="73"/>
      <c r="U322" s="59">
        <f>IF(D322=0,0,SUM($L$21:L322))</f>
        <v>52169653.839649729</v>
      </c>
      <c r="V322" s="59">
        <f>IF(D322=0,0,SUM($J$21:J322))</f>
        <v>52587420</v>
      </c>
      <c r="W322" s="66">
        <f t="shared" si="81"/>
        <v>417766.16035027057</v>
      </c>
      <c r="X322" s="67">
        <f t="shared" si="87"/>
        <v>1.0080078384578577</v>
      </c>
      <c r="Y322" s="68">
        <f t="shared" si="90"/>
        <v>45959</v>
      </c>
      <c r="Z322" s="69">
        <f t="shared" si="90"/>
        <v>45959</v>
      </c>
      <c r="AA322" s="1"/>
      <c r="AB322" s="1"/>
      <c r="AC322" s="1"/>
      <c r="AD322" s="1"/>
      <c r="AE322" s="1"/>
      <c r="AF322" s="1"/>
      <c r="AG322" s="1"/>
    </row>
    <row r="323" spans="1:33" ht="20">
      <c r="A323" s="1"/>
      <c r="B323" s="11"/>
      <c r="C323" s="50">
        <v>303</v>
      </c>
      <c r="D323" s="51">
        <v>1</v>
      </c>
      <c r="E323" s="52">
        <f t="shared" si="82"/>
        <v>10</v>
      </c>
      <c r="F323" s="53">
        <f t="shared" si="83"/>
        <v>45960</v>
      </c>
      <c r="G323" s="54" t="str">
        <f t="shared" si="84"/>
        <v>Thu</v>
      </c>
      <c r="H323" s="55"/>
      <c r="I323" s="56"/>
      <c r="J323" s="82">
        <v>204150</v>
      </c>
      <c r="K323" s="83"/>
      <c r="L323" s="59">
        <f t="shared" si="85"/>
        <v>231857.03538446798</v>
      </c>
      <c r="M323" s="60">
        <f t="shared" si="79"/>
        <v>-27707.035384467978</v>
      </c>
      <c r="N323" s="61">
        <f t="shared" si="78"/>
        <v>0.88049948392325528</v>
      </c>
      <c r="O323" s="80"/>
      <c r="P323" s="59">
        <f>IF(D323=0,0,SUM($L$294:L323))</f>
        <v>4985721.4013500242</v>
      </c>
      <c r="Q323" s="59">
        <f>IF(D323=0,0,SUM($J$294:J323))</f>
        <v>3637610</v>
      </c>
      <c r="R323" s="63">
        <f t="shared" si="80"/>
        <v>-1348111.4013500242</v>
      </c>
      <c r="S323" s="64">
        <f t="shared" si="86"/>
        <v>0.72960554896128271</v>
      </c>
      <c r="T323" s="73"/>
      <c r="U323" s="59">
        <f>IF(D323=0,0,SUM($L$21:L323))</f>
        <v>52401510.875034198</v>
      </c>
      <c r="V323" s="59">
        <f>IF(D323=0,0,SUM($J$21:J323))</f>
        <v>52791570</v>
      </c>
      <c r="W323" s="66">
        <f t="shared" si="81"/>
        <v>390059.12496580184</v>
      </c>
      <c r="X323" s="67">
        <f t="shared" si="87"/>
        <v>1.0074436618038745</v>
      </c>
      <c r="Y323" s="68">
        <f t="shared" si="90"/>
        <v>45960</v>
      </c>
      <c r="Z323" s="69">
        <f t="shared" si="90"/>
        <v>45960</v>
      </c>
      <c r="AA323" s="1"/>
      <c r="AB323" s="1"/>
      <c r="AC323" s="1"/>
      <c r="AD323" s="1"/>
      <c r="AE323" s="1"/>
      <c r="AF323" s="1"/>
      <c r="AG323" s="1"/>
    </row>
    <row r="324" spans="1:33" ht="21" thickBot="1">
      <c r="A324" s="1"/>
      <c r="B324" s="11"/>
      <c r="C324" s="100">
        <v>304</v>
      </c>
      <c r="D324" s="85">
        <v>1</v>
      </c>
      <c r="E324" s="501">
        <f t="shared" si="82"/>
        <v>10</v>
      </c>
      <c r="F324" s="101">
        <f t="shared" si="83"/>
        <v>45961</v>
      </c>
      <c r="G324" s="87" t="str">
        <f t="shared" si="84"/>
        <v>Fri</v>
      </c>
      <c r="H324" s="508"/>
      <c r="I324" s="502"/>
      <c r="J324" s="102">
        <v>206390</v>
      </c>
      <c r="K324" s="503"/>
      <c r="L324" s="534">
        <f t="shared" si="85"/>
        <v>186910.17759734325</v>
      </c>
      <c r="M324" s="91">
        <f t="shared" si="79"/>
        <v>19479.822402656748</v>
      </c>
      <c r="N324" s="92">
        <f t="shared" si="78"/>
        <v>1.1042202337671614</v>
      </c>
      <c r="O324" s="504"/>
      <c r="P324" s="93">
        <f>IF(D324=0,0,SUM($L$294:L324))</f>
        <v>5172631.5789473671</v>
      </c>
      <c r="Q324" s="103">
        <f>IF(D324=0,0,SUM($J$294:J324))</f>
        <v>3844000</v>
      </c>
      <c r="R324" s="105">
        <f t="shared" si="80"/>
        <v>-1328631.5789473671</v>
      </c>
      <c r="S324" s="505">
        <f t="shared" si="86"/>
        <v>0.74314204314204335</v>
      </c>
      <c r="T324" s="506"/>
      <c r="U324" s="94">
        <f>IF(D324=0,0,SUM($L$21:L324))</f>
        <v>52588421.052631542</v>
      </c>
      <c r="V324" s="94">
        <f>IF(D324=0,0,SUM($J$21:J324))</f>
        <v>52997960</v>
      </c>
      <c r="W324" s="95">
        <f t="shared" si="81"/>
        <v>409538.94736845791</v>
      </c>
      <c r="X324" s="507">
        <f t="shared" si="87"/>
        <v>1.0077876258532004</v>
      </c>
      <c r="Y324" s="68">
        <f t="shared" si="90"/>
        <v>45961</v>
      </c>
      <c r="Z324" s="69">
        <f t="shared" si="90"/>
        <v>45961</v>
      </c>
      <c r="AA324" s="1"/>
      <c r="AB324" s="1"/>
      <c r="AC324" s="1"/>
      <c r="AD324" s="1"/>
      <c r="AE324" s="1"/>
      <c r="AF324" s="1"/>
      <c r="AG324" s="1"/>
    </row>
    <row r="325" spans="1:33" ht="21" thickTop="1">
      <c r="A325" s="1"/>
      <c r="B325" s="11"/>
      <c r="C325" s="50">
        <v>305</v>
      </c>
      <c r="D325" s="96">
        <v>1</v>
      </c>
      <c r="E325" s="52">
        <f t="shared" si="82"/>
        <v>11</v>
      </c>
      <c r="F325" s="53">
        <f t="shared" si="83"/>
        <v>45962</v>
      </c>
      <c r="G325" s="54" t="str">
        <f t="shared" si="84"/>
        <v>Sat</v>
      </c>
      <c r="H325" s="55"/>
      <c r="I325" s="56"/>
      <c r="J325" s="82">
        <v>60930</v>
      </c>
      <c r="K325" s="83"/>
      <c r="L325" s="59">
        <f t="shared" si="85"/>
        <v>146897.80364132358</v>
      </c>
      <c r="M325" s="63">
        <f t="shared" si="79"/>
        <v>-85967.803641323582</v>
      </c>
      <c r="N325" s="97">
        <f t="shared" si="78"/>
        <v>0.41477815521851602</v>
      </c>
      <c r="O325" s="80"/>
      <c r="P325" s="59">
        <f>IF(D325=0,0,$L$325)</f>
        <v>146897.80364132358</v>
      </c>
      <c r="Q325" s="59">
        <f>IF(D325=0,0,$J$325)</f>
        <v>60930</v>
      </c>
      <c r="R325" s="63">
        <f t="shared" si="80"/>
        <v>-85967.803641323582</v>
      </c>
      <c r="S325" s="499">
        <f t="shared" si="86"/>
        <v>0.41477815521851602</v>
      </c>
      <c r="T325" s="73"/>
      <c r="U325" s="59">
        <f>IF(D325=0,0,SUM($L$21:L325))</f>
        <v>52735318.856272869</v>
      </c>
      <c r="V325" s="59">
        <f>IF(D325=0,0,SUM($J$21:J325))</f>
        <v>53058890</v>
      </c>
      <c r="W325" s="66">
        <f t="shared" si="81"/>
        <v>323571.14372713119</v>
      </c>
      <c r="X325" s="500">
        <f t="shared" si="87"/>
        <v>1.0061357577946766</v>
      </c>
      <c r="Y325" s="68">
        <f t="shared" si="90"/>
        <v>45962</v>
      </c>
      <c r="Z325" s="69">
        <f t="shared" si="90"/>
        <v>45962</v>
      </c>
      <c r="AA325" s="1"/>
      <c r="AB325" s="1"/>
      <c r="AC325" s="1"/>
      <c r="AD325" s="1"/>
      <c r="AE325" s="1"/>
      <c r="AF325" s="1"/>
      <c r="AG325" s="1"/>
    </row>
    <row r="326" spans="1:33" ht="20">
      <c r="A326" s="1"/>
      <c r="B326" s="11"/>
      <c r="C326" s="50">
        <v>306</v>
      </c>
      <c r="D326" s="51">
        <v>0</v>
      </c>
      <c r="E326" s="52">
        <f t="shared" si="82"/>
        <v>11</v>
      </c>
      <c r="F326" s="53">
        <f t="shared" si="83"/>
        <v>45963</v>
      </c>
      <c r="G326" s="54" t="str">
        <f t="shared" si="84"/>
        <v>Sun</v>
      </c>
      <c r="H326" s="55"/>
      <c r="I326" s="56"/>
      <c r="J326" s="82"/>
      <c r="K326" s="83"/>
      <c r="L326" s="59">
        <f t="shared" si="85"/>
        <v>0</v>
      </c>
      <c r="M326" s="60">
        <f t="shared" si="79"/>
        <v>0</v>
      </c>
      <c r="N326" s="61" t="str">
        <f t="shared" si="78"/>
        <v>¥0</v>
      </c>
      <c r="O326" s="81"/>
      <c r="P326" s="59">
        <f>IF(D326=0,0,SUM($L$325:L326))</f>
        <v>0</v>
      </c>
      <c r="Q326" s="59">
        <f>IF(D326=0,0,SUM($J$325:J326))</f>
        <v>0</v>
      </c>
      <c r="R326" s="63">
        <f t="shared" si="80"/>
        <v>0</v>
      </c>
      <c r="S326" s="64">
        <f t="shared" si="86"/>
        <v>0</v>
      </c>
      <c r="T326" s="78"/>
      <c r="U326" s="59">
        <f>IF(D326=0,0,SUM($L$21:L326))</f>
        <v>0</v>
      </c>
      <c r="V326" s="59">
        <f>IF(D326=0,0,SUM($J$21:J326))</f>
        <v>0</v>
      </c>
      <c r="W326" s="66">
        <f t="shared" si="81"/>
        <v>0</v>
      </c>
      <c r="X326" s="67">
        <f t="shared" si="87"/>
        <v>0</v>
      </c>
      <c r="Y326" s="68">
        <f t="shared" si="90"/>
        <v>45963</v>
      </c>
      <c r="Z326" s="69">
        <f t="shared" si="90"/>
        <v>45963</v>
      </c>
      <c r="AA326" s="1"/>
      <c r="AB326" s="1"/>
      <c r="AC326" s="1"/>
      <c r="AD326" s="1"/>
      <c r="AE326" s="1"/>
      <c r="AF326" s="1"/>
      <c r="AG326" s="1"/>
    </row>
    <row r="327" spans="1:33" ht="20">
      <c r="A327" s="1"/>
      <c r="B327" s="11"/>
      <c r="C327" s="50">
        <v>307</v>
      </c>
      <c r="D327" s="51">
        <v>0</v>
      </c>
      <c r="E327" s="52">
        <f t="shared" si="82"/>
        <v>11</v>
      </c>
      <c r="F327" s="53">
        <f t="shared" si="83"/>
        <v>45964</v>
      </c>
      <c r="G327" s="54" t="str">
        <f t="shared" si="84"/>
        <v>Mon</v>
      </c>
      <c r="H327" s="55"/>
      <c r="I327" s="56"/>
      <c r="J327" s="82"/>
      <c r="K327" s="83"/>
      <c r="L327" s="59">
        <f t="shared" si="85"/>
        <v>0</v>
      </c>
      <c r="M327" s="60">
        <f t="shared" si="79"/>
        <v>0</v>
      </c>
      <c r="N327" s="61" t="str">
        <f t="shared" si="78"/>
        <v>¥0</v>
      </c>
      <c r="O327" s="81"/>
      <c r="P327" s="59">
        <f>IF(D327=0,0,SUM($L$325:L327))</f>
        <v>0</v>
      </c>
      <c r="Q327" s="59">
        <f>IF(D327=0,0,SUM($J$325:J327))</f>
        <v>0</v>
      </c>
      <c r="R327" s="63">
        <f t="shared" si="80"/>
        <v>0</v>
      </c>
      <c r="S327" s="64">
        <f t="shared" si="86"/>
        <v>0</v>
      </c>
      <c r="T327" s="78"/>
      <c r="U327" s="59">
        <f>IF(D327=0,0,SUM($L$21:L327))</f>
        <v>0</v>
      </c>
      <c r="V327" s="59">
        <f>IF(D327=0,0,SUM($J$21:J327))</f>
        <v>0</v>
      </c>
      <c r="W327" s="66">
        <f t="shared" si="81"/>
        <v>0</v>
      </c>
      <c r="X327" s="67">
        <f t="shared" si="87"/>
        <v>0</v>
      </c>
      <c r="Y327" s="68">
        <f t="shared" ref="Y327:Z342" si="91">Y326+1</f>
        <v>45964</v>
      </c>
      <c r="Z327" s="69">
        <f t="shared" si="91"/>
        <v>45964</v>
      </c>
      <c r="AA327" s="1"/>
      <c r="AB327" s="1"/>
      <c r="AC327" s="1"/>
      <c r="AD327" s="1"/>
      <c r="AE327" s="1"/>
      <c r="AF327" s="1"/>
      <c r="AG327" s="1"/>
    </row>
    <row r="328" spans="1:33" ht="20">
      <c r="A328" s="1"/>
      <c r="B328" s="11"/>
      <c r="C328" s="50">
        <v>308</v>
      </c>
      <c r="D328" s="51">
        <v>1</v>
      </c>
      <c r="E328" s="52">
        <f t="shared" si="82"/>
        <v>11</v>
      </c>
      <c r="F328" s="53">
        <f t="shared" si="83"/>
        <v>45965</v>
      </c>
      <c r="G328" s="54" t="str">
        <f t="shared" si="84"/>
        <v>Tue</v>
      </c>
      <c r="H328" s="55"/>
      <c r="I328" s="56"/>
      <c r="J328" s="82">
        <v>144600</v>
      </c>
      <c r="K328" s="83"/>
      <c r="L328" s="59">
        <f t="shared" si="85"/>
        <v>192620.47078790865</v>
      </c>
      <c r="M328" s="60">
        <f t="shared" si="79"/>
        <v>-48020.470787908649</v>
      </c>
      <c r="N328" s="61">
        <f t="shared" si="78"/>
        <v>0.75069902699602875</v>
      </c>
      <c r="O328" s="80"/>
      <c r="P328" s="59">
        <f>IF(D328=0,0,SUM($L$325:L328))</f>
        <v>339518.27442923223</v>
      </c>
      <c r="Q328" s="59">
        <f>IF(D328=0,0,SUM($J$325:J328))</f>
        <v>205530</v>
      </c>
      <c r="R328" s="63">
        <f t="shared" si="80"/>
        <v>-133988.27442923223</v>
      </c>
      <c r="S328" s="64">
        <f t="shared" si="86"/>
        <v>0.60535769494445812</v>
      </c>
      <c r="T328" s="73"/>
      <c r="U328" s="59">
        <f>IF(D328=0,0,SUM($L$21:L328))</f>
        <v>52927939.327060774</v>
      </c>
      <c r="V328" s="59">
        <f>IF(D328=0,0,SUM($J$21:J328))</f>
        <v>53203490</v>
      </c>
      <c r="W328" s="66">
        <f t="shared" si="81"/>
        <v>275550.67293922603</v>
      </c>
      <c r="X328" s="67">
        <f t="shared" si="87"/>
        <v>1.0052061477632164</v>
      </c>
      <c r="Y328" s="68">
        <f t="shared" si="91"/>
        <v>45965</v>
      </c>
      <c r="Z328" s="69">
        <f t="shared" si="91"/>
        <v>45965</v>
      </c>
      <c r="AA328" s="1"/>
      <c r="AB328" s="1"/>
      <c r="AC328" s="1"/>
      <c r="AD328" s="1"/>
      <c r="AE328" s="1"/>
      <c r="AF328" s="1"/>
      <c r="AG328" s="1"/>
    </row>
    <row r="329" spans="1:33" ht="20">
      <c r="A329" s="1"/>
      <c r="B329" s="11"/>
      <c r="C329" s="50">
        <v>309</v>
      </c>
      <c r="D329" s="51">
        <v>1</v>
      </c>
      <c r="E329" s="52">
        <f t="shared" si="82"/>
        <v>11</v>
      </c>
      <c r="F329" s="53">
        <f t="shared" si="83"/>
        <v>45966</v>
      </c>
      <c r="G329" s="54" t="str">
        <f t="shared" si="84"/>
        <v>Wed</v>
      </c>
      <c r="H329" s="55"/>
      <c r="I329" s="56"/>
      <c r="J329" s="82">
        <v>195550</v>
      </c>
      <c r="K329" s="83"/>
      <c r="L329" s="59">
        <f t="shared" si="85"/>
        <v>222098.10313108019</v>
      </c>
      <c r="M329" s="60">
        <f t="shared" si="79"/>
        <v>-26548.103131080192</v>
      </c>
      <c r="N329" s="61">
        <f t="shared" si="78"/>
        <v>0.88046677231001946</v>
      </c>
      <c r="O329" s="80"/>
      <c r="P329" s="59">
        <f>IF(D329=0,0,SUM($L$325:L329))</f>
        <v>561616.37756031239</v>
      </c>
      <c r="Q329" s="59">
        <f>IF(D329=0,0,SUM($J$325:J329))</f>
        <v>401080</v>
      </c>
      <c r="R329" s="63">
        <f t="shared" si="80"/>
        <v>-160536.37756031239</v>
      </c>
      <c r="S329" s="64">
        <f t="shared" si="86"/>
        <v>0.7141529628147778</v>
      </c>
      <c r="T329" s="73"/>
      <c r="U329" s="59">
        <f>IF(D329=0,0,SUM($L$21:L329))</f>
        <v>53150037.430191852</v>
      </c>
      <c r="V329" s="59">
        <f>IF(D329=0,0,SUM($J$21:J329))</f>
        <v>53399040</v>
      </c>
      <c r="W329" s="66">
        <f t="shared" si="81"/>
        <v>249002.56980814785</v>
      </c>
      <c r="X329" s="67">
        <f t="shared" si="87"/>
        <v>1.0046848992370925</v>
      </c>
      <c r="Y329" s="68">
        <f t="shared" si="91"/>
        <v>45966</v>
      </c>
      <c r="Z329" s="69">
        <f t="shared" si="91"/>
        <v>45966</v>
      </c>
      <c r="AA329" s="1"/>
      <c r="AB329" s="1"/>
      <c r="AC329" s="1"/>
      <c r="AD329" s="1"/>
      <c r="AE329" s="1"/>
      <c r="AF329" s="1"/>
      <c r="AG329" s="1"/>
    </row>
    <row r="330" spans="1:33" ht="20">
      <c r="A330" s="1"/>
      <c r="B330" s="11"/>
      <c r="C330" s="50">
        <v>310</v>
      </c>
      <c r="D330" s="51">
        <v>1</v>
      </c>
      <c r="E330" s="52">
        <f t="shared" si="82"/>
        <v>11</v>
      </c>
      <c r="F330" s="53">
        <f t="shared" si="83"/>
        <v>45967</v>
      </c>
      <c r="G330" s="54" t="str">
        <f t="shared" si="84"/>
        <v>Thu</v>
      </c>
      <c r="H330" s="55"/>
      <c r="I330" s="56"/>
      <c r="J330" s="82">
        <v>339960</v>
      </c>
      <c r="K330" s="83"/>
      <c r="L330" s="59">
        <f t="shared" si="85"/>
        <v>216358.54297113989</v>
      </c>
      <c r="M330" s="60">
        <f t="shared" si="79"/>
        <v>123601.45702886011</v>
      </c>
      <c r="N330" s="61">
        <f t="shared" si="78"/>
        <v>1.5712806868243114</v>
      </c>
      <c r="O330" s="80"/>
      <c r="P330" s="59">
        <f>IF(D330=0,0,SUM($L$325:L330))</f>
        <v>777974.92053145228</v>
      </c>
      <c r="Q330" s="59">
        <f>IF(D330=0,0,SUM($J$325:J330))</f>
        <v>741040</v>
      </c>
      <c r="R330" s="63">
        <f t="shared" si="80"/>
        <v>-36934.920531452284</v>
      </c>
      <c r="S330" s="64">
        <f t="shared" si="86"/>
        <v>0.95252427866669376</v>
      </c>
      <c r="T330" s="73"/>
      <c r="U330" s="59">
        <f>IF(D330=0,0,SUM($L$21:L330))</f>
        <v>53366395.973162994</v>
      </c>
      <c r="V330" s="59">
        <f>IF(D330=0,0,SUM($J$21:J330))</f>
        <v>53739000</v>
      </c>
      <c r="W330" s="66">
        <f t="shared" si="81"/>
        <v>372604.02683700621</v>
      </c>
      <c r="X330" s="67">
        <f t="shared" si="87"/>
        <v>1.0069819971920979</v>
      </c>
      <c r="Y330" s="68">
        <f t="shared" si="91"/>
        <v>45967</v>
      </c>
      <c r="Z330" s="69">
        <f t="shared" si="91"/>
        <v>45967</v>
      </c>
      <c r="AA330" s="1"/>
      <c r="AB330" s="1"/>
      <c r="AC330" s="1"/>
      <c r="AD330" s="1"/>
      <c r="AE330" s="1"/>
      <c r="AF330" s="1"/>
      <c r="AG330" s="1"/>
    </row>
    <row r="331" spans="1:33" ht="20">
      <c r="A331" s="1"/>
      <c r="B331" s="11"/>
      <c r="C331" s="50">
        <v>311</v>
      </c>
      <c r="D331" s="51">
        <v>1</v>
      </c>
      <c r="E331" s="52">
        <f t="shared" si="82"/>
        <v>11</v>
      </c>
      <c r="F331" s="53">
        <f t="shared" si="83"/>
        <v>45968</v>
      </c>
      <c r="G331" s="54" t="str">
        <f t="shared" si="84"/>
        <v>Fri</v>
      </c>
      <c r="H331" s="55"/>
      <c r="I331" s="56"/>
      <c r="J331" s="82">
        <v>303250</v>
      </c>
      <c r="K331" s="83"/>
      <c r="L331" s="59">
        <f t="shared" si="85"/>
        <v>346355.42149222188</v>
      </c>
      <c r="M331" s="60">
        <f t="shared" si="79"/>
        <v>-43105.421492221882</v>
      </c>
      <c r="N331" s="61">
        <f t="shared" si="78"/>
        <v>0.87554570011779098</v>
      </c>
      <c r="O331" s="80"/>
      <c r="P331" s="59">
        <f>IF(D331=0,0,SUM($L$325:L331))</f>
        <v>1124330.3420236742</v>
      </c>
      <c r="Q331" s="59">
        <f>IF(D331=0,0,SUM($J$325:J331))</f>
        <v>1044290</v>
      </c>
      <c r="R331" s="63">
        <f t="shared" si="80"/>
        <v>-80040.342023674166</v>
      </c>
      <c r="S331" s="64">
        <f t="shared" si="86"/>
        <v>0.9288106537446903</v>
      </c>
      <c r="T331" s="73"/>
      <c r="U331" s="59">
        <f>IF(D331=0,0,SUM($L$21:L331))</f>
        <v>53712751.394655213</v>
      </c>
      <c r="V331" s="59">
        <f>IF(D331=0,0,SUM($J$21:J331))</f>
        <v>54042250</v>
      </c>
      <c r="W331" s="66">
        <f t="shared" si="81"/>
        <v>329498.60534478724</v>
      </c>
      <c r="X331" s="67">
        <f t="shared" si="87"/>
        <v>1.0061344577737936</v>
      </c>
      <c r="Y331" s="68">
        <f t="shared" si="91"/>
        <v>45968</v>
      </c>
      <c r="Z331" s="69">
        <f t="shared" si="91"/>
        <v>45968</v>
      </c>
      <c r="AA331" s="1"/>
      <c r="AB331" s="1"/>
      <c r="AC331" s="1"/>
      <c r="AD331" s="1"/>
      <c r="AE331" s="1"/>
      <c r="AF331" s="1"/>
      <c r="AG331" s="1"/>
    </row>
    <row r="332" spans="1:33" ht="20">
      <c r="A332" s="1"/>
      <c r="B332" s="11"/>
      <c r="C332" s="50">
        <v>312</v>
      </c>
      <c r="D332" s="51">
        <v>1</v>
      </c>
      <c r="E332" s="52">
        <f t="shared" si="82"/>
        <v>11</v>
      </c>
      <c r="F332" s="53">
        <f t="shared" si="83"/>
        <v>45969</v>
      </c>
      <c r="G332" s="54" t="str">
        <f t="shared" si="84"/>
        <v>Sat</v>
      </c>
      <c r="H332" s="55"/>
      <c r="I332" s="56"/>
      <c r="J332" s="82">
        <v>71410</v>
      </c>
      <c r="K332" s="83"/>
      <c r="L332" s="59">
        <f t="shared" si="85"/>
        <v>146897.80364132358</v>
      </c>
      <c r="M332" s="60">
        <f t="shared" si="79"/>
        <v>-75487.803641323582</v>
      </c>
      <c r="N332" s="61">
        <f t="shared" si="78"/>
        <v>0.48612027021424958</v>
      </c>
      <c r="O332" s="80"/>
      <c r="P332" s="59">
        <f>IF(D332=0,0,SUM($L$325:L332))</f>
        <v>1271228.1456649979</v>
      </c>
      <c r="Q332" s="59">
        <f>IF(D332=0,0,SUM($J$325:J332))</f>
        <v>1115700</v>
      </c>
      <c r="R332" s="63">
        <f t="shared" si="80"/>
        <v>-155528.14566499786</v>
      </c>
      <c r="S332" s="64">
        <f t="shared" si="86"/>
        <v>0.87765520595546687</v>
      </c>
      <c r="T332" s="73"/>
      <c r="U332" s="59">
        <f>IF(D332=0,0,SUM($L$21:L332))</f>
        <v>53859649.198296539</v>
      </c>
      <c r="V332" s="59">
        <f>IF(D332=0,0,SUM($J$21:J332))</f>
        <v>54113660</v>
      </c>
      <c r="W332" s="66">
        <f t="shared" si="81"/>
        <v>254010.80170346051</v>
      </c>
      <c r="X332" s="67">
        <f t="shared" si="87"/>
        <v>1.0047161614582423</v>
      </c>
      <c r="Y332" s="68">
        <f t="shared" si="91"/>
        <v>45969</v>
      </c>
      <c r="Z332" s="69">
        <f t="shared" si="91"/>
        <v>45969</v>
      </c>
      <c r="AA332" s="1"/>
      <c r="AB332" s="1"/>
      <c r="AC332" s="1"/>
      <c r="AD332" s="1"/>
      <c r="AE332" s="1"/>
      <c r="AF332" s="1"/>
      <c r="AG332" s="1"/>
    </row>
    <row r="333" spans="1:33" ht="20">
      <c r="A333" s="1"/>
      <c r="B333" s="11"/>
      <c r="C333" s="50">
        <v>313</v>
      </c>
      <c r="D333" s="51">
        <v>0</v>
      </c>
      <c r="E333" s="52">
        <f t="shared" si="82"/>
        <v>11</v>
      </c>
      <c r="F333" s="53">
        <f t="shared" si="83"/>
        <v>45970</v>
      </c>
      <c r="G333" s="54" t="str">
        <f t="shared" si="84"/>
        <v>Sun</v>
      </c>
      <c r="H333" s="55"/>
      <c r="I333" s="56"/>
      <c r="J333" s="82"/>
      <c r="K333" s="83"/>
      <c r="L333" s="59">
        <f t="shared" si="85"/>
        <v>0</v>
      </c>
      <c r="M333" s="60">
        <f t="shared" si="79"/>
        <v>0</v>
      </c>
      <c r="N333" s="61" t="str">
        <f t="shared" si="78"/>
        <v>¥0</v>
      </c>
      <c r="O333" s="81"/>
      <c r="P333" s="59">
        <f>IF(D333=0,0,SUM($L$325:L333))</f>
        <v>0</v>
      </c>
      <c r="Q333" s="59">
        <f>IF(D333=0,0,SUM($J$325:J333))</f>
        <v>0</v>
      </c>
      <c r="R333" s="63">
        <f t="shared" si="80"/>
        <v>0</v>
      </c>
      <c r="S333" s="64">
        <f t="shared" si="86"/>
        <v>0</v>
      </c>
      <c r="T333" s="78"/>
      <c r="U333" s="59">
        <f>IF(D333=0,0,SUM($L$21:L333))</f>
        <v>0</v>
      </c>
      <c r="V333" s="59">
        <f>IF(D333=0,0,SUM($J$21:J333))</f>
        <v>0</v>
      </c>
      <c r="W333" s="66">
        <f t="shared" si="81"/>
        <v>0</v>
      </c>
      <c r="X333" s="67">
        <f t="shared" si="87"/>
        <v>0</v>
      </c>
      <c r="Y333" s="68">
        <f t="shared" si="91"/>
        <v>45970</v>
      </c>
      <c r="Z333" s="69">
        <f t="shared" si="91"/>
        <v>45970</v>
      </c>
      <c r="AA333" s="1"/>
      <c r="AB333" s="1"/>
      <c r="AC333" s="1"/>
      <c r="AD333" s="1"/>
      <c r="AE333" s="1"/>
      <c r="AF333" s="1"/>
      <c r="AG333" s="1"/>
    </row>
    <row r="334" spans="1:33" ht="20">
      <c r="A334" s="1"/>
      <c r="B334" s="11"/>
      <c r="C334" s="50">
        <v>314</v>
      </c>
      <c r="D334" s="51">
        <v>1</v>
      </c>
      <c r="E334" s="52">
        <f t="shared" si="82"/>
        <v>11</v>
      </c>
      <c r="F334" s="53">
        <f t="shared" si="83"/>
        <v>45971</v>
      </c>
      <c r="G334" s="54" t="str">
        <f t="shared" si="84"/>
        <v>Mon</v>
      </c>
      <c r="H334" s="55"/>
      <c r="I334" s="56"/>
      <c r="J334" s="82">
        <v>30050</v>
      </c>
      <c r="K334" s="83"/>
      <c r="L334" s="59">
        <f t="shared" si="85"/>
        <v>219995.67728988465</v>
      </c>
      <c r="M334" s="60">
        <f t="shared" si="79"/>
        <v>-189945.67728988465</v>
      </c>
      <c r="N334" s="61">
        <f t="shared" si="78"/>
        <v>0.13659359297502749</v>
      </c>
      <c r="O334" s="80"/>
      <c r="P334" s="59">
        <f>IF(D334=0,0,SUM($L$325:L334))</f>
        <v>1491223.8229548824</v>
      </c>
      <c r="Q334" s="59">
        <f>IF(D334=0,0,SUM($J$325:J334))</f>
        <v>1145750</v>
      </c>
      <c r="R334" s="63">
        <f t="shared" si="80"/>
        <v>-345473.8229548824</v>
      </c>
      <c r="S334" s="64">
        <f t="shared" si="86"/>
        <v>0.76832865889285429</v>
      </c>
      <c r="T334" s="73"/>
      <c r="U334" s="59">
        <f>IF(D334=0,0,SUM($L$21:L334))</f>
        <v>54079644.875586428</v>
      </c>
      <c r="V334" s="59">
        <f>IF(D334=0,0,SUM($J$21:J334))</f>
        <v>54143710</v>
      </c>
      <c r="W334" s="66">
        <f t="shared" si="81"/>
        <v>64065.124413572252</v>
      </c>
      <c r="X334" s="67">
        <f t="shared" si="87"/>
        <v>1.0011846439554284</v>
      </c>
      <c r="Y334" s="68">
        <f t="shared" si="91"/>
        <v>45971</v>
      </c>
      <c r="Z334" s="69">
        <f t="shared" si="91"/>
        <v>45971</v>
      </c>
      <c r="AA334" s="1"/>
      <c r="AB334" s="1"/>
      <c r="AC334" s="1"/>
      <c r="AD334" s="1"/>
      <c r="AE334" s="1"/>
      <c r="AF334" s="1"/>
      <c r="AG334" s="1"/>
    </row>
    <row r="335" spans="1:33" ht="20">
      <c r="A335" s="1"/>
      <c r="B335" s="11"/>
      <c r="C335" s="50">
        <v>315</v>
      </c>
      <c r="D335" s="51">
        <v>1</v>
      </c>
      <c r="E335" s="52">
        <f t="shared" si="82"/>
        <v>11</v>
      </c>
      <c r="F335" s="53">
        <f t="shared" si="83"/>
        <v>45972</v>
      </c>
      <c r="G335" s="54" t="str">
        <f t="shared" si="84"/>
        <v>Tue</v>
      </c>
      <c r="H335" s="55"/>
      <c r="I335" s="56"/>
      <c r="J335" s="82">
        <v>246190</v>
      </c>
      <c r="K335" s="83"/>
      <c r="L335" s="59">
        <f t="shared" si="85"/>
        <v>192620.47078790865</v>
      </c>
      <c r="M335" s="60">
        <f t="shared" si="79"/>
        <v>53569.529212091351</v>
      </c>
      <c r="N335" s="61">
        <f t="shared" si="78"/>
        <v>1.2781092216884669</v>
      </c>
      <c r="O335" s="80"/>
      <c r="P335" s="59">
        <f>IF(D335=0,0,SUM($L$325:L335))</f>
        <v>1683844.2937427911</v>
      </c>
      <c r="Q335" s="59">
        <f>IF(D335=0,0,SUM($J$325:J335))</f>
        <v>1391940</v>
      </c>
      <c r="R335" s="63">
        <f t="shared" si="80"/>
        <v>-291904.29374279105</v>
      </c>
      <c r="S335" s="64">
        <f t="shared" si="86"/>
        <v>0.82664412925380637</v>
      </c>
      <c r="T335" s="73"/>
      <c r="U335" s="59">
        <f>IF(D335=0,0,SUM($L$21:L335))</f>
        <v>54272265.346374333</v>
      </c>
      <c r="V335" s="59">
        <f>IF(D335=0,0,SUM($J$21:J335))</f>
        <v>54389900</v>
      </c>
      <c r="W335" s="66">
        <f t="shared" si="81"/>
        <v>117634.6536256671</v>
      </c>
      <c r="X335" s="67">
        <f t="shared" si="87"/>
        <v>1.0021674911278331</v>
      </c>
      <c r="Y335" s="68">
        <f t="shared" si="91"/>
        <v>45972</v>
      </c>
      <c r="Z335" s="69">
        <f t="shared" si="91"/>
        <v>45972</v>
      </c>
      <c r="AA335" s="1"/>
      <c r="AB335" s="1"/>
      <c r="AC335" s="1"/>
      <c r="AD335" s="1"/>
      <c r="AE335" s="1"/>
      <c r="AF335" s="1"/>
      <c r="AG335" s="1"/>
    </row>
    <row r="336" spans="1:33" ht="20">
      <c r="A336" s="1"/>
      <c r="B336" s="11"/>
      <c r="C336" s="50">
        <v>316</v>
      </c>
      <c r="D336" s="51">
        <v>1</v>
      </c>
      <c r="E336" s="52">
        <f t="shared" si="82"/>
        <v>11</v>
      </c>
      <c r="F336" s="53">
        <f t="shared" si="83"/>
        <v>45973</v>
      </c>
      <c r="G336" s="54" t="str">
        <f t="shared" si="84"/>
        <v>Wed</v>
      </c>
      <c r="H336" s="55"/>
      <c r="I336" s="56"/>
      <c r="J336" s="82">
        <v>165150</v>
      </c>
      <c r="K336" s="83"/>
      <c r="L336" s="59">
        <f t="shared" si="85"/>
        <v>222098.10313108019</v>
      </c>
      <c r="M336" s="60">
        <f t="shared" si="79"/>
        <v>-56948.103131080192</v>
      </c>
      <c r="N336" s="61">
        <f t="shared" si="78"/>
        <v>0.74359032189721153</v>
      </c>
      <c r="O336" s="80"/>
      <c r="P336" s="59">
        <f>IF(D336=0,0,SUM($L$325:L336))</f>
        <v>1905942.3968738713</v>
      </c>
      <c r="Q336" s="59">
        <f>IF(D336=0,0,SUM($J$325:J336))</f>
        <v>1557090</v>
      </c>
      <c r="R336" s="63">
        <f t="shared" si="80"/>
        <v>-348852.39687387133</v>
      </c>
      <c r="S336" s="64">
        <f t="shared" si="86"/>
        <v>0.81696592853694872</v>
      </c>
      <c r="T336" s="73"/>
      <c r="U336" s="59">
        <f>IF(D336=0,0,SUM($L$21:L336))</f>
        <v>54494363.449505411</v>
      </c>
      <c r="V336" s="59">
        <f>IF(D336=0,0,SUM($J$21:J336))</f>
        <v>54555050</v>
      </c>
      <c r="W336" s="66">
        <f t="shared" si="81"/>
        <v>60686.550494588912</v>
      </c>
      <c r="X336" s="67">
        <f t="shared" si="87"/>
        <v>1.001113629862854</v>
      </c>
      <c r="Y336" s="68">
        <f t="shared" si="91"/>
        <v>45973</v>
      </c>
      <c r="Z336" s="69">
        <f t="shared" si="91"/>
        <v>45973</v>
      </c>
      <c r="AA336" s="1"/>
      <c r="AB336" s="1"/>
      <c r="AC336" s="1"/>
      <c r="AD336" s="1"/>
      <c r="AE336" s="1"/>
      <c r="AF336" s="1"/>
      <c r="AG336" s="1"/>
    </row>
    <row r="337" spans="1:33" ht="20">
      <c r="A337" s="1"/>
      <c r="B337" s="11"/>
      <c r="C337" s="50">
        <v>317</v>
      </c>
      <c r="D337" s="51">
        <v>1</v>
      </c>
      <c r="E337" s="52">
        <f t="shared" si="82"/>
        <v>11</v>
      </c>
      <c r="F337" s="53">
        <f t="shared" si="83"/>
        <v>45974</v>
      </c>
      <c r="G337" s="54" t="str">
        <f t="shared" si="84"/>
        <v>Thu</v>
      </c>
      <c r="H337" s="55"/>
      <c r="I337" s="56"/>
      <c r="J337" s="82">
        <v>79100</v>
      </c>
      <c r="K337" s="83"/>
      <c r="L337" s="59">
        <f t="shared" si="85"/>
        <v>216358.54297113989</v>
      </c>
      <c r="M337" s="60">
        <f t="shared" si="79"/>
        <v>-137258.54297113989</v>
      </c>
      <c r="N337" s="61">
        <f t="shared" si="78"/>
        <v>0.36559684176904061</v>
      </c>
      <c r="O337" s="80"/>
      <c r="P337" s="59">
        <f>IF(D337=0,0,SUM($L$325:L337))</f>
        <v>2122300.9398450111</v>
      </c>
      <c r="Q337" s="59">
        <f>IF(D337=0,0,SUM($J$325:J337))</f>
        <v>1636190</v>
      </c>
      <c r="R337" s="63">
        <f t="shared" si="80"/>
        <v>-486110.9398450111</v>
      </c>
      <c r="S337" s="64">
        <f t="shared" si="86"/>
        <v>0.7709509849811822</v>
      </c>
      <c r="T337" s="73"/>
      <c r="U337" s="59">
        <f>IF(D337=0,0,SUM($L$21:L337))</f>
        <v>54710721.992476553</v>
      </c>
      <c r="V337" s="59">
        <f>IF(D337=0,0,SUM($J$21:J337))</f>
        <v>54634150</v>
      </c>
      <c r="W337" s="66">
        <f t="shared" si="81"/>
        <v>-76571.992476552725</v>
      </c>
      <c r="X337" s="67">
        <f t="shared" si="87"/>
        <v>0.99860042072763944</v>
      </c>
      <c r="Y337" s="68">
        <f t="shared" si="91"/>
        <v>45974</v>
      </c>
      <c r="Z337" s="69">
        <f t="shared" si="91"/>
        <v>45974</v>
      </c>
      <c r="AA337" s="1"/>
      <c r="AB337" s="1"/>
      <c r="AC337" s="1"/>
      <c r="AD337" s="1"/>
      <c r="AE337" s="1"/>
      <c r="AF337" s="1"/>
      <c r="AG337" s="1"/>
    </row>
    <row r="338" spans="1:33" ht="20">
      <c r="A338" s="1"/>
      <c r="B338" s="11"/>
      <c r="C338" s="50">
        <v>318</v>
      </c>
      <c r="D338" s="51">
        <v>1</v>
      </c>
      <c r="E338" s="52">
        <f t="shared" si="82"/>
        <v>11</v>
      </c>
      <c r="F338" s="53">
        <f t="shared" si="83"/>
        <v>45975</v>
      </c>
      <c r="G338" s="54" t="str">
        <f t="shared" si="84"/>
        <v>Fri</v>
      </c>
      <c r="H338" s="55"/>
      <c r="I338" s="56"/>
      <c r="J338" s="82">
        <v>164030</v>
      </c>
      <c r="K338" s="83"/>
      <c r="L338" s="59">
        <f t="shared" si="85"/>
        <v>346355.42149222188</v>
      </c>
      <c r="M338" s="60">
        <f t="shared" si="79"/>
        <v>-182325.42149222188</v>
      </c>
      <c r="N338" s="61">
        <f t="shared" si="78"/>
        <v>0.47358866014945178</v>
      </c>
      <c r="O338" s="80"/>
      <c r="P338" s="59">
        <f>IF(D338=0,0,SUM($L$325:L338))</f>
        <v>2468656.3613372329</v>
      </c>
      <c r="Q338" s="59">
        <f>IF(D338=0,0,SUM($J$325:J338))</f>
        <v>1800220</v>
      </c>
      <c r="R338" s="63">
        <f t="shared" si="80"/>
        <v>-668436.36133723287</v>
      </c>
      <c r="S338" s="64">
        <f t="shared" si="86"/>
        <v>0.72923069739234536</v>
      </c>
      <c r="T338" s="73"/>
      <c r="U338" s="59">
        <f>IF(D338=0,0,SUM($L$21:L338))</f>
        <v>55057077.413968772</v>
      </c>
      <c r="V338" s="59">
        <f>IF(D338=0,0,SUM($J$21:J338))</f>
        <v>54798180</v>
      </c>
      <c r="W338" s="66">
        <f t="shared" si="81"/>
        <v>-258897.4139687717</v>
      </c>
      <c r="X338" s="67">
        <f t="shared" si="87"/>
        <v>0.99529765425029471</v>
      </c>
      <c r="Y338" s="68">
        <f t="shared" si="91"/>
        <v>45975</v>
      </c>
      <c r="Z338" s="69">
        <f t="shared" si="91"/>
        <v>45975</v>
      </c>
      <c r="AA338" s="1"/>
      <c r="AB338" s="1"/>
      <c r="AC338" s="1"/>
      <c r="AD338" s="1"/>
      <c r="AE338" s="1"/>
      <c r="AF338" s="1"/>
      <c r="AG338" s="1"/>
    </row>
    <row r="339" spans="1:33" ht="20">
      <c r="A339" s="1"/>
      <c r="B339" s="11"/>
      <c r="C339" s="50">
        <v>319</v>
      </c>
      <c r="D339" s="51">
        <v>1</v>
      </c>
      <c r="E339" s="52">
        <f t="shared" si="82"/>
        <v>11</v>
      </c>
      <c r="F339" s="53">
        <f t="shared" si="83"/>
        <v>45976</v>
      </c>
      <c r="G339" s="54" t="str">
        <f t="shared" si="84"/>
        <v>Sat</v>
      </c>
      <c r="H339" s="55"/>
      <c r="I339" s="56"/>
      <c r="J339" s="82">
        <v>59640</v>
      </c>
      <c r="K339" s="83"/>
      <c r="L339" s="59">
        <f t="shared" si="85"/>
        <v>146897.80364132358</v>
      </c>
      <c r="M339" s="60">
        <f t="shared" si="79"/>
        <v>-87257.803641323582</v>
      </c>
      <c r="N339" s="61">
        <f t="shared" si="78"/>
        <v>0.40599653991846868</v>
      </c>
      <c r="O339" s="80"/>
      <c r="P339" s="59">
        <f>IF(D339=0,0,SUM($L$325:L339))</f>
        <v>2615554.1649785563</v>
      </c>
      <c r="Q339" s="59">
        <f>IF(D339=0,0,SUM($J$325:J339))</f>
        <v>1859860</v>
      </c>
      <c r="R339" s="63">
        <f t="shared" si="80"/>
        <v>-755694.16497855633</v>
      </c>
      <c r="S339" s="64">
        <f t="shared" si="86"/>
        <v>0.71107684363907953</v>
      </c>
      <c r="T339" s="73"/>
      <c r="U339" s="59">
        <f>IF(D339=0,0,SUM($L$21:L339))</f>
        <v>55203975.217610098</v>
      </c>
      <c r="V339" s="59">
        <f>IF(D339=0,0,SUM($J$21:J339))</f>
        <v>54857820</v>
      </c>
      <c r="W339" s="66">
        <f t="shared" si="81"/>
        <v>-346155.21761009842</v>
      </c>
      <c r="X339" s="67">
        <f t="shared" si="87"/>
        <v>0.99372952371191425</v>
      </c>
      <c r="Y339" s="68">
        <f t="shared" si="91"/>
        <v>45976</v>
      </c>
      <c r="Z339" s="69">
        <f t="shared" si="91"/>
        <v>45976</v>
      </c>
      <c r="AA339" s="1"/>
      <c r="AB339" s="1"/>
      <c r="AC339" s="1"/>
      <c r="AD339" s="1"/>
      <c r="AE339" s="1"/>
      <c r="AF339" s="1"/>
      <c r="AG339" s="1"/>
    </row>
    <row r="340" spans="1:33" ht="20">
      <c r="A340" s="1"/>
      <c r="B340" s="11"/>
      <c r="C340" s="50">
        <v>320</v>
      </c>
      <c r="D340" s="51">
        <v>0</v>
      </c>
      <c r="E340" s="52">
        <f t="shared" si="82"/>
        <v>11</v>
      </c>
      <c r="F340" s="53">
        <f t="shared" si="83"/>
        <v>45977</v>
      </c>
      <c r="G340" s="54" t="str">
        <f t="shared" si="84"/>
        <v>Sun</v>
      </c>
      <c r="H340" s="55"/>
      <c r="I340" s="56"/>
      <c r="J340" s="82"/>
      <c r="K340" s="83"/>
      <c r="L340" s="59">
        <f t="shared" si="85"/>
        <v>0</v>
      </c>
      <c r="M340" s="60">
        <f t="shared" si="79"/>
        <v>0</v>
      </c>
      <c r="N340" s="61" t="str">
        <f t="shared" si="78"/>
        <v>¥0</v>
      </c>
      <c r="O340" s="81"/>
      <c r="P340" s="59">
        <f>IF(D340=0,0,SUM($L$325:L340))</f>
        <v>0</v>
      </c>
      <c r="Q340" s="59">
        <f>IF(D340=0,0,SUM($J$325:J340))</f>
        <v>0</v>
      </c>
      <c r="R340" s="63">
        <f t="shared" si="80"/>
        <v>0</v>
      </c>
      <c r="S340" s="64">
        <f t="shared" si="86"/>
        <v>0</v>
      </c>
      <c r="T340" s="78"/>
      <c r="U340" s="59">
        <f>IF(D340=0,0,SUM($L$21:L340))</f>
        <v>0</v>
      </c>
      <c r="V340" s="59">
        <f>IF(D340=0,0,SUM($J$21:J340))</f>
        <v>0</v>
      </c>
      <c r="W340" s="66">
        <f t="shared" si="81"/>
        <v>0</v>
      </c>
      <c r="X340" s="67">
        <f t="shared" si="87"/>
        <v>0</v>
      </c>
      <c r="Y340" s="68">
        <f t="shared" si="91"/>
        <v>45977</v>
      </c>
      <c r="Z340" s="69">
        <f t="shared" si="91"/>
        <v>45977</v>
      </c>
      <c r="AA340" s="1"/>
      <c r="AB340" s="1"/>
      <c r="AC340" s="1"/>
      <c r="AD340" s="1"/>
      <c r="AE340" s="1"/>
      <c r="AF340" s="1"/>
      <c r="AG340" s="1"/>
    </row>
    <row r="341" spans="1:33" ht="20">
      <c r="A341" s="1"/>
      <c r="B341" s="11"/>
      <c r="C341" s="50">
        <v>321</v>
      </c>
      <c r="D341" s="51">
        <v>1</v>
      </c>
      <c r="E341" s="52">
        <f t="shared" si="82"/>
        <v>11</v>
      </c>
      <c r="F341" s="53">
        <f t="shared" si="83"/>
        <v>45978</v>
      </c>
      <c r="G341" s="54" t="str">
        <f t="shared" si="84"/>
        <v>Mon</v>
      </c>
      <c r="H341" s="55"/>
      <c r="I341" s="56"/>
      <c r="J341" s="82">
        <v>93900</v>
      </c>
      <c r="K341" s="83"/>
      <c r="L341" s="59">
        <f t="shared" si="85"/>
        <v>219995.67728988465</v>
      </c>
      <c r="M341" s="60">
        <f t="shared" ref="M341:M385" si="92">IF(D341=0,0,J341-L341)</f>
        <v>-126095.67728988465</v>
      </c>
      <c r="N341" s="61">
        <f t="shared" si="78"/>
        <v>0.42682656839783961</v>
      </c>
      <c r="O341" s="80"/>
      <c r="P341" s="59">
        <f>IF(D341=0,0,SUM($L$325:L341))</f>
        <v>2835549.8422684409</v>
      </c>
      <c r="Q341" s="59">
        <f>IF(D341=0,0,SUM($J$325:J341))</f>
        <v>1953760</v>
      </c>
      <c r="R341" s="63">
        <f t="shared" ref="R341:R385" si="93">IF(D341=0,0,Q341-P341)</f>
        <v>-881789.84226844087</v>
      </c>
      <c r="S341" s="64">
        <f t="shared" si="86"/>
        <v>0.68902333186885245</v>
      </c>
      <c r="T341" s="73"/>
      <c r="U341" s="59">
        <f>IF(D341=0,0,SUM($L$21:L341))</f>
        <v>55423970.894899987</v>
      </c>
      <c r="V341" s="59">
        <f>IF(D341=0,0,SUM($J$21:J341))</f>
        <v>54951720</v>
      </c>
      <c r="W341" s="66">
        <f t="shared" ref="W341:W385" si="94">IF(D341=0,0,V341-U341)</f>
        <v>-472250.89489998668</v>
      </c>
      <c r="X341" s="67">
        <f t="shared" si="87"/>
        <v>0.99147930241599769</v>
      </c>
      <c r="Y341" s="68">
        <f t="shared" si="91"/>
        <v>45978</v>
      </c>
      <c r="Z341" s="69">
        <f t="shared" si="91"/>
        <v>45978</v>
      </c>
      <c r="AA341" s="1"/>
      <c r="AB341" s="1"/>
      <c r="AC341" s="1"/>
      <c r="AD341" s="1"/>
      <c r="AE341" s="1"/>
      <c r="AF341" s="1"/>
      <c r="AG341" s="1"/>
    </row>
    <row r="342" spans="1:33" ht="20">
      <c r="A342" s="1"/>
      <c r="B342" s="11"/>
      <c r="C342" s="50">
        <v>322</v>
      </c>
      <c r="D342" s="51">
        <v>1</v>
      </c>
      <c r="E342" s="52">
        <f t="shared" ref="E342:E385" si="95">MONTH(Y342)</f>
        <v>11</v>
      </c>
      <c r="F342" s="53">
        <f t="shared" ref="F342:F385" si="96">F341+1</f>
        <v>45979</v>
      </c>
      <c r="G342" s="54" t="str">
        <f t="shared" ref="G342:G385" si="97">TEXT(Z342,"ddd")</f>
        <v>Tue</v>
      </c>
      <c r="H342" s="55"/>
      <c r="I342" s="56"/>
      <c r="J342" s="82">
        <v>224050</v>
      </c>
      <c r="K342" s="83"/>
      <c r="L342" s="59">
        <f t="shared" ref="L342:L385" si="98">IF(D342=0,0,IFERROR(SUMIFS($AE$21:$AE$104,$AA$21:$AA$104,$E342,$AB$21:$AB$104,$G342),0))</f>
        <v>192620.47078790865</v>
      </c>
      <c r="M342" s="60">
        <f t="shared" si="92"/>
        <v>31429.529212091351</v>
      </c>
      <c r="N342" s="61">
        <f t="shared" si="78"/>
        <v>1.1631681673475811</v>
      </c>
      <c r="O342" s="80"/>
      <c r="P342" s="59">
        <f>IF(D342=0,0,SUM($L$325:L342))</f>
        <v>3028170.3130563498</v>
      </c>
      <c r="Q342" s="59">
        <f>IF(D342=0,0,SUM($J$325:J342))</f>
        <v>2177810</v>
      </c>
      <c r="R342" s="63">
        <f t="shared" si="93"/>
        <v>-850360.31305634975</v>
      </c>
      <c r="S342" s="64">
        <f t="shared" ref="S342:S385" si="99">IF(D342=0,0,Q342/P342)</f>
        <v>0.71918345893891411</v>
      </c>
      <c r="T342" s="73"/>
      <c r="U342" s="59">
        <f>IF(D342=0,0,SUM($L$21:L342))</f>
        <v>55616591.365687892</v>
      </c>
      <c r="V342" s="59">
        <f>IF(D342=0,0,SUM($J$21:J342))</f>
        <v>55175770</v>
      </c>
      <c r="W342" s="66">
        <f t="shared" si="94"/>
        <v>-440821.36568789184</v>
      </c>
      <c r="X342" s="67">
        <f t="shared" ref="X342:X385" si="100">IF(D342=0,0,V342/U342)</f>
        <v>0.99207392335877942</v>
      </c>
      <c r="Y342" s="68">
        <f t="shared" si="91"/>
        <v>45979</v>
      </c>
      <c r="Z342" s="69">
        <f t="shared" si="91"/>
        <v>45979</v>
      </c>
      <c r="AA342" s="1"/>
      <c r="AB342" s="1"/>
      <c r="AC342" s="1"/>
      <c r="AD342" s="1"/>
      <c r="AE342" s="1"/>
      <c r="AF342" s="1"/>
      <c r="AG342" s="1"/>
    </row>
    <row r="343" spans="1:33" ht="20">
      <c r="A343" s="1"/>
      <c r="B343" s="11"/>
      <c r="C343" s="50">
        <v>323</v>
      </c>
      <c r="D343" s="51">
        <v>1</v>
      </c>
      <c r="E343" s="52">
        <f t="shared" si="95"/>
        <v>11</v>
      </c>
      <c r="F343" s="53">
        <f t="shared" si="96"/>
        <v>45980</v>
      </c>
      <c r="G343" s="54" t="str">
        <f t="shared" si="97"/>
        <v>Wed</v>
      </c>
      <c r="H343" s="55"/>
      <c r="I343" s="56"/>
      <c r="J343" s="82">
        <v>225690</v>
      </c>
      <c r="K343" s="83"/>
      <c r="L343" s="59">
        <f t="shared" si="98"/>
        <v>222098.10313108019</v>
      </c>
      <c r="M343" s="60">
        <f t="shared" si="92"/>
        <v>3591.8968689198082</v>
      </c>
      <c r="N343" s="61">
        <f t="shared" si="78"/>
        <v>1.0161725688706125</v>
      </c>
      <c r="O343" s="80"/>
      <c r="P343" s="59">
        <f>IF(D343=0,0,SUM($L$325:L343))</f>
        <v>3250268.4161874298</v>
      </c>
      <c r="Q343" s="59">
        <f>IF(D343=0,0,SUM($J$325:J343))</f>
        <v>2403500</v>
      </c>
      <c r="R343" s="63">
        <f t="shared" si="93"/>
        <v>-846768.4161874298</v>
      </c>
      <c r="S343" s="64">
        <f t="shared" si="99"/>
        <v>0.73947738839960464</v>
      </c>
      <c r="T343" s="73"/>
      <c r="U343" s="59">
        <f>IF(D343=0,0,SUM($L$21:L343))</f>
        <v>55838689.46881897</v>
      </c>
      <c r="V343" s="59">
        <f>IF(D343=0,0,SUM($J$21:J343))</f>
        <v>55401460</v>
      </c>
      <c r="W343" s="66">
        <f t="shared" si="94"/>
        <v>-437229.46881897002</v>
      </c>
      <c r="X343" s="67">
        <f t="shared" si="100"/>
        <v>0.9921697755986354</v>
      </c>
      <c r="Y343" s="68">
        <f t="shared" ref="Y343:Z358" si="101">Y342+1</f>
        <v>45980</v>
      </c>
      <c r="Z343" s="69">
        <f t="shared" si="101"/>
        <v>45980</v>
      </c>
      <c r="AA343" s="1"/>
      <c r="AB343" s="1"/>
      <c r="AC343" s="1"/>
      <c r="AD343" s="1"/>
      <c r="AE343" s="1"/>
      <c r="AF343" s="1"/>
      <c r="AG343" s="1"/>
    </row>
    <row r="344" spans="1:33" ht="20">
      <c r="A344" s="1"/>
      <c r="B344" s="11"/>
      <c r="C344" s="50">
        <v>324</v>
      </c>
      <c r="D344" s="51">
        <v>1</v>
      </c>
      <c r="E344" s="52">
        <f t="shared" si="95"/>
        <v>11</v>
      </c>
      <c r="F344" s="53">
        <f t="shared" si="96"/>
        <v>45981</v>
      </c>
      <c r="G344" s="54" t="str">
        <f t="shared" si="97"/>
        <v>Thu</v>
      </c>
      <c r="H344" s="55"/>
      <c r="I344" s="56"/>
      <c r="J344" s="82">
        <v>201650</v>
      </c>
      <c r="K344" s="83"/>
      <c r="L344" s="59">
        <f t="shared" si="98"/>
        <v>216358.54297113989</v>
      </c>
      <c r="M344" s="60">
        <f t="shared" si="92"/>
        <v>-14708.54297113989</v>
      </c>
      <c r="N344" s="61">
        <f t="shared" si="78"/>
        <v>0.93201773884610661</v>
      </c>
      <c r="O344" s="80"/>
      <c r="P344" s="59">
        <f>IF(D344=0,0,SUM($L$325:L344))</f>
        <v>3466626.9591585696</v>
      </c>
      <c r="Q344" s="59">
        <f>IF(D344=0,0,SUM($J$325:J344))</f>
        <v>2605150</v>
      </c>
      <c r="R344" s="63">
        <f t="shared" si="93"/>
        <v>-861476.95915856957</v>
      </c>
      <c r="S344" s="64">
        <f t="shared" si="99"/>
        <v>0.75149418460425577</v>
      </c>
      <c r="T344" s="73"/>
      <c r="U344" s="59">
        <f>IF(D344=0,0,SUM($L$21:L344))</f>
        <v>56055048.011790112</v>
      </c>
      <c r="V344" s="59">
        <f>IF(D344=0,0,SUM($J$21:J344))</f>
        <v>55603110</v>
      </c>
      <c r="W344" s="66">
        <f t="shared" si="94"/>
        <v>-451938.01179011166</v>
      </c>
      <c r="X344" s="67">
        <f t="shared" si="100"/>
        <v>0.99193760369815298</v>
      </c>
      <c r="Y344" s="68">
        <f t="shared" si="101"/>
        <v>45981</v>
      </c>
      <c r="Z344" s="69">
        <f t="shared" si="101"/>
        <v>45981</v>
      </c>
      <c r="AA344" s="1"/>
      <c r="AB344" s="1"/>
      <c r="AC344" s="1"/>
      <c r="AD344" s="1"/>
      <c r="AE344" s="1"/>
      <c r="AF344" s="1"/>
      <c r="AG344" s="1"/>
    </row>
    <row r="345" spans="1:33" ht="20">
      <c r="A345" s="1"/>
      <c r="B345" s="11"/>
      <c r="C345" s="50">
        <v>325</v>
      </c>
      <c r="D345" s="51">
        <v>1</v>
      </c>
      <c r="E345" s="52">
        <f t="shared" si="95"/>
        <v>11</v>
      </c>
      <c r="F345" s="53">
        <f t="shared" si="96"/>
        <v>45982</v>
      </c>
      <c r="G345" s="54" t="str">
        <f t="shared" si="97"/>
        <v>Fri</v>
      </c>
      <c r="H345" s="55"/>
      <c r="I345" s="56"/>
      <c r="J345" s="82">
        <v>263950</v>
      </c>
      <c r="K345" s="83"/>
      <c r="L345" s="59">
        <f t="shared" si="98"/>
        <v>346355.42149222188</v>
      </c>
      <c r="M345" s="60">
        <f t="shared" si="92"/>
        <v>-82405.421492221882</v>
      </c>
      <c r="N345" s="61">
        <f t="shared" si="78"/>
        <v>0.76207844203162711</v>
      </c>
      <c r="O345" s="80"/>
      <c r="P345" s="59">
        <f>IF(D345=0,0,SUM($L$325:L345))</f>
        <v>3812982.3806507913</v>
      </c>
      <c r="Q345" s="59">
        <f>IF(D345=0,0,SUM($J$325:J345))</f>
        <v>2869100</v>
      </c>
      <c r="R345" s="63">
        <f t="shared" si="93"/>
        <v>-943882.38065079134</v>
      </c>
      <c r="S345" s="64">
        <f t="shared" si="99"/>
        <v>0.75245561441862951</v>
      </c>
      <c r="T345" s="73"/>
      <c r="U345" s="59">
        <f>IF(D345=0,0,SUM($L$21:L345))</f>
        <v>56401403.433282331</v>
      </c>
      <c r="V345" s="59">
        <f>IF(D345=0,0,SUM($J$21:J345))</f>
        <v>55867060</v>
      </c>
      <c r="W345" s="66">
        <f t="shared" si="94"/>
        <v>-534343.43328233063</v>
      </c>
      <c r="X345" s="67">
        <f t="shared" si="100"/>
        <v>0.99052606139642585</v>
      </c>
      <c r="Y345" s="68">
        <f t="shared" si="101"/>
        <v>45982</v>
      </c>
      <c r="Z345" s="69">
        <f t="shared" si="101"/>
        <v>45982</v>
      </c>
      <c r="AA345" s="1"/>
      <c r="AB345" s="1"/>
      <c r="AC345" s="1"/>
      <c r="AD345" s="1"/>
      <c r="AE345" s="1"/>
      <c r="AF345" s="1"/>
      <c r="AG345" s="1"/>
    </row>
    <row r="346" spans="1:33" ht="20">
      <c r="A346" s="1"/>
      <c r="B346" s="11"/>
      <c r="C346" s="50">
        <v>326</v>
      </c>
      <c r="D346" s="51">
        <v>1</v>
      </c>
      <c r="E346" s="52">
        <f t="shared" si="95"/>
        <v>11</v>
      </c>
      <c r="F346" s="53">
        <f t="shared" si="96"/>
        <v>45983</v>
      </c>
      <c r="G346" s="54" t="str">
        <f t="shared" si="97"/>
        <v>Sat</v>
      </c>
      <c r="H346" s="55"/>
      <c r="I346" s="56"/>
      <c r="J346" s="82">
        <v>65900</v>
      </c>
      <c r="K346" s="83"/>
      <c r="L346" s="59">
        <f t="shared" si="98"/>
        <v>146897.80364132358</v>
      </c>
      <c r="M346" s="60">
        <f t="shared" si="92"/>
        <v>-80997.803641323582</v>
      </c>
      <c r="N346" s="61">
        <f t="shared" si="78"/>
        <v>0.44861120021172174</v>
      </c>
      <c r="O346" s="80"/>
      <c r="P346" s="59">
        <f>IF(D346=0,0,SUM($L$325:L346))</f>
        <v>3959880.1842921148</v>
      </c>
      <c r="Q346" s="59">
        <f>IF(D346=0,0,SUM($J$325:J346))</f>
        <v>2935000</v>
      </c>
      <c r="R346" s="63">
        <f t="shared" si="93"/>
        <v>-1024880.1842921148</v>
      </c>
      <c r="S346" s="64">
        <f t="shared" si="99"/>
        <v>0.74118404179056574</v>
      </c>
      <c r="T346" s="73"/>
      <c r="U346" s="59">
        <f>IF(D346=0,0,SUM($L$21:L346))</f>
        <v>56548301.236923657</v>
      </c>
      <c r="V346" s="59">
        <f>IF(D346=0,0,SUM($J$21:J346))</f>
        <v>55932960</v>
      </c>
      <c r="W346" s="66">
        <f t="shared" si="94"/>
        <v>-615341.23692365736</v>
      </c>
      <c r="X346" s="67">
        <f t="shared" si="100"/>
        <v>0.98911830729723382</v>
      </c>
      <c r="Y346" s="68">
        <f t="shared" si="101"/>
        <v>45983</v>
      </c>
      <c r="Z346" s="69">
        <f t="shared" si="101"/>
        <v>45983</v>
      </c>
      <c r="AA346" s="1"/>
      <c r="AB346" s="1"/>
      <c r="AC346" s="1"/>
      <c r="AD346" s="1"/>
      <c r="AE346" s="1"/>
      <c r="AF346" s="1"/>
      <c r="AG346" s="1"/>
    </row>
    <row r="347" spans="1:33" ht="20">
      <c r="A347" s="1"/>
      <c r="B347" s="11"/>
      <c r="C347" s="50">
        <v>327</v>
      </c>
      <c r="D347" s="51">
        <v>0</v>
      </c>
      <c r="E347" s="52">
        <f t="shared" si="95"/>
        <v>11</v>
      </c>
      <c r="F347" s="53">
        <f t="shared" si="96"/>
        <v>45984</v>
      </c>
      <c r="G347" s="54" t="str">
        <f t="shared" si="97"/>
        <v>Sun</v>
      </c>
      <c r="H347" s="55"/>
      <c r="I347" s="56"/>
      <c r="J347" s="82"/>
      <c r="K347" s="83"/>
      <c r="L347" s="59">
        <f t="shared" si="98"/>
        <v>0</v>
      </c>
      <c r="M347" s="60">
        <f t="shared" si="92"/>
        <v>0</v>
      </c>
      <c r="N347" s="61" t="str">
        <f t="shared" si="78"/>
        <v>¥0</v>
      </c>
      <c r="O347" s="81"/>
      <c r="P347" s="59">
        <f>IF(D347=0,0,SUM($L$325:L347))</f>
        <v>0</v>
      </c>
      <c r="Q347" s="59">
        <f>IF(D347=0,0,SUM($J$325:J347))</f>
        <v>0</v>
      </c>
      <c r="R347" s="63">
        <f t="shared" si="93"/>
        <v>0</v>
      </c>
      <c r="S347" s="64">
        <f t="shared" si="99"/>
        <v>0</v>
      </c>
      <c r="T347" s="78"/>
      <c r="U347" s="59">
        <f>IF(D347=0,0,SUM($L$21:L347))</f>
        <v>0</v>
      </c>
      <c r="V347" s="59">
        <f>IF(D347=0,0,SUM($J$21:J347))</f>
        <v>0</v>
      </c>
      <c r="W347" s="66">
        <f t="shared" si="94"/>
        <v>0</v>
      </c>
      <c r="X347" s="67">
        <f t="shared" si="100"/>
        <v>0</v>
      </c>
      <c r="Y347" s="68">
        <f t="shared" si="101"/>
        <v>45984</v>
      </c>
      <c r="Z347" s="69">
        <f t="shared" si="101"/>
        <v>45984</v>
      </c>
      <c r="AA347" s="1"/>
      <c r="AB347" s="1"/>
      <c r="AC347" s="1"/>
      <c r="AD347" s="1"/>
      <c r="AE347" s="1"/>
      <c r="AF347" s="1"/>
      <c r="AG347" s="1"/>
    </row>
    <row r="348" spans="1:33" ht="20">
      <c r="A348" s="1"/>
      <c r="B348" s="11"/>
      <c r="C348" s="50">
        <v>328</v>
      </c>
      <c r="D348" s="51">
        <v>0</v>
      </c>
      <c r="E348" s="52">
        <f t="shared" si="95"/>
        <v>11</v>
      </c>
      <c r="F348" s="53">
        <f t="shared" si="96"/>
        <v>45985</v>
      </c>
      <c r="G348" s="54" t="str">
        <f t="shared" si="97"/>
        <v>Mon</v>
      </c>
      <c r="H348" s="55"/>
      <c r="I348" s="56"/>
      <c r="J348" s="82"/>
      <c r="K348" s="83"/>
      <c r="L348" s="59">
        <f t="shared" si="98"/>
        <v>0</v>
      </c>
      <c r="M348" s="60">
        <f t="shared" si="92"/>
        <v>0</v>
      </c>
      <c r="N348" s="61" t="str">
        <f t="shared" si="78"/>
        <v>¥0</v>
      </c>
      <c r="O348" s="81"/>
      <c r="P348" s="59">
        <f>IF(D348=0,0,SUM($L$325:L348))</f>
        <v>0</v>
      </c>
      <c r="Q348" s="59">
        <f>IF(D348=0,0,SUM($J$325:J348))</f>
        <v>0</v>
      </c>
      <c r="R348" s="63">
        <f t="shared" si="93"/>
        <v>0</v>
      </c>
      <c r="S348" s="64">
        <f t="shared" si="99"/>
        <v>0</v>
      </c>
      <c r="T348" s="78"/>
      <c r="U348" s="59">
        <f>IF(D348=0,0,SUM($L$21:L348))</f>
        <v>0</v>
      </c>
      <c r="V348" s="59">
        <f>IF(D348=0,0,SUM($J$21:J348))</f>
        <v>0</v>
      </c>
      <c r="W348" s="66">
        <f t="shared" si="94"/>
        <v>0</v>
      </c>
      <c r="X348" s="67">
        <f t="shared" si="100"/>
        <v>0</v>
      </c>
      <c r="Y348" s="68">
        <f t="shared" si="101"/>
        <v>45985</v>
      </c>
      <c r="Z348" s="69">
        <f t="shared" si="101"/>
        <v>45985</v>
      </c>
      <c r="AA348" s="1"/>
      <c r="AB348" s="1"/>
      <c r="AC348" s="1"/>
      <c r="AD348" s="1"/>
      <c r="AE348" s="1"/>
      <c r="AF348" s="1"/>
      <c r="AG348" s="1"/>
    </row>
    <row r="349" spans="1:33" ht="20">
      <c r="A349" s="1"/>
      <c r="B349" s="11"/>
      <c r="C349" s="50">
        <v>329</v>
      </c>
      <c r="D349" s="51">
        <v>1</v>
      </c>
      <c r="E349" s="52">
        <f t="shared" si="95"/>
        <v>11</v>
      </c>
      <c r="F349" s="53">
        <f t="shared" si="96"/>
        <v>45986</v>
      </c>
      <c r="G349" s="54" t="str">
        <f t="shared" si="97"/>
        <v>Tue</v>
      </c>
      <c r="H349" s="55"/>
      <c r="I349" s="56"/>
      <c r="J349" s="82">
        <v>50750</v>
      </c>
      <c r="K349" s="83"/>
      <c r="L349" s="59">
        <f t="shared" si="98"/>
        <v>192620.47078790865</v>
      </c>
      <c r="M349" s="60">
        <f t="shared" si="92"/>
        <v>-141870.47078790865</v>
      </c>
      <c r="N349" s="61">
        <f t="shared" si="78"/>
        <v>0.26347147731707093</v>
      </c>
      <c r="O349" s="80"/>
      <c r="P349" s="59">
        <f>IF(D349=0,0,SUM($L$325:L349))</f>
        <v>4152500.6550800232</v>
      </c>
      <c r="Q349" s="59">
        <f>IF(D349=0,0,SUM($J$325:J349))</f>
        <v>2985750</v>
      </c>
      <c r="R349" s="63">
        <f t="shared" si="93"/>
        <v>-1166750.6550800232</v>
      </c>
      <c r="S349" s="64">
        <f t="shared" si="99"/>
        <v>0.71902457049521196</v>
      </c>
      <c r="T349" s="73"/>
      <c r="U349" s="59">
        <f>IF(D349=0,0,SUM($L$21:L349))</f>
        <v>56740921.707711563</v>
      </c>
      <c r="V349" s="59">
        <f>IF(D349=0,0,SUM($J$21:J349))</f>
        <v>55983710</v>
      </c>
      <c r="W349" s="66">
        <f t="shared" si="94"/>
        <v>-757211.70771156251</v>
      </c>
      <c r="X349" s="67">
        <f t="shared" si="100"/>
        <v>0.98665492760917473</v>
      </c>
      <c r="Y349" s="68">
        <f t="shared" si="101"/>
        <v>45986</v>
      </c>
      <c r="Z349" s="69">
        <f t="shared" si="101"/>
        <v>45986</v>
      </c>
      <c r="AA349" s="1"/>
      <c r="AB349" s="1"/>
      <c r="AC349" s="1"/>
      <c r="AD349" s="1"/>
      <c r="AE349" s="1"/>
      <c r="AF349" s="1"/>
      <c r="AG349" s="1"/>
    </row>
    <row r="350" spans="1:33" ht="20">
      <c r="A350" s="1"/>
      <c r="B350" s="11"/>
      <c r="C350" s="50">
        <v>330</v>
      </c>
      <c r="D350" s="51">
        <v>1</v>
      </c>
      <c r="E350" s="52">
        <f t="shared" si="95"/>
        <v>11</v>
      </c>
      <c r="F350" s="53">
        <f t="shared" si="96"/>
        <v>45987</v>
      </c>
      <c r="G350" s="54" t="str">
        <f t="shared" si="97"/>
        <v>Wed</v>
      </c>
      <c r="H350" s="55"/>
      <c r="I350" s="56"/>
      <c r="J350" s="82">
        <v>169450</v>
      </c>
      <c r="K350" s="83"/>
      <c r="L350" s="59">
        <f t="shared" si="98"/>
        <v>222098.10313108019</v>
      </c>
      <c r="M350" s="60">
        <f t="shared" si="92"/>
        <v>-52648.103131080192</v>
      </c>
      <c r="N350" s="61">
        <f t="shared" si="78"/>
        <v>0.76295113560691785</v>
      </c>
      <c r="O350" s="80"/>
      <c r="P350" s="59">
        <f>IF(D350=0,0,SUM($L$325:L350))</f>
        <v>4374598.7582111033</v>
      </c>
      <c r="Q350" s="59">
        <f>IF(D350=0,0,SUM($J$325:J350))</f>
        <v>3155200</v>
      </c>
      <c r="R350" s="63">
        <f t="shared" si="93"/>
        <v>-1219398.7582111033</v>
      </c>
      <c r="S350" s="64">
        <f t="shared" si="99"/>
        <v>0.7212547194363147</v>
      </c>
      <c r="T350" s="73"/>
      <c r="U350" s="59">
        <f>IF(D350=0,0,SUM($L$21:L350))</f>
        <v>56963019.810842641</v>
      </c>
      <c r="V350" s="59">
        <f>IF(D350=0,0,SUM($J$21:J350))</f>
        <v>56153160</v>
      </c>
      <c r="W350" s="66">
        <f t="shared" si="94"/>
        <v>-809859.8108426407</v>
      </c>
      <c r="X350" s="67">
        <f t="shared" si="100"/>
        <v>0.98578270931681733</v>
      </c>
      <c r="Y350" s="68">
        <f t="shared" si="101"/>
        <v>45987</v>
      </c>
      <c r="Z350" s="69">
        <f t="shared" si="101"/>
        <v>45987</v>
      </c>
      <c r="AA350" s="1"/>
      <c r="AB350" s="1"/>
      <c r="AC350" s="1"/>
      <c r="AD350" s="1"/>
      <c r="AE350" s="1"/>
      <c r="AF350" s="1"/>
      <c r="AG350" s="1"/>
    </row>
    <row r="351" spans="1:33" ht="20">
      <c r="A351" s="1"/>
      <c r="B351" s="11"/>
      <c r="C351" s="50">
        <v>331</v>
      </c>
      <c r="D351" s="51">
        <v>1</v>
      </c>
      <c r="E351" s="52">
        <f t="shared" si="95"/>
        <v>11</v>
      </c>
      <c r="F351" s="53">
        <f t="shared" si="96"/>
        <v>45988</v>
      </c>
      <c r="G351" s="54" t="str">
        <f t="shared" si="97"/>
        <v>Thu</v>
      </c>
      <c r="H351" s="55"/>
      <c r="I351" s="56"/>
      <c r="J351" s="82">
        <v>144250</v>
      </c>
      <c r="K351" s="83"/>
      <c r="L351" s="59">
        <f t="shared" si="98"/>
        <v>216358.54297113989</v>
      </c>
      <c r="M351" s="60">
        <f t="shared" si="92"/>
        <v>-72108.54297113989</v>
      </c>
      <c r="N351" s="61">
        <f t="shared" si="78"/>
        <v>0.66671737579246659</v>
      </c>
      <c r="O351" s="80"/>
      <c r="P351" s="59">
        <f>IF(D351=0,0,SUM($L$325:L351))</f>
        <v>4590957.301182243</v>
      </c>
      <c r="Q351" s="59">
        <f>IF(D351=0,0,SUM($J$325:J351))</f>
        <v>3299450</v>
      </c>
      <c r="R351" s="63">
        <f t="shared" si="93"/>
        <v>-1291507.301182243</v>
      </c>
      <c r="S351" s="64">
        <f t="shared" si="99"/>
        <v>0.71868453212369021</v>
      </c>
      <c r="T351" s="73"/>
      <c r="U351" s="59">
        <f>IF(D351=0,0,SUM($L$21:L351))</f>
        <v>57179378.353813782</v>
      </c>
      <c r="V351" s="59">
        <f>IF(D351=0,0,SUM($J$21:J351))</f>
        <v>56297410</v>
      </c>
      <c r="W351" s="66">
        <f t="shared" si="94"/>
        <v>-881968.35381378233</v>
      </c>
      <c r="X351" s="67">
        <f t="shared" si="100"/>
        <v>0.9845754119893303</v>
      </c>
      <c r="Y351" s="68">
        <f t="shared" si="101"/>
        <v>45988</v>
      </c>
      <c r="Z351" s="69">
        <f t="shared" si="101"/>
        <v>45988</v>
      </c>
      <c r="AA351" s="1"/>
      <c r="AB351" s="1"/>
      <c r="AC351" s="1"/>
      <c r="AD351" s="1"/>
      <c r="AE351" s="1"/>
      <c r="AF351" s="1"/>
      <c r="AG351" s="1"/>
    </row>
    <row r="352" spans="1:33" ht="20">
      <c r="A352" s="1"/>
      <c r="B352" s="11"/>
      <c r="C352" s="50">
        <v>332</v>
      </c>
      <c r="D352" s="51">
        <v>1</v>
      </c>
      <c r="E352" s="52">
        <f t="shared" si="95"/>
        <v>11</v>
      </c>
      <c r="F352" s="53">
        <f t="shared" si="96"/>
        <v>45989</v>
      </c>
      <c r="G352" s="54" t="str">
        <f t="shared" si="97"/>
        <v>Fri</v>
      </c>
      <c r="H352" s="55"/>
      <c r="I352" s="56"/>
      <c r="J352" s="82">
        <v>277950</v>
      </c>
      <c r="K352" s="83"/>
      <c r="L352" s="59">
        <f t="shared" si="98"/>
        <v>346355.42149222188</v>
      </c>
      <c r="M352" s="60">
        <f t="shared" si="92"/>
        <v>-68405.421492221882</v>
      </c>
      <c r="N352" s="61">
        <f t="shared" si="78"/>
        <v>0.80249934822008251</v>
      </c>
      <c r="O352" s="80"/>
      <c r="P352" s="59">
        <f>IF(D352=0,0,SUM($L$325:L352))</f>
        <v>4937312.7226744648</v>
      </c>
      <c r="Q352" s="59">
        <f>IF(D352=0,0,SUM($J$325:J352))</f>
        <v>3577400</v>
      </c>
      <c r="R352" s="63">
        <f t="shared" si="93"/>
        <v>-1359912.7226744648</v>
      </c>
      <c r="S352" s="64">
        <f t="shared" si="99"/>
        <v>0.72456419127978156</v>
      </c>
      <c r="T352" s="73"/>
      <c r="U352" s="59">
        <f>IF(D352=0,0,SUM($L$21:L352))</f>
        <v>57525733.775306001</v>
      </c>
      <c r="V352" s="59">
        <f>IF(D352=0,0,SUM($J$21:J352))</f>
        <v>56575360</v>
      </c>
      <c r="W352" s="66">
        <f t="shared" si="94"/>
        <v>-950373.77530600131</v>
      </c>
      <c r="X352" s="67">
        <f t="shared" si="100"/>
        <v>0.98347915423350984</v>
      </c>
      <c r="Y352" s="68">
        <f t="shared" si="101"/>
        <v>45989</v>
      </c>
      <c r="Z352" s="69">
        <f t="shared" si="101"/>
        <v>45989</v>
      </c>
      <c r="AA352" s="1"/>
      <c r="AB352" s="1"/>
      <c r="AC352" s="1"/>
      <c r="AD352" s="1"/>
      <c r="AE352" s="1"/>
      <c r="AF352" s="1"/>
      <c r="AG352" s="1"/>
    </row>
    <row r="353" spans="1:33" ht="20">
      <c r="A353" s="1"/>
      <c r="B353" s="11"/>
      <c r="C353" s="50">
        <v>333</v>
      </c>
      <c r="D353" s="51">
        <v>1</v>
      </c>
      <c r="E353" s="52">
        <f t="shared" si="95"/>
        <v>11</v>
      </c>
      <c r="F353" s="53">
        <f t="shared" si="96"/>
        <v>45990</v>
      </c>
      <c r="G353" s="54" t="str">
        <f t="shared" si="97"/>
        <v>Sat</v>
      </c>
      <c r="H353" s="55"/>
      <c r="I353" s="56"/>
      <c r="J353" s="82">
        <v>211740</v>
      </c>
      <c r="K353" s="83"/>
      <c r="L353" s="59">
        <f t="shared" si="98"/>
        <v>146897.80364132358</v>
      </c>
      <c r="M353" s="60">
        <f t="shared" si="92"/>
        <v>64842.196358676418</v>
      </c>
      <c r="N353" s="61">
        <f t="shared" si="78"/>
        <v>1.441410250877541</v>
      </c>
      <c r="O353" s="80"/>
      <c r="P353" s="59">
        <f>IF(D353=0,0,SUM($L$325:L353))</f>
        <v>5084210.5263157887</v>
      </c>
      <c r="Q353" s="59">
        <f>IF(D353=0,0,SUM($J$325:J353))</f>
        <v>3789140</v>
      </c>
      <c r="R353" s="63">
        <f t="shared" si="93"/>
        <v>-1295070.5263157887</v>
      </c>
      <c r="S353" s="64">
        <f t="shared" si="99"/>
        <v>0.74527598343685308</v>
      </c>
      <c r="T353" s="73"/>
      <c r="U353" s="59">
        <f>IF(D353=0,0,SUM($L$21:L353))</f>
        <v>57672631.578947328</v>
      </c>
      <c r="V353" s="59">
        <f>IF(D353=0,0,SUM($J$21:J353))</f>
        <v>56787100</v>
      </c>
      <c r="W353" s="66">
        <f t="shared" si="94"/>
        <v>-885531.57894732803</v>
      </c>
      <c r="X353" s="67">
        <f t="shared" si="100"/>
        <v>0.98464554928909154</v>
      </c>
      <c r="Y353" s="68">
        <f t="shared" si="101"/>
        <v>45990</v>
      </c>
      <c r="Z353" s="69">
        <f t="shared" si="101"/>
        <v>45990</v>
      </c>
      <c r="AA353" s="1"/>
      <c r="AB353" s="1"/>
      <c r="AC353" s="1"/>
      <c r="AD353" s="1"/>
      <c r="AE353" s="1"/>
      <c r="AF353" s="1"/>
      <c r="AG353" s="1"/>
    </row>
    <row r="354" spans="1:33" ht="21" thickBot="1">
      <c r="A354" s="1"/>
      <c r="B354" s="11"/>
      <c r="C354" s="100">
        <v>334</v>
      </c>
      <c r="D354" s="85">
        <v>0</v>
      </c>
      <c r="E354" s="501">
        <f t="shared" si="95"/>
        <v>11</v>
      </c>
      <c r="F354" s="101">
        <f t="shared" si="96"/>
        <v>45991</v>
      </c>
      <c r="G354" s="87" t="str">
        <f t="shared" si="97"/>
        <v>Sun</v>
      </c>
      <c r="H354" s="508"/>
      <c r="I354" s="502"/>
      <c r="J354" s="102"/>
      <c r="K354" s="503"/>
      <c r="L354" s="534">
        <f t="shared" si="98"/>
        <v>0</v>
      </c>
      <c r="M354" s="91">
        <f t="shared" si="92"/>
        <v>0</v>
      </c>
      <c r="N354" s="92" t="str">
        <f t="shared" si="78"/>
        <v>¥0</v>
      </c>
      <c r="O354" s="509"/>
      <c r="P354" s="93">
        <f>IF(D354=0,0,SUM($L$325:L354))</f>
        <v>0</v>
      </c>
      <c r="Q354" s="103">
        <f>IF(D354=0,0,SUM($J$325:J354))</f>
        <v>0</v>
      </c>
      <c r="R354" s="105">
        <f t="shared" si="93"/>
        <v>0</v>
      </c>
      <c r="S354" s="505">
        <f t="shared" si="99"/>
        <v>0</v>
      </c>
      <c r="T354" s="510"/>
      <c r="U354" s="94">
        <f>IF(D354=0,0,SUM($L$21:L354))</f>
        <v>0</v>
      </c>
      <c r="V354" s="94">
        <f>IF(D354=0,0,SUM($J$21:J354))</f>
        <v>0</v>
      </c>
      <c r="W354" s="95">
        <f t="shared" si="94"/>
        <v>0</v>
      </c>
      <c r="X354" s="507">
        <f t="shared" si="100"/>
        <v>0</v>
      </c>
      <c r="Y354" s="68">
        <f t="shared" si="101"/>
        <v>45991</v>
      </c>
      <c r="Z354" s="69">
        <f t="shared" si="101"/>
        <v>45991</v>
      </c>
      <c r="AA354" s="1"/>
      <c r="AB354" s="1"/>
      <c r="AC354" s="1"/>
      <c r="AD354" s="1"/>
      <c r="AE354" s="1"/>
      <c r="AF354" s="1"/>
      <c r="AG354" s="1"/>
    </row>
    <row r="355" spans="1:33" ht="21" thickTop="1">
      <c r="A355" s="1"/>
      <c r="B355" s="11"/>
      <c r="C355" s="50">
        <v>335</v>
      </c>
      <c r="D355" s="96">
        <v>1</v>
      </c>
      <c r="E355" s="52">
        <f t="shared" si="95"/>
        <v>12</v>
      </c>
      <c r="F355" s="53">
        <f t="shared" si="96"/>
        <v>45992</v>
      </c>
      <c r="G355" s="54" t="str">
        <f t="shared" si="97"/>
        <v>Mon</v>
      </c>
      <c r="H355" s="55"/>
      <c r="I355" s="56"/>
      <c r="J355" s="82"/>
      <c r="K355" s="83"/>
      <c r="L355" s="59">
        <f t="shared" si="98"/>
        <v>209685.64966714871</v>
      </c>
      <c r="M355" s="63">
        <f t="shared" si="92"/>
        <v>-209685.64966714871</v>
      </c>
      <c r="N355" s="97">
        <f t="shared" si="78"/>
        <v>0</v>
      </c>
      <c r="O355" s="80"/>
      <c r="P355" s="59">
        <f>IF(D355=0,0,$L$355)</f>
        <v>209685.64966714871</v>
      </c>
      <c r="Q355" s="59">
        <f>IF(D355=0,0,$J$355)</f>
        <v>0</v>
      </c>
      <c r="R355" s="63">
        <f t="shared" si="93"/>
        <v>-209685.64966714871</v>
      </c>
      <c r="S355" s="499">
        <f t="shared" si="99"/>
        <v>0</v>
      </c>
      <c r="T355" s="73"/>
      <c r="U355" s="59">
        <f>IF(D355=0,0,SUM($L$21:L355))</f>
        <v>57882317.228614479</v>
      </c>
      <c r="V355" s="59">
        <f>IF(D355=0,0,SUM($J$21:J355))</f>
        <v>56787100</v>
      </c>
      <c r="W355" s="66">
        <f t="shared" si="94"/>
        <v>-1095217.2286144793</v>
      </c>
      <c r="X355" s="500">
        <f t="shared" si="100"/>
        <v>0.9810785524655351</v>
      </c>
      <c r="Y355" s="68">
        <f t="shared" si="101"/>
        <v>45992</v>
      </c>
      <c r="Z355" s="69">
        <f t="shared" si="101"/>
        <v>45992</v>
      </c>
      <c r="AA355" s="1"/>
      <c r="AB355" s="1"/>
      <c r="AC355" s="1"/>
      <c r="AD355" s="1"/>
      <c r="AE355" s="1"/>
      <c r="AF355" s="1"/>
      <c r="AG355" s="1"/>
    </row>
    <row r="356" spans="1:33" ht="20">
      <c r="A356" s="1"/>
      <c r="B356" s="11"/>
      <c r="C356" s="50">
        <v>336</v>
      </c>
      <c r="D356" s="51">
        <v>1</v>
      </c>
      <c r="E356" s="52">
        <f t="shared" si="95"/>
        <v>12</v>
      </c>
      <c r="F356" s="53">
        <f t="shared" si="96"/>
        <v>45993</v>
      </c>
      <c r="G356" s="54" t="str">
        <f t="shared" si="97"/>
        <v>Tue</v>
      </c>
      <c r="H356" s="55"/>
      <c r="I356" s="56"/>
      <c r="J356" s="82"/>
      <c r="K356" s="83"/>
      <c r="L356" s="59">
        <f t="shared" si="98"/>
        <v>230766.13661644</v>
      </c>
      <c r="M356" s="60">
        <f t="shared" si="92"/>
        <v>-230766.13661644</v>
      </c>
      <c r="N356" s="61">
        <f t="shared" si="78"/>
        <v>0</v>
      </c>
      <c r="O356" s="80"/>
      <c r="P356" s="106">
        <f>IF(D356=0,0,SUM($L$355:L356))</f>
        <v>440451.78628358874</v>
      </c>
      <c r="Q356" s="59">
        <f>IF(D356=0,0,SUM($J$355:J356))</f>
        <v>0</v>
      </c>
      <c r="R356" s="63">
        <f t="shared" si="93"/>
        <v>-440451.78628358874</v>
      </c>
      <c r="S356" s="64">
        <f t="shared" si="99"/>
        <v>0</v>
      </c>
      <c r="T356" s="73"/>
      <c r="U356" s="59">
        <f>IF(D356=0,0,SUM($L$21:L356))</f>
        <v>58113083.365230918</v>
      </c>
      <c r="V356" s="59">
        <f>IF(D356=0,0,SUM($J$21:J356))</f>
        <v>56787100</v>
      </c>
      <c r="W356" s="66">
        <f t="shared" si="94"/>
        <v>-1325983.3652309179</v>
      </c>
      <c r="X356" s="67">
        <f t="shared" si="100"/>
        <v>0.97718270502190807</v>
      </c>
      <c r="Y356" s="68">
        <f t="shared" si="101"/>
        <v>45993</v>
      </c>
      <c r="Z356" s="69">
        <f t="shared" si="101"/>
        <v>45993</v>
      </c>
      <c r="AA356" s="1"/>
      <c r="AB356" s="1"/>
      <c r="AC356" s="1"/>
      <c r="AD356" s="1"/>
      <c r="AE356" s="1"/>
      <c r="AF356" s="1"/>
      <c r="AG356" s="1"/>
    </row>
    <row r="357" spans="1:33" ht="20">
      <c r="A357" s="1"/>
      <c r="B357" s="11"/>
      <c r="C357" s="50">
        <v>337</v>
      </c>
      <c r="D357" s="51">
        <v>1</v>
      </c>
      <c r="E357" s="52">
        <f t="shared" si="95"/>
        <v>12</v>
      </c>
      <c r="F357" s="53">
        <f t="shared" si="96"/>
        <v>45994</v>
      </c>
      <c r="G357" s="54" t="str">
        <f t="shared" si="97"/>
        <v>Wed</v>
      </c>
      <c r="H357" s="55"/>
      <c r="I357" s="56"/>
      <c r="J357" s="82"/>
      <c r="K357" s="83"/>
      <c r="L357" s="59">
        <f t="shared" si="98"/>
        <v>286865.64520980971</v>
      </c>
      <c r="M357" s="60">
        <f t="shared" si="92"/>
        <v>-286865.64520980971</v>
      </c>
      <c r="N357" s="61">
        <f t="shared" si="78"/>
        <v>0</v>
      </c>
      <c r="O357" s="80"/>
      <c r="P357" s="107">
        <f>IF(D357=0,0,SUM($L$355:L357))</f>
        <v>727317.4314933985</v>
      </c>
      <c r="Q357" s="59">
        <f>IF(D357=0,0,SUM($J$355:J357))</f>
        <v>0</v>
      </c>
      <c r="R357" s="63">
        <f t="shared" si="93"/>
        <v>-727317.4314933985</v>
      </c>
      <c r="S357" s="64">
        <f t="shared" si="99"/>
        <v>0</v>
      </c>
      <c r="T357" s="73"/>
      <c r="U357" s="59">
        <f>IF(D357=0,0,SUM($L$21:L357))</f>
        <v>58399949.01044073</v>
      </c>
      <c r="V357" s="59">
        <f>IF(D357=0,0,SUM($J$21:J357))</f>
        <v>56787100</v>
      </c>
      <c r="W357" s="66">
        <f t="shared" si="94"/>
        <v>-1612849.0104407296</v>
      </c>
      <c r="X357" s="67">
        <f t="shared" si="100"/>
        <v>0.9723826983110484</v>
      </c>
      <c r="Y357" s="68">
        <f t="shared" si="101"/>
        <v>45994</v>
      </c>
      <c r="Z357" s="69">
        <f t="shared" si="101"/>
        <v>45994</v>
      </c>
      <c r="AA357" s="1"/>
      <c r="AB357" s="1"/>
      <c r="AC357" s="1"/>
      <c r="AD357" s="1"/>
      <c r="AE357" s="1"/>
      <c r="AF357" s="1"/>
      <c r="AG357" s="1"/>
    </row>
    <row r="358" spans="1:33" ht="20">
      <c r="A358" s="1"/>
      <c r="B358" s="11"/>
      <c r="C358" s="50">
        <v>338</v>
      </c>
      <c r="D358" s="51">
        <v>1</v>
      </c>
      <c r="E358" s="52">
        <f t="shared" si="95"/>
        <v>12</v>
      </c>
      <c r="F358" s="53">
        <f t="shared" si="96"/>
        <v>45995</v>
      </c>
      <c r="G358" s="54" t="str">
        <f t="shared" si="97"/>
        <v>Thu</v>
      </c>
      <c r="H358" s="55"/>
      <c r="I358" s="56"/>
      <c r="J358" s="82"/>
      <c r="K358" s="83"/>
      <c r="L358" s="59">
        <f t="shared" si="98"/>
        <v>248339.3653988569</v>
      </c>
      <c r="M358" s="60">
        <f t="shared" si="92"/>
        <v>-248339.3653988569</v>
      </c>
      <c r="N358" s="61">
        <f t="shared" si="78"/>
        <v>0</v>
      </c>
      <c r="O358" s="80"/>
      <c r="P358" s="107">
        <f>IF(D358=0,0,SUM($L$355:L358))</f>
        <v>975656.79689225543</v>
      </c>
      <c r="Q358" s="59">
        <f>IF(D358=0,0,SUM($J$355:J358))</f>
        <v>0</v>
      </c>
      <c r="R358" s="63">
        <f t="shared" si="93"/>
        <v>-975656.79689225543</v>
      </c>
      <c r="S358" s="64">
        <f t="shared" si="99"/>
        <v>0</v>
      </c>
      <c r="T358" s="73"/>
      <c r="U358" s="59">
        <f>IF(D358=0,0,SUM($L$21:L358))</f>
        <v>58648288.375839584</v>
      </c>
      <c r="V358" s="59">
        <f>IF(D358=0,0,SUM($J$21:J358))</f>
        <v>56787100</v>
      </c>
      <c r="W358" s="66">
        <f t="shared" si="94"/>
        <v>-1861188.3758395836</v>
      </c>
      <c r="X358" s="67">
        <f t="shared" si="100"/>
        <v>0.96826525671282326</v>
      </c>
      <c r="Y358" s="68">
        <f t="shared" si="101"/>
        <v>45995</v>
      </c>
      <c r="Z358" s="69">
        <f t="shared" si="101"/>
        <v>45995</v>
      </c>
      <c r="AA358" s="1"/>
      <c r="AB358" s="1"/>
      <c r="AC358" s="1"/>
      <c r="AD358" s="1"/>
      <c r="AE358" s="1"/>
      <c r="AF358" s="1"/>
      <c r="AG358" s="1"/>
    </row>
    <row r="359" spans="1:33" ht="20">
      <c r="A359" s="1"/>
      <c r="B359" s="11"/>
      <c r="C359" s="50">
        <v>339</v>
      </c>
      <c r="D359" s="51">
        <v>1</v>
      </c>
      <c r="E359" s="52">
        <f t="shared" si="95"/>
        <v>12</v>
      </c>
      <c r="F359" s="53">
        <f t="shared" si="96"/>
        <v>45996</v>
      </c>
      <c r="G359" s="54" t="str">
        <f t="shared" si="97"/>
        <v>Fri</v>
      </c>
      <c r="H359" s="55"/>
      <c r="I359" s="56"/>
      <c r="J359" s="82"/>
      <c r="K359" s="83"/>
      <c r="L359" s="59">
        <f t="shared" si="98"/>
        <v>309192.78790562029</v>
      </c>
      <c r="M359" s="60">
        <f t="shared" si="92"/>
        <v>-309192.78790562029</v>
      </c>
      <c r="N359" s="61">
        <f t="shared" si="78"/>
        <v>0</v>
      </c>
      <c r="O359" s="80"/>
      <c r="P359" s="107">
        <f>IF(D359=0,0,SUM($L$355:L359))</f>
        <v>1284849.5847978757</v>
      </c>
      <c r="Q359" s="59">
        <f>IF(D359=0,0,SUM($J$355:J359))</f>
        <v>0</v>
      </c>
      <c r="R359" s="63">
        <f t="shared" si="93"/>
        <v>-1284849.5847978757</v>
      </c>
      <c r="S359" s="64">
        <f t="shared" si="99"/>
        <v>0</v>
      </c>
      <c r="T359" s="73"/>
      <c r="U359" s="59">
        <f>IF(D359=0,0,SUM($L$21:L359))</f>
        <v>58957481.163745202</v>
      </c>
      <c r="V359" s="59">
        <f>IF(D359=0,0,SUM($J$21:J359))</f>
        <v>56787100</v>
      </c>
      <c r="W359" s="66">
        <f t="shared" si="94"/>
        <v>-2170381.1637452021</v>
      </c>
      <c r="X359" s="67">
        <f t="shared" si="100"/>
        <v>0.96318734924042448</v>
      </c>
      <c r="Y359" s="68">
        <f t="shared" ref="Y359:Z374" si="102">Y358+1</f>
        <v>45996</v>
      </c>
      <c r="Z359" s="69">
        <f t="shared" si="102"/>
        <v>45996</v>
      </c>
      <c r="AA359" s="1"/>
      <c r="AB359" s="1"/>
      <c r="AC359" s="1"/>
      <c r="AD359" s="1"/>
      <c r="AE359" s="1"/>
      <c r="AF359" s="1"/>
      <c r="AG359" s="1"/>
    </row>
    <row r="360" spans="1:33" ht="20">
      <c r="A360" s="1"/>
      <c r="B360" s="11"/>
      <c r="C360" s="50">
        <v>340</v>
      </c>
      <c r="D360" s="51">
        <v>1</v>
      </c>
      <c r="E360" s="52">
        <f t="shared" si="95"/>
        <v>12</v>
      </c>
      <c r="F360" s="53">
        <f t="shared" si="96"/>
        <v>45997</v>
      </c>
      <c r="G360" s="54" t="str">
        <f t="shared" si="97"/>
        <v>Sat</v>
      </c>
      <c r="H360" s="55"/>
      <c r="I360" s="56"/>
      <c r="J360" s="82"/>
      <c r="K360" s="83"/>
      <c r="L360" s="59">
        <f t="shared" si="98"/>
        <v>174097.78362317695</v>
      </c>
      <c r="M360" s="60">
        <f t="shared" si="92"/>
        <v>-174097.78362317695</v>
      </c>
      <c r="N360" s="61">
        <f t="shared" si="78"/>
        <v>0</v>
      </c>
      <c r="O360" s="80"/>
      <c r="P360" s="107">
        <f>IF(D360=0,0,SUM($L$355:L360))</f>
        <v>1458947.3684210526</v>
      </c>
      <c r="Q360" s="59">
        <f>IF(D360=0,0,SUM($J$355:J360))</f>
        <v>0</v>
      </c>
      <c r="R360" s="63">
        <f t="shared" si="93"/>
        <v>-1458947.3684210526</v>
      </c>
      <c r="S360" s="64">
        <f t="shared" si="99"/>
        <v>0</v>
      </c>
      <c r="T360" s="73"/>
      <c r="U360" s="59">
        <f>IF(D360=0,0,SUM($L$21:L360))</f>
        <v>59131578.947368376</v>
      </c>
      <c r="V360" s="59">
        <f>IF(D360=0,0,SUM($J$21:J360))</f>
        <v>56787100</v>
      </c>
      <c r="W360" s="66">
        <f t="shared" si="94"/>
        <v>-2344478.947368376</v>
      </c>
      <c r="X360" s="67">
        <f t="shared" si="100"/>
        <v>0.96035149087672522</v>
      </c>
      <c r="Y360" s="68">
        <f t="shared" si="102"/>
        <v>45997</v>
      </c>
      <c r="Z360" s="69">
        <f t="shared" si="102"/>
        <v>45997</v>
      </c>
      <c r="AA360" s="1"/>
      <c r="AB360" s="1"/>
      <c r="AC360" s="1"/>
      <c r="AD360" s="1"/>
      <c r="AE360" s="1"/>
      <c r="AF360" s="1"/>
      <c r="AG360" s="1"/>
    </row>
    <row r="361" spans="1:33" ht="20">
      <c r="A361" s="1"/>
      <c r="B361" s="11"/>
      <c r="C361" s="50">
        <v>341</v>
      </c>
      <c r="D361" s="51">
        <v>0</v>
      </c>
      <c r="E361" s="52">
        <f t="shared" si="95"/>
        <v>12</v>
      </c>
      <c r="F361" s="53">
        <f t="shared" si="96"/>
        <v>45998</v>
      </c>
      <c r="G361" s="54" t="str">
        <f t="shared" si="97"/>
        <v>Sun</v>
      </c>
      <c r="H361" s="55"/>
      <c r="I361" s="56"/>
      <c r="J361" s="82"/>
      <c r="K361" s="83"/>
      <c r="L361" s="59">
        <f t="shared" si="98"/>
        <v>0</v>
      </c>
      <c r="M361" s="60">
        <f t="shared" si="92"/>
        <v>0</v>
      </c>
      <c r="N361" s="61" t="str">
        <f t="shared" si="78"/>
        <v>¥0</v>
      </c>
      <c r="O361" s="81"/>
      <c r="P361" s="107">
        <f>IF(D361=0,0,SUM($L$355:L361))</f>
        <v>0</v>
      </c>
      <c r="Q361" s="59">
        <f>IF(D361=0,0,SUM($J$355:J361))</f>
        <v>0</v>
      </c>
      <c r="R361" s="63">
        <f t="shared" si="93"/>
        <v>0</v>
      </c>
      <c r="S361" s="64">
        <f t="shared" si="99"/>
        <v>0</v>
      </c>
      <c r="T361" s="78"/>
      <c r="U361" s="59">
        <f>IF(D361=0,0,SUM($L$21:L361))</f>
        <v>0</v>
      </c>
      <c r="V361" s="59">
        <f>IF(D361=0,0,SUM($J$21:J361))</f>
        <v>0</v>
      </c>
      <c r="W361" s="66">
        <f t="shared" si="94"/>
        <v>0</v>
      </c>
      <c r="X361" s="67">
        <f t="shared" si="100"/>
        <v>0</v>
      </c>
      <c r="Y361" s="68">
        <f t="shared" si="102"/>
        <v>45998</v>
      </c>
      <c r="Z361" s="69">
        <f t="shared" si="102"/>
        <v>45998</v>
      </c>
      <c r="AA361" s="1"/>
      <c r="AB361" s="1"/>
      <c r="AC361" s="1"/>
      <c r="AD361" s="1"/>
      <c r="AE361" s="1"/>
      <c r="AF361" s="1"/>
      <c r="AG361" s="1"/>
    </row>
    <row r="362" spans="1:33" ht="20">
      <c r="A362" s="1"/>
      <c r="B362" s="11"/>
      <c r="C362" s="50">
        <v>342</v>
      </c>
      <c r="D362" s="51">
        <v>1</v>
      </c>
      <c r="E362" s="52">
        <f t="shared" si="95"/>
        <v>12</v>
      </c>
      <c r="F362" s="53">
        <f t="shared" si="96"/>
        <v>45999</v>
      </c>
      <c r="G362" s="54" t="str">
        <f t="shared" si="97"/>
        <v>Mon</v>
      </c>
      <c r="H362" s="55"/>
      <c r="I362" s="56"/>
      <c r="J362" s="82"/>
      <c r="K362" s="83"/>
      <c r="L362" s="59">
        <f t="shared" si="98"/>
        <v>209685.64966714871</v>
      </c>
      <c r="M362" s="60">
        <f t="shared" si="92"/>
        <v>-209685.64966714871</v>
      </c>
      <c r="N362" s="61">
        <f t="shared" si="78"/>
        <v>0</v>
      </c>
      <c r="O362" s="80"/>
      <c r="P362" s="107">
        <f>IF(D362=0,0,SUM($L$355:L362))</f>
        <v>1668633.0180882013</v>
      </c>
      <c r="Q362" s="59">
        <f>IF(D362=0,0,SUM($J$355:J362))</f>
        <v>0</v>
      </c>
      <c r="R362" s="63">
        <f t="shared" si="93"/>
        <v>-1668633.0180882013</v>
      </c>
      <c r="S362" s="64">
        <f t="shared" si="99"/>
        <v>0</v>
      </c>
      <c r="T362" s="73"/>
      <c r="U362" s="59">
        <f>IF(D362=0,0,SUM($L$21:L362))</f>
        <v>59341264.597035527</v>
      </c>
      <c r="V362" s="59">
        <f>IF(D362=0,0,SUM($J$21:J362))</f>
        <v>56787100</v>
      </c>
      <c r="W362" s="66">
        <f t="shared" si="94"/>
        <v>-2554164.5970355272</v>
      </c>
      <c r="X362" s="67">
        <f t="shared" si="100"/>
        <v>0.95695803562023984</v>
      </c>
      <c r="Y362" s="68">
        <f t="shared" si="102"/>
        <v>45999</v>
      </c>
      <c r="Z362" s="69">
        <f t="shared" si="102"/>
        <v>45999</v>
      </c>
      <c r="AA362" s="1"/>
      <c r="AB362" s="1"/>
      <c r="AC362" s="1"/>
      <c r="AD362" s="1"/>
      <c r="AE362" s="1"/>
      <c r="AF362" s="1"/>
      <c r="AG362" s="1"/>
    </row>
    <row r="363" spans="1:33" ht="20">
      <c r="A363" s="1"/>
      <c r="B363" s="11"/>
      <c r="C363" s="50">
        <v>343</v>
      </c>
      <c r="D363" s="51">
        <v>1</v>
      </c>
      <c r="E363" s="52">
        <f t="shared" si="95"/>
        <v>12</v>
      </c>
      <c r="F363" s="53">
        <f t="shared" si="96"/>
        <v>46000</v>
      </c>
      <c r="G363" s="54" t="str">
        <f t="shared" si="97"/>
        <v>Tue</v>
      </c>
      <c r="H363" s="55"/>
      <c r="I363" s="56"/>
      <c r="J363" s="82"/>
      <c r="K363" s="83"/>
      <c r="L363" s="59">
        <f t="shared" si="98"/>
        <v>230766.13661644</v>
      </c>
      <c r="M363" s="60">
        <f t="shared" si="92"/>
        <v>-230766.13661644</v>
      </c>
      <c r="N363" s="61">
        <f t="shared" si="78"/>
        <v>0</v>
      </c>
      <c r="O363" s="80"/>
      <c r="P363" s="107">
        <f>IF(D363=0,0,SUM($L$355:L363))</f>
        <v>1899399.1547046413</v>
      </c>
      <c r="Q363" s="59">
        <f>IF(D363=0,0,SUM($J$355:J363))</f>
        <v>0</v>
      </c>
      <c r="R363" s="63">
        <f t="shared" si="93"/>
        <v>-1899399.1547046413</v>
      </c>
      <c r="S363" s="64">
        <f t="shared" si="99"/>
        <v>0</v>
      </c>
      <c r="T363" s="73"/>
      <c r="U363" s="59">
        <f>IF(D363=0,0,SUM($L$21:L363))</f>
        <v>59572030.733651966</v>
      </c>
      <c r="V363" s="59">
        <f>IF(D363=0,0,SUM($J$21:J363))</f>
        <v>56787100</v>
      </c>
      <c r="W363" s="66">
        <f t="shared" si="94"/>
        <v>-2784930.7336519659</v>
      </c>
      <c r="X363" s="67">
        <f t="shared" si="100"/>
        <v>0.95325103577376002</v>
      </c>
      <c r="Y363" s="68">
        <f t="shared" si="102"/>
        <v>46000</v>
      </c>
      <c r="Z363" s="69">
        <f t="shared" si="102"/>
        <v>46000</v>
      </c>
      <c r="AA363" s="1"/>
      <c r="AB363" s="1"/>
      <c r="AC363" s="1"/>
      <c r="AD363" s="1"/>
      <c r="AE363" s="1"/>
      <c r="AF363" s="1"/>
      <c r="AG363" s="1"/>
    </row>
    <row r="364" spans="1:33" ht="20">
      <c r="A364" s="1"/>
      <c r="B364" s="11"/>
      <c r="C364" s="50">
        <v>344</v>
      </c>
      <c r="D364" s="51">
        <v>1</v>
      </c>
      <c r="E364" s="52">
        <f t="shared" si="95"/>
        <v>12</v>
      </c>
      <c r="F364" s="53">
        <f t="shared" si="96"/>
        <v>46001</v>
      </c>
      <c r="G364" s="54" t="str">
        <f t="shared" si="97"/>
        <v>Wed</v>
      </c>
      <c r="H364" s="55"/>
      <c r="I364" s="56"/>
      <c r="J364" s="82"/>
      <c r="K364" s="83"/>
      <c r="L364" s="59">
        <f t="shared" si="98"/>
        <v>286865.64520980971</v>
      </c>
      <c r="M364" s="60">
        <f t="shared" si="92"/>
        <v>-286865.64520980971</v>
      </c>
      <c r="N364" s="61">
        <f t="shared" si="78"/>
        <v>0</v>
      </c>
      <c r="O364" s="80"/>
      <c r="P364" s="107">
        <f>IF(D364=0,0,SUM($L$355:L364))</f>
        <v>2186264.7999144509</v>
      </c>
      <c r="Q364" s="59">
        <f>IF(D364=0,0,SUM($J$355:J364))</f>
        <v>0</v>
      </c>
      <c r="R364" s="63">
        <f t="shared" si="93"/>
        <v>-2186264.7999144509</v>
      </c>
      <c r="S364" s="64">
        <f t="shared" si="99"/>
        <v>0</v>
      </c>
      <c r="T364" s="73"/>
      <c r="U364" s="59">
        <f>IF(D364=0,0,SUM($L$21:L364))</f>
        <v>59858896.378861777</v>
      </c>
      <c r="V364" s="59">
        <f>IF(D364=0,0,SUM($J$21:J364))</f>
        <v>56787100</v>
      </c>
      <c r="W364" s="66">
        <f t="shared" si="94"/>
        <v>-3071796.3788617775</v>
      </c>
      <c r="X364" s="67">
        <f t="shared" si="100"/>
        <v>0.94868270942685584</v>
      </c>
      <c r="Y364" s="68">
        <f t="shared" si="102"/>
        <v>46001</v>
      </c>
      <c r="Z364" s="69">
        <f t="shared" si="102"/>
        <v>46001</v>
      </c>
      <c r="AA364" s="1"/>
      <c r="AB364" s="1"/>
      <c r="AC364" s="1"/>
      <c r="AD364" s="1"/>
      <c r="AE364" s="1"/>
      <c r="AF364" s="1"/>
      <c r="AG364" s="1"/>
    </row>
    <row r="365" spans="1:33" ht="20">
      <c r="A365" s="1"/>
      <c r="B365" s="11"/>
      <c r="C365" s="50">
        <v>345</v>
      </c>
      <c r="D365" s="51">
        <v>1</v>
      </c>
      <c r="E365" s="52">
        <f t="shared" si="95"/>
        <v>12</v>
      </c>
      <c r="F365" s="53">
        <f t="shared" si="96"/>
        <v>46002</v>
      </c>
      <c r="G365" s="54" t="str">
        <f t="shared" si="97"/>
        <v>Thu</v>
      </c>
      <c r="H365" s="55"/>
      <c r="I365" s="56"/>
      <c r="J365" s="82"/>
      <c r="K365" s="83"/>
      <c r="L365" s="59">
        <f t="shared" si="98"/>
        <v>248339.3653988569</v>
      </c>
      <c r="M365" s="60">
        <f t="shared" si="92"/>
        <v>-248339.3653988569</v>
      </c>
      <c r="N365" s="61">
        <f t="shared" si="78"/>
        <v>0</v>
      </c>
      <c r="O365" s="80"/>
      <c r="P365" s="107">
        <f>IF(D365=0,0,SUM($L$355:L365))</f>
        <v>2434604.1653133077</v>
      </c>
      <c r="Q365" s="59">
        <f>IF(D365=0,0,SUM($J$355:J365))</f>
        <v>0</v>
      </c>
      <c r="R365" s="63">
        <f t="shared" si="93"/>
        <v>-2434604.1653133077</v>
      </c>
      <c r="S365" s="64">
        <f t="shared" si="99"/>
        <v>0</v>
      </c>
      <c r="T365" s="73"/>
      <c r="U365" s="59">
        <f>IF(D365=0,0,SUM($L$21:L365))</f>
        <v>60107235.744260632</v>
      </c>
      <c r="V365" s="59">
        <f>IF(D365=0,0,SUM($J$21:J365))</f>
        <v>56787100</v>
      </c>
      <c r="W365" s="66">
        <f t="shared" si="94"/>
        <v>-3320135.7442606315</v>
      </c>
      <c r="X365" s="67">
        <f t="shared" si="100"/>
        <v>0.94476312704868226</v>
      </c>
      <c r="Y365" s="68">
        <f t="shared" si="102"/>
        <v>46002</v>
      </c>
      <c r="Z365" s="69">
        <f t="shared" si="102"/>
        <v>46002</v>
      </c>
      <c r="AA365" s="1"/>
      <c r="AB365" s="1"/>
      <c r="AC365" s="1"/>
      <c r="AD365" s="1"/>
      <c r="AE365" s="1"/>
      <c r="AF365" s="1"/>
      <c r="AG365" s="1"/>
    </row>
    <row r="366" spans="1:33" ht="20">
      <c r="A366" s="1"/>
      <c r="B366" s="11"/>
      <c r="C366" s="50">
        <v>346</v>
      </c>
      <c r="D366" s="51">
        <v>1</v>
      </c>
      <c r="E366" s="52">
        <f t="shared" si="95"/>
        <v>12</v>
      </c>
      <c r="F366" s="53">
        <f t="shared" si="96"/>
        <v>46003</v>
      </c>
      <c r="G366" s="54" t="str">
        <f t="shared" si="97"/>
        <v>Fri</v>
      </c>
      <c r="H366" s="55"/>
      <c r="I366" s="56"/>
      <c r="J366" s="82"/>
      <c r="K366" s="83"/>
      <c r="L366" s="59">
        <f t="shared" si="98"/>
        <v>309192.78790562029</v>
      </c>
      <c r="M366" s="60">
        <f t="shared" si="92"/>
        <v>-309192.78790562029</v>
      </c>
      <c r="N366" s="61">
        <f t="shared" si="78"/>
        <v>0</v>
      </c>
      <c r="O366" s="80"/>
      <c r="P366" s="107">
        <f>IF(D366=0,0,SUM($L$355:L366))</f>
        <v>2743796.9532189281</v>
      </c>
      <c r="Q366" s="59">
        <f>IF(D366=0,0,SUM($J$355:J366))</f>
        <v>0</v>
      </c>
      <c r="R366" s="63">
        <f t="shared" si="93"/>
        <v>-2743796.9532189281</v>
      </c>
      <c r="S366" s="64">
        <f t="shared" si="99"/>
        <v>0</v>
      </c>
      <c r="T366" s="73"/>
      <c r="U366" s="59">
        <f>IF(D366=0,0,SUM($L$21:L366))</f>
        <v>60416428.53216625</v>
      </c>
      <c r="V366" s="59">
        <f>IF(D366=0,0,SUM($J$21:J366))</f>
        <v>56787100</v>
      </c>
      <c r="W366" s="66">
        <f t="shared" si="94"/>
        <v>-3629328.5321662501</v>
      </c>
      <c r="X366" s="67">
        <f t="shared" si="100"/>
        <v>0.93992811855414515</v>
      </c>
      <c r="Y366" s="68">
        <f t="shared" si="102"/>
        <v>46003</v>
      </c>
      <c r="Z366" s="69">
        <f t="shared" si="102"/>
        <v>46003</v>
      </c>
      <c r="AA366" s="1"/>
      <c r="AB366" s="1"/>
      <c r="AC366" s="1"/>
      <c r="AD366" s="1"/>
      <c r="AE366" s="1"/>
      <c r="AF366" s="1"/>
      <c r="AG366" s="1"/>
    </row>
    <row r="367" spans="1:33" ht="20">
      <c r="A367" s="1"/>
      <c r="B367" s="11"/>
      <c r="C367" s="50">
        <v>347</v>
      </c>
      <c r="D367" s="51">
        <v>1</v>
      </c>
      <c r="E367" s="52">
        <f t="shared" si="95"/>
        <v>12</v>
      </c>
      <c r="F367" s="53">
        <f t="shared" si="96"/>
        <v>46004</v>
      </c>
      <c r="G367" s="54" t="str">
        <f t="shared" si="97"/>
        <v>Sat</v>
      </c>
      <c r="H367" s="55"/>
      <c r="I367" s="56"/>
      <c r="J367" s="82"/>
      <c r="K367" s="83"/>
      <c r="L367" s="59">
        <f t="shared" si="98"/>
        <v>174097.78362317695</v>
      </c>
      <c r="M367" s="60">
        <f t="shared" si="92"/>
        <v>-174097.78362317695</v>
      </c>
      <c r="N367" s="61">
        <f t="shared" si="78"/>
        <v>0</v>
      </c>
      <c r="O367" s="80"/>
      <c r="P367" s="107">
        <f>IF(D367=0,0,SUM($L$355:L367))</f>
        <v>2917894.7368421052</v>
      </c>
      <c r="Q367" s="59">
        <f>IF(D367=0,0,SUM($J$355:J367))</f>
        <v>0</v>
      </c>
      <c r="R367" s="63">
        <f t="shared" si="93"/>
        <v>-2917894.7368421052</v>
      </c>
      <c r="S367" s="64">
        <f t="shared" si="99"/>
        <v>0</v>
      </c>
      <c r="T367" s="73"/>
      <c r="U367" s="59">
        <f>IF(D367=0,0,SUM($L$21:L367))</f>
        <v>60590526.315789424</v>
      </c>
      <c r="V367" s="59">
        <f>IF(D367=0,0,SUM($J$21:J367))</f>
        <v>56787100</v>
      </c>
      <c r="W367" s="66">
        <f t="shared" si="94"/>
        <v>-3803426.3157894239</v>
      </c>
      <c r="X367" s="67">
        <f t="shared" si="100"/>
        <v>0.93722737617484142</v>
      </c>
      <c r="Y367" s="68">
        <f t="shared" si="102"/>
        <v>46004</v>
      </c>
      <c r="Z367" s="69">
        <f t="shared" si="102"/>
        <v>46004</v>
      </c>
      <c r="AA367" s="1"/>
      <c r="AB367" s="1"/>
      <c r="AC367" s="1"/>
      <c r="AD367" s="1"/>
      <c r="AE367" s="1"/>
      <c r="AF367" s="1"/>
      <c r="AG367" s="1"/>
    </row>
    <row r="368" spans="1:33" ht="20">
      <c r="A368" s="1"/>
      <c r="B368" s="11"/>
      <c r="C368" s="50">
        <v>348</v>
      </c>
      <c r="D368" s="51">
        <v>0</v>
      </c>
      <c r="E368" s="52">
        <f t="shared" si="95"/>
        <v>12</v>
      </c>
      <c r="F368" s="53">
        <f t="shared" si="96"/>
        <v>46005</v>
      </c>
      <c r="G368" s="54" t="str">
        <f t="shared" si="97"/>
        <v>Sun</v>
      </c>
      <c r="H368" s="55"/>
      <c r="I368" s="56"/>
      <c r="J368" s="82"/>
      <c r="K368" s="83"/>
      <c r="L368" s="59">
        <f t="shared" si="98"/>
        <v>0</v>
      </c>
      <c r="M368" s="60">
        <f t="shared" si="92"/>
        <v>0</v>
      </c>
      <c r="N368" s="61" t="str">
        <f t="shared" si="78"/>
        <v>¥0</v>
      </c>
      <c r="O368" s="81"/>
      <c r="P368" s="107">
        <f>IF(D368=0,0,SUM($L$355:L368))</f>
        <v>0</v>
      </c>
      <c r="Q368" s="59">
        <f>IF(D368=0,0,SUM($J$355:J368))</f>
        <v>0</v>
      </c>
      <c r="R368" s="63">
        <f t="shared" si="93"/>
        <v>0</v>
      </c>
      <c r="S368" s="64">
        <f t="shared" si="99"/>
        <v>0</v>
      </c>
      <c r="T368" s="78"/>
      <c r="U368" s="59">
        <f>IF(D368=0,0,SUM($L$21:L368))</f>
        <v>0</v>
      </c>
      <c r="V368" s="59">
        <f>IF(D368=0,0,SUM($J$21:J368))</f>
        <v>0</v>
      </c>
      <c r="W368" s="66">
        <f t="shared" si="94"/>
        <v>0</v>
      </c>
      <c r="X368" s="67">
        <f t="shared" si="100"/>
        <v>0</v>
      </c>
      <c r="Y368" s="68">
        <f t="shared" si="102"/>
        <v>46005</v>
      </c>
      <c r="Z368" s="69">
        <f t="shared" si="102"/>
        <v>46005</v>
      </c>
      <c r="AA368" s="1"/>
      <c r="AB368" s="1"/>
      <c r="AC368" s="1"/>
      <c r="AD368" s="1"/>
      <c r="AE368" s="1"/>
      <c r="AF368" s="1"/>
      <c r="AG368" s="1"/>
    </row>
    <row r="369" spans="1:33" ht="20">
      <c r="A369" s="1"/>
      <c r="B369" s="11"/>
      <c r="C369" s="50">
        <v>349</v>
      </c>
      <c r="D369" s="51">
        <v>1</v>
      </c>
      <c r="E369" s="52">
        <f t="shared" si="95"/>
        <v>12</v>
      </c>
      <c r="F369" s="53">
        <f t="shared" si="96"/>
        <v>46006</v>
      </c>
      <c r="G369" s="54" t="str">
        <f t="shared" si="97"/>
        <v>Mon</v>
      </c>
      <c r="H369" s="55"/>
      <c r="I369" s="56"/>
      <c r="J369" s="82"/>
      <c r="K369" s="83"/>
      <c r="L369" s="59">
        <f t="shared" si="98"/>
        <v>209685.64966714871</v>
      </c>
      <c r="M369" s="60">
        <f t="shared" si="92"/>
        <v>-209685.64966714871</v>
      </c>
      <c r="N369" s="61">
        <f t="shared" si="78"/>
        <v>0</v>
      </c>
      <c r="O369" s="80"/>
      <c r="P369" s="107">
        <f>IF(D369=0,0,SUM($L$355:L369))</f>
        <v>3127580.3865092536</v>
      </c>
      <c r="Q369" s="59">
        <f>IF(D369=0,0,SUM($J$355:J369))</f>
        <v>0</v>
      </c>
      <c r="R369" s="63">
        <f t="shared" si="93"/>
        <v>-3127580.3865092536</v>
      </c>
      <c r="S369" s="64">
        <f t="shared" si="99"/>
        <v>0</v>
      </c>
      <c r="T369" s="73"/>
      <c r="U369" s="59">
        <f>IF(D369=0,0,SUM($L$21:L369))</f>
        <v>60800211.965456575</v>
      </c>
      <c r="V369" s="59">
        <f>IF(D369=0,0,SUM($J$21:J369))</f>
        <v>56787100</v>
      </c>
      <c r="W369" s="66">
        <f t="shared" si="94"/>
        <v>-4013111.9654565752</v>
      </c>
      <c r="X369" s="67">
        <f t="shared" si="100"/>
        <v>0.93399509910036804</v>
      </c>
      <c r="Y369" s="68">
        <f t="shared" si="102"/>
        <v>46006</v>
      </c>
      <c r="Z369" s="69">
        <f t="shared" si="102"/>
        <v>46006</v>
      </c>
      <c r="AA369" s="1"/>
      <c r="AB369" s="1"/>
      <c r="AC369" s="1"/>
      <c r="AD369" s="1"/>
      <c r="AE369" s="1"/>
      <c r="AF369" s="1"/>
      <c r="AG369" s="1"/>
    </row>
    <row r="370" spans="1:33" ht="20">
      <c r="A370" s="1"/>
      <c r="B370" s="11"/>
      <c r="C370" s="50">
        <v>350</v>
      </c>
      <c r="D370" s="51">
        <v>1</v>
      </c>
      <c r="E370" s="52">
        <f t="shared" si="95"/>
        <v>12</v>
      </c>
      <c r="F370" s="53">
        <f t="shared" si="96"/>
        <v>46007</v>
      </c>
      <c r="G370" s="54" t="str">
        <f t="shared" si="97"/>
        <v>Tue</v>
      </c>
      <c r="H370" s="55"/>
      <c r="I370" s="56"/>
      <c r="J370" s="82"/>
      <c r="K370" s="83"/>
      <c r="L370" s="59">
        <f t="shared" si="98"/>
        <v>230766.13661644</v>
      </c>
      <c r="M370" s="60">
        <f t="shared" si="92"/>
        <v>-230766.13661644</v>
      </c>
      <c r="N370" s="61">
        <f t="shared" si="78"/>
        <v>0</v>
      </c>
      <c r="O370" s="80"/>
      <c r="P370" s="107">
        <f>IF(D370=0,0,SUM($L$355:L370))</f>
        <v>3358346.5231256937</v>
      </c>
      <c r="Q370" s="59">
        <f>IF(D370=0,0,SUM($J$355:J370))</f>
        <v>0</v>
      </c>
      <c r="R370" s="63">
        <f t="shared" si="93"/>
        <v>-3358346.5231256937</v>
      </c>
      <c r="S370" s="64">
        <f t="shared" si="99"/>
        <v>0</v>
      </c>
      <c r="T370" s="73"/>
      <c r="U370" s="59">
        <f>IF(D370=0,0,SUM($L$21:L370))</f>
        <v>61030978.102073014</v>
      </c>
      <c r="V370" s="59">
        <f>IF(D370=0,0,SUM($J$21:J370))</f>
        <v>56787100</v>
      </c>
      <c r="W370" s="66">
        <f t="shared" si="94"/>
        <v>-4243878.1020730138</v>
      </c>
      <c r="X370" s="67">
        <f t="shared" si="100"/>
        <v>0.93046354107294138</v>
      </c>
      <c r="Y370" s="68">
        <f t="shared" si="102"/>
        <v>46007</v>
      </c>
      <c r="Z370" s="69">
        <f t="shared" si="102"/>
        <v>46007</v>
      </c>
      <c r="AA370" s="1"/>
      <c r="AB370" s="1"/>
      <c r="AC370" s="1"/>
      <c r="AD370" s="1"/>
      <c r="AE370" s="1"/>
      <c r="AF370" s="1"/>
      <c r="AG370" s="1"/>
    </row>
    <row r="371" spans="1:33" ht="20">
      <c r="A371" s="1"/>
      <c r="B371" s="11"/>
      <c r="C371" s="50">
        <v>351</v>
      </c>
      <c r="D371" s="51">
        <v>1</v>
      </c>
      <c r="E371" s="52">
        <f t="shared" si="95"/>
        <v>12</v>
      </c>
      <c r="F371" s="53">
        <f t="shared" si="96"/>
        <v>46008</v>
      </c>
      <c r="G371" s="54" t="str">
        <f t="shared" si="97"/>
        <v>Wed</v>
      </c>
      <c r="H371" s="55"/>
      <c r="I371" s="56"/>
      <c r="J371" s="82"/>
      <c r="K371" s="83"/>
      <c r="L371" s="59">
        <f t="shared" si="98"/>
        <v>286865.64520980971</v>
      </c>
      <c r="M371" s="60">
        <f t="shared" si="92"/>
        <v>-286865.64520980971</v>
      </c>
      <c r="N371" s="61">
        <f t="shared" si="78"/>
        <v>0</v>
      </c>
      <c r="O371" s="80"/>
      <c r="P371" s="107">
        <f>IF(D371=0,0,SUM($L$355:L371))</f>
        <v>3645212.1683355034</v>
      </c>
      <c r="Q371" s="59">
        <f>IF(D371=0,0,SUM($J$355:J371))</f>
        <v>0</v>
      </c>
      <c r="R371" s="63">
        <f t="shared" si="93"/>
        <v>-3645212.1683355034</v>
      </c>
      <c r="S371" s="64">
        <f t="shared" si="99"/>
        <v>0</v>
      </c>
      <c r="T371" s="73"/>
      <c r="U371" s="59">
        <f>IF(D371=0,0,SUM($L$21:L371))</f>
        <v>61317843.747282825</v>
      </c>
      <c r="V371" s="59">
        <f>IF(D371=0,0,SUM($J$21:J371))</f>
        <v>56787100</v>
      </c>
      <c r="W371" s="66">
        <f t="shared" si="94"/>
        <v>-4530743.7472828254</v>
      </c>
      <c r="X371" s="67">
        <f t="shared" si="100"/>
        <v>0.92611051742204165</v>
      </c>
      <c r="Y371" s="68">
        <f t="shared" si="102"/>
        <v>46008</v>
      </c>
      <c r="Z371" s="69">
        <f t="shared" si="102"/>
        <v>46008</v>
      </c>
      <c r="AA371" s="1"/>
      <c r="AB371" s="1"/>
      <c r="AC371" s="1"/>
      <c r="AD371" s="1"/>
      <c r="AE371" s="1"/>
      <c r="AF371" s="1"/>
      <c r="AG371" s="1"/>
    </row>
    <row r="372" spans="1:33" ht="20">
      <c r="A372" s="1"/>
      <c r="B372" s="11"/>
      <c r="C372" s="50">
        <v>352</v>
      </c>
      <c r="D372" s="51">
        <v>1</v>
      </c>
      <c r="E372" s="52">
        <f t="shared" si="95"/>
        <v>12</v>
      </c>
      <c r="F372" s="53">
        <f t="shared" si="96"/>
        <v>46009</v>
      </c>
      <c r="G372" s="54" t="str">
        <f t="shared" si="97"/>
        <v>Thu</v>
      </c>
      <c r="H372" s="55"/>
      <c r="I372" s="56"/>
      <c r="J372" s="82"/>
      <c r="K372" s="83"/>
      <c r="L372" s="59">
        <f t="shared" si="98"/>
        <v>248339.3653988569</v>
      </c>
      <c r="M372" s="60">
        <f t="shared" si="92"/>
        <v>-248339.3653988569</v>
      </c>
      <c r="N372" s="61">
        <f t="shared" si="78"/>
        <v>0</v>
      </c>
      <c r="O372" s="80"/>
      <c r="P372" s="107">
        <f>IF(D372=0,0,SUM($L$355:L372))</f>
        <v>3893551.5337343602</v>
      </c>
      <c r="Q372" s="59">
        <f>IF(D372=0,0,SUM($J$355:J372))</f>
        <v>0</v>
      </c>
      <c r="R372" s="63">
        <f t="shared" si="93"/>
        <v>-3893551.5337343602</v>
      </c>
      <c r="S372" s="64">
        <f t="shared" si="99"/>
        <v>0</v>
      </c>
      <c r="T372" s="73"/>
      <c r="U372" s="59">
        <f>IF(D372=0,0,SUM($L$21:L372))</f>
        <v>61566183.112681679</v>
      </c>
      <c r="V372" s="59">
        <f>IF(D372=0,0,SUM($J$21:J372))</f>
        <v>56787100</v>
      </c>
      <c r="W372" s="66">
        <f t="shared" si="94"/>
        <v>-4779083.1126816794</v>
      </c>
      <c r="X372" s="67">
        <f t="shared" si="100"/>
        <v>0.92237486764552634</v>
      </c>
      <c r="Y372" s="68">
        <f t="shared" si="102"/>
        <v>46009</v>
      </c>
      <c r="Z372" s="69">
        <f t="shared" si="102"/>
        <v>46009</v>
      </c>
      <c r="AA372" s="1"/>
      <c r="AB372" s="1"/>
      <c r="AC372" s="1"/>
      <c r="AD372" s="1"/>
      <c r="AE372" s="1"/>
      <c r="AF372" s="1"/>
      <c r="AG372" s="1"/>
    </row>
    <row r="373" spans="1:33" ht="20">
      <c r="A373" s="1"/>
      <c r="B373" s="11"/>
      <c r="C373" s="50">
        <v>353</v>
      </c>
      <c r="D373" s="51">
        <v>1</v>
      </c>
      <c r="E373" s="52">
        <f t="shared" si="95"/>
        <v>12</v>
      </c>
      <c r="F373" s="53">
        <f t="shared" si="96"/>
        <v>46010</v>
      </c>
      <c r="G373" s="54" t="str">
        <f t="shared" si="97"/>
        <v>Fri</v>
      </c>
      <c r="H373" s="55"/>
      <c r="I373" s="56"/>
      <c r="J373" s="82"/>
      <c r="K373" s="83"/>
      <c r="L373" s="59">
        <f t="shared" si="98"/>
        <v>309192.78790562029</v>
      </c>
      <c r="M373" s="60">
        <f t="shared" si="92"/>
        <v>-309192.78790562029</v>
      </c>
      <c r="N373" s="61">
        <f t="shared" si="78"/>
        <v>0</v>
      </c>
      <c r="O373" s="80"/>
      <c r="P373" s="107">
        <f>IF(D373=0,0,SUM($L$355:L373))</f>
        <v>4202744.3216399802</v>
      </c>
      <c r="Q373" s="59">
        <f>IF(D373=0,0,SUM($J$355:J373))</f>
        <v>0</v>
      </c>
      <c r="R373" s="63">
        <f t="shared" si="93"/>
        <v>-4202744.3216399802</v>
      </c>
      <c r="S373" s="64">
        <f t="shared" si="99"/>
        <v>0</v>
      </c>
      <c r="T373" s="73"/>
      <c r="U373" s="59">
        <f>IF(D373=0,0,SUM($L$21:L373))</f>
        <v>61875375.900587298</v>
      </c>
      <c r="V373" s="59">
        <f>IF(D373=0,0,SUM($J$21:J373))</f>
        <v>56787100</v>
      </c>
      <c r="W373" s="66">
        <f t="shared" si="94"/>
        <v>-5088275.900587298</v>
      </c>
      <c r="X373" s="67">
        <f t="shared" si="100"/>
        <v>0.91776573755669089</v>
      </c>
      <c r="Y373" s="68">
        <f t="shared" si="102"/>
        <v>46010</v>
      </c>
      <c r="Z373" s="69">
        <f t="shared" si="102"/>
        <v>46010</v>
      </c>
      <c r="AA373" s="1"/>
      <c r="AB373" s="1"/>
      <c r="AC373" s="1"/>
      <c r="AD373" s="1"/>
      <c r="AE373" s="1"/>
      <c r="AF373" s="1"/>
      <c r="AG373" s="1"/>
    </row>
    <row r="374" spans="1:33" ht="20">
      <c r="A374" s="1"/>
      <c r="B374" s="11"/>
      <c r="C374" s="50">
        <v>354</v>
      </c>
      <c r="D374" s="51">
        <v>1</v>
      </c>
      <c r="E374" s="52">
        <f t="shared" si="95"/>
        <v>12</v>
      </c>
      <c r="F374" s="53">
        <f t="shared" si="96"/>
        <v>46011</v>
      </c>
      <c r="G374" s="54" t="str">
        <f t="shared" si="97"/>
        <v>Sat</v>
      </c>
      <c r="H374" s="55"/>
      <c r="I374" s="56"/>
      <c r="J374" s="82"/>
      <c r="K374" s="83"/>
      <c r="L374" s="59">
        <f t="shared" si="98"/>
        <v>174097.78362317695</v>
      </c>
      <c r="M374" s="60">
        <f t="shared" si="92"/>
        <v>-174097.78362317695</v>
      </c>
      <c r="N374" s="61">
        <f t="shared" si="78"/>
        <v>0</v>
      </c>
      <c r="O374" s="80"/>
      <c r="P374" s="107">
        <f>IF(D374=0,0,SUM($L$355:L374))</f>
        <v>4376842.1052631568</v>
      </c>
      <c r="Q374" s="59">
        <f>IF(D374=0,0,SUM($J$355:J374))</f>
        <v>0</v>
      </c>
      <c r="R374" s="63">
        <f t="shared" si="93"/>
        <v>-4376842.1052631568</v>
      </c>
      <c r="S374" s="64">
        <f t="shared" si="99"/>
        <v>0</v>
      </c>
      <c r="T374" s="73"/>
      <c r="U374" s="59">
        <f>IF(D374=0,0,SUM($L$21:L374))</f>
        <v>62049473.684210472</v>
      </c>
      <c r="V374" s="59">
        <f>IF(D374=0,0,SUM($J$21:J374))</f>
        <v>56787100</v>
      </c>
      <c r="W374" s="66">
        <f t="shared" si="94"/>
        <v>-5262373.6842104718</v>
      </c>
      <c r="X374" s="67">
        <f t="shared" si="100"/>
        <v>0.91519067976317792</v>
      </c>
      <c r="Y374" s="68">
        <f t="shared" si="102"/>
        <v>46011</v>
      </c>
      <c r="Z374" s="69">
        <f t="shared" si="102"/>
        <v>46011</v>
      </c>
      <c r="AA374" s="1"/>
      <c r="AB374" s="1"/>
      <c r="AC374" s="1"/>
      <c r="AD374" s="1"/>
      <c r="AE374" s="1"/>
      <c r="AF374" s="1"/>
      <c r="AG374" s="1"/>
    </row>
    <row r="375" spans="1:33" ht="20">
      <c r="A375" s="1"/>
      <c r="B375" s="11"/>
      <c r="C375" s="50">
        <v>355</v>
      </c>
      <c r="D375" s="51">
        <v>0</v>
      </c>
      <c r="E375" s="52">
        <f t="shared" si="95"/>
        <v>12</v>
      </c>
      <c r="F375" s="53">
        <f t="shared" si="96"/>
        <v>46012</v>
      </c>
      <c r="G375" s="54" t="str">
        <f t="shared" si="97"/>
        <v>Sun</v>
      </c>
      <c r="H375" s="55"/>
      <c r="I375" s="56"/>
      <c r="J375" s="82"/>
      <c r="K375" s="83"/>
      <c r="L375" s="59">
        <f t="shared" si="98"/>
        <v>0</v>
      </c>
      <c r="M375" s="60">
        <f t="shared" si="92"/>
        <v>0</v>
      </c>
      <c r="N375" s="61" t="str">
        <f t="shared" si="78"/>
        <v>¥0</v>
      </c>
      <c r="O375" s="81"/>
      <c r="P375" s="107">
        <f>IF(D375=0,0,SUM($L$355:L375))</f>
        <v>0</v>
      </c>
      <c r="Q375" s="59">
        <f>IF(D375=0,0,SUM($J$355:J375))</f>
        <v>0</v>
      </c>
      <c r="R375" s="63">
        <f t="shared" si="93"/>
        <v>0</v>
      </c>
      <c r="S375" s="64">
        <f t="shared" si="99"/>
        <v>0</v>
      </c>
      <c r="T375" s="78"/>
      <c r="U375" s="59">
        <f>IF(D375=0,0,SUM($L$21:L375))</f>
        <v>0</v>
      </c>
      <c r="V375" s="59">
        <f>IF(D375=0,0,SUM($J$21:J375))</f>
        <v>0</v>
      </c>
      <c r="W375" s="66">
        <f t="shared" si="94"/>
        <v>0</v>
      </c>
      <c r="X375" s="67">
        <f t="shared" si="100"/>
        <v>0</v>
      </c>
      <c r="Y375" s="68">
        <f t="shared" ref="Y375:Z385" si="103">Y374+1</f>
        <v>46012</v>
      </c>
      <c r="Z375" s="69">
        <f t="shared" si="103"/>
        <v>46012</v>
      </c>
      <c r="AA375" s="1"/>
      <c r="AB375" s="1"/>
      <c r="AC375" s="1"/>
      <c r="AD375" s="1"/>
      <c r="AE375" s="1"/>
      <c r="AF375" s="1"/>
      <c r="AG375" s="1"/>
    </row>
    <row r="376" spans="1:33" ht="20">
      <c r="A376" s="1"/>
      <c r="B376" s="11"/>
      <c r="C376" s="50">
        <v>356</v>
      </c>
      <c r="D376" s="51">
        <v>1</v>
      </c>
      <c r="E376" s="52">
        <f t="shared" si="95"/>
        <v>12</v>
      </c>
      <c r="F376" s="53">
        <f t="shared" si="96"/>
        <v>46013</v>
      </c>
      <c r="G376" s="54" t="str">
        <f t="shared" si="97"/>
        <v>Mon</v>
      </c>
      <c r="H376" s="55"/>
      <c r="I376" s="56"/>
      <c r="J376" s="82"/>
      <c r="K376" s="83"/>
      <c r="L376" s="59">
        <f t="shared" si="98"/>
        <v>209685.64966714871</v>
      </c>
      <c r="M376" s="60">
        <f t="shared" si="92"/>
        <v>-209685.64966714871</v>
      </c>
      <c r="N376" s="61">
        <f t="shared" si="78"/>
        <v>0</v>
      </c>
      <c r="O376" s="80"/>
      <c r="P376" s="107">
        <f>IF(D376=0,0,SUM($L$355:L376))</f>
        <v>4586527.7549303053</v>
      </c>
      <c r="Q376" s="59">
        <f>IF(D376=0,0,SUM($J$355:J376))</f>
        <v>0</v>
      </c>
      <c r="R376" s="63">
        <f t="shared" si="93"/>
        <v>-4586527.7549303053</v>
      </c>
      <c r="S376" s="64">
        <f t="shared" si="99"/>
        <v>0</v>
      </c>
      <c r="T376" s="73"/>
      <c r="U376" s="59">
        <f>IF(D376=0,0,SUM($L$21:L376))</f>
        <v>62259159.333877623</v>
      </c>
      <c r="V376" s="59">
        <f>IF(D376=0,0,SUM($J$21:J376))</f>
        <v>56787100</v>
      </c>
      <c r="W376" s="66">
        <f t="shared" si="94"/>
        <v>-5472059.3338776231</v>
      </c>
      <c r="X376" s="67">
        <f t="shared" si="100"/>
        <v>0.91210836457761058</v>
      </c>
      <c r="Y376" s="68">
        <f t="shared" si="103"/>
        <v>46013</v>
      </c>
      <c r="Z376" s="69">
        <f t="shared" si="103"/>
        <v>46013</v>
      </c>
      <c r="AA376" s="1"/>
      <c r="AB376" s="1"/>
      <c r="AC376" s="1"/>
      <c r="AD376" s="1"/>
      <c r="AE376" s="1"/>
      <c r="AF376" s="1"/>
      <c r="AG376" s="1"/>
    </row>
    <row r="377" spans="1:33" ht="20">
      <c r="A377" s="1"/>
      <c r="B377" s="11"/>
      <c r="C377" s="50">
        <v>357</v>
      </c>
      <c r="D377" s="51">
        <v>1</v>
      </c>
      <c r="E377" s="52">
        <f t="shared" si="95"/>
        <v>12</v>
      </c>
      <c r="F377" s="53">
        <f t="shared" si="96"/>
        <v>46014</v>
      </c>
      <c r="G377" s="54" t="str">
        <f t="shared" si="97"/>
        <v>Tue</v>
      </c>
      <c r="H377" s="55"/>
      <c r="I377" s="56"/>
      <c r="J377" s="82"/>
      <c r="K377" s="83"/>
      <c r="L377" s="59">
        <f t="shared" si="98"/>
        <v>230766.13661644</v>
      </c>
      <c r="M377" s="60">
        <f t="shared" si="92"/>
        <v>-230766.13661644</v>
      </c>
      <c r="N377" s="61">
        <f t="shared" si="78"/>
        <v>0</v>
      </c>
      <c r="O377" s="80"/>
      <c r="P377" s="107">
        <f>IF(D377=0,0,SUM($L$355:L377))</f>
        <v>4817293.8915467449</v>
      </c>
      <c r="Q377" s="59">
        <f>IF(D377=0,0,SUM($J$355:J377))</f>
        <v>0</v>
      </c>
      <c r="R377" s="63">
        <f t="shared" si="93"/>
        <v>-4817293.8915467449</v>
      </c>
      <c r="S377" s="64">
        <f t="shared" si="99"/>
        <v>0</v>
      </c>
      <c r="T377" s="73"/>
      <c r="U377" s="59">
        <f>IF(D377=0,0,SUM($L$21:L377))</f>
        <v>62489925.470494062</v>
      </c>
      <c r="V377" s="59">
        <f>IF(D377=0,0,SUM($J$21:J377))</f>
        <v>56787100</v>
      </c>
      <c r="W377" s="66">
        <f t="shared" si="94"/>
        <v>-5702825.4704940617</v>
      </c>
      <c r="X377" s="67">
        <f t="shared" si="100"/>
        <v>0.90874008206031909</v>
      </c>
      <c r="Y377" s="68">
        <f t="shared" si="103"/>
        <v>46014</v>
      </c>
      <c r="Z377" s="69">
        <f t="shared" si="103"/>
        <v>46014</v>
      </c>
      <c r="AA377" s="1"/>
      <c r="AB377" s="1"/>
      <c r="AC377" s="1"/>
      <c r="AD377" s="1"/>
      <c r="AE377" s="1"/>
      <c r="AF377" s="1"/>
      <c r="AG377" s="1"/>
    </row>
    <row r="378" spans="1:33" ht="20">
      <c r="A378" s="1"/>
      <c r="B378" s="11"/>
      <c r="C378" s="50">
        <v>358</v>
      </c>
      <c r="D378" s="51">
        <v>1</v>
      </c>
      <c r="E378" s="52">
        <f t="shared" si="95"/>
        <v>12</v>
      </c>
      <c r="F378" s="53">
        <f t="shared" si="96"/>
        <v>46015</v>
      </c>
      <c r="G378" s="54" t="str">
        <f t="shared" si="97"/>
        <v>Wed</v>
      </c>
      <c r="H378" s="55"/>
      <c r="I378" s="56"/>
      <c r="J378" s="82"/>
      <c r="K378" s="83"/>
      <c r="L378" s="59">
        <f t="shared" si="98"/>
        <v>286865.64520980971</v>
      </c>
      <c r="M378" s="60">
        <f t="shared" si="92"/>
        <v>-286865.64520980971</v>
      </c>
      <c r="N378" s="61">
        <f t="shared" si="78"/>
        <v>0</v>
      </c>
      <c r="O378" s="80"/>
      <c r="P378" s="107">
        <f>IF(D378=0,0,SUM($L$355:L378))</f>
        <v>5104159.5367565546</v>
      </c>
      <c r="Q378" s="59">
        <f>IF(D378=0,0,SUM($J$355:J378))</f>
        <v>0</v>
      </c>
      <c r="R378" s="63">
        <f t="shared" si="93"/>
        <v>-5104159.5367565546</v>
      </c>
      <c r="S378" s="64">
        <f t="shared" si="99"/>
        <v>0</v>
      </c>
      <c r="T378" s="73"/>
      <c r="U378" s="59">
        <f>IF(D378=0,0,SUM($L$21:L378))</f>
        <v>62776791.115703873</v>
      </c>
      <c r="V378" s="59">
        <f>IF(D378=0,0,SUM($J$21:J378))</f>
        <v>56787100</v>
      </c>
      <c r="W378" s="66">
        <f t="shared" si="94"/>
        <v>-5989691.1157038733</v>
      </c>
      <c r="X378" s="67">
        <f t="shared" si="100"/>
        <v>0.90458749150359918</v>
      </c>
      <c r="Y378" s="68">
        <f t="shared" si="103"/>
        <v>46015</v>
      </c>
      <c r="Z378" s="69">
        <f t="shared" si="103"/>
        <v>46015</v>
      </c>
      <c r="AA378" s="1"/>
      <c r="AB378" s="1"/>
      <c r="AC378" s="1"/>
      <c r="AD378" s="1"/>
      <c r="AE378" s="1"/>
      <c r="AF378" s="1"/>
      <c r="AG378" s="1"/>
    </row>
    <row r="379" spans="1:33" ht="20">
      <c r="A379" s="1"/>
      <c r="B379" s="11"/>
      <c r="C379" s="50">
        <v>359</v>
      </c>
      <c r="D379" s="51">
        <v>1</v>
      </c>
      <c r="E379" s="52">
        <f t="shared" si="95"/>
        <v>12</v>
      </c>
      <c r="F379" s="53">
        <f t="shared" si="96"/>
        <v>46016</v>
      </c>
      <c r="G379" s="54" t="str">
        <f t="shared" si="97"/>
        <v>Thu</v>
      </c>
      <c r="H379" s="55"/>
      <c r="I379" s="56"/>
      <c r="J379" s="82"/>
      <c r="K379" s="83"/>
      <c r="L379" s="59">
        <f t="shared" si="98"/>
        <v>248339.3653988569</v>
      </c>
      <c r="M379" s="60">
        <f t="shared" si="92"/>
        <v>-248339.3653988569</v>
      </c>
      <c r="N379" s="61">
        <f t="shared" si="78"/>
        <v>0</v>
      </c>
      <c r="O379" s="80"/>
      <c r="P379" s="107">
        <f>IF(D379=0,0,SUM($L$355:L379))</f>
        <v>5352498.9021554114</v>
      </c>
      <c r="Q379" s="59">
        <f>IF(D379=0,0,SUM($J$355:J379))</f>
        <v>0</v>
      </c>
      <c r="R379" s="63">
        <f t="shared" si="93"/>
        <v>-5352498.9021554114</v>
      </c>
      <c r="S379" s="64">
        <f t="shared" si="99"/>
        <v>0</v>
      </c>
      <c r="T379" s="73"/>
      <c r="U379" s="59">
        <f>IF(D379=0,0,SUM($L$21:L379))</f>
        <v>63025130.481102727</v>
      </c>
      <c r="V379" s="59">
        <f>IF(D379=0,0,SUM($J$21:J379))</f>
        <v>56787100</v>
      </c>
      <c r="W379" s="66">
        <f t="shared" si="94"/>
        <v>-6238030.4811027274</v>
      </c>
      <c r="X379" s="67">
        <f t="shared" si="100"/>
        <v>0.90102312468876011</v>
      </c>
      <c r="Y379" s="68">
        <f t="shared" si="103"/>
        <v>46016</v>
      </c>
      <c r="Z379" s="69">
        <f t="shared" si="103"/>
        <v>46016</v>
      </c>
      <c r="AA379" s="1"/>
      <c r="AB379" s="1"/>
      <c r="AC379" s="1"/>
      <c r="AD379" s="1"/>
      <c r="AE379" s="1"/>
      <c r="AF379" s="1"/>
      <c r="AG379" s="1"/>
    </row>
    <row r="380" spans="1:33" ht="20">
      <c r="A380" s="1"/>
      <c r="B380" s="11"/>
      <c r="C380" s="50">
        <v>360</v>
      </c>
      <c r="D380" s="51">
        <v>1</v>
      </c>
      <c r="E380" s="52">
        <f t="shared" si="95"/>
        <v>12</v>
      </c>
      <c r="F380" s="53">
        <f t="shared" si="96"/>
        <v>46017</v>
      </c>
      <c r="G380" s="54" t="str">
        <f t="shared" si="97"/>
        <v>Fri</v>
      </c>
      <c r="H380" s="55"/>
      <c r="I380" s="56"/>
      <c r="J380" s="82"/>
      <c r="K380" s="83"/>
      <c r="L380" s="59">
        <f t="shared" si="98"/>
        <v>309192.78790562029</v>
      </c>
      <c r="M380" s="60">
        <f t="shared" si="92"/>
        <v>-309192.78790562029</v>
      </c>
      <c r="N380" s="61">
        <f t="shared" si="78"/>
        <v>0</v>
      </c>
      <c r="O380" s="80"/>
      <c r="P380" s="107">
        <f>IF(D380=0,0,SUM($L$355:L380))</f>
        <v>5661691.6900610318</v>
      </c>
      <c r="Q380" s="59">
        <f>IF(D380=0,0,SUM($J$355:J380))</f>
        <v>0</v>
      </c>
      <c r="R380" s="63">
        <f t="shared" si="93"/>
        <v>-5661691.6900610318</v>
      </c>
      <c r="S380" s="64">
        <f t="shared" si="99"/>
        <v>0</v>
      </c>
      <c r="T380" s="73"/>
      <c r="U380" s="59">
        <f>IF(D380=0,0,SUM($L$21:L380))</f>
        <v>63334323.269008346</v>
      </c>
      <c r="V380" s="59">
        <f>IF(D380=0,0,SUM($J$21:J380))</f>
        <v>56787100</v>
      </c>
      <c r="W380" s="66">
        <f t="shared" si="94"/>
        <v>-6547223.2690083459</v>
      </c>
      <c r="X380" s="67">
        <f t="shared" si="100"/>
        <v>0.8966244063081017</v>
      </c>
      <c r="Y380" s="68">
        <f t="shared" si="103"/>
        <v>46017</v>
      </c>
      <c r="Z380" s="69">
        <f t="shared" si="103"/>
        <v>46017</v>
      </c>
      <c r="AA380" s="1"/>
      <c r="AB380" s="1"/>
      <c r="AC380" s="1"/>
      <c r="AD380" s="1"/>
      <c r="AE380" s="1"/>
      <c r="AF380" s="1"/>
      <c r="AG380" s="1"/>
    </row>
    <row r="381" spans="1:33" ht="20">
      <c r="A381" s="1"/>
      <c r="B381" s="11"/>
      <c r="C381" s="50">
        <v>361</v>
      </c>
      <c r="D381" s="51">
        <v>1</v>
      </c>
      <c r="E381" s="52">
        <f t="shared" si="95"/>
        <v>12</v>
      </c>
      <c r="F381" s="53">
        <f t="shared" si="96"/>
        <v>46018</v>
      </c>
      <c r="G381" s="54" t="str">
        <f t="shared" si="97"/>
        <v>Sat</v>
      </c>
      <c r="H381" s="55"/>
      <c r="I381" s="56"/>
      <c r="J381" s="82"/>
      <c r="K381" s="83"/>
      <c r="L381" s="59">
        <f t="shared" si="98"/>
        <v>174097.78362317695</v>
      </c>
      <c r="M381" s="60">
        <f t="shared" si="92"/>
        <v>-174097.78362317695</v>
      </c>
      <c r="N381" s="61">
        <f t="shared" si="78"/>
        <v>0</v>
      </c>
      <c r="O381" s="80"/>
      <c r="P381" s="107">
        <f>IF(D381=0,0,SUM($L$355:L381))</f>
        <v>5835789.4736842085</v>
      </c>
      <c r="Q381" s="59">
        <f>IF(D381=0,0,SUM($J$355:J381))</f>
        <v>0</v>
      </c>
      <c r="R381" s="63">
        <f t="shared" si="93"/>
        <v>-5835789.4736842085</v>
      </c>
      <c r="S381" s="64">
        <f t="shared" si="99"/>
        <v>0</v>
      </c>
      <c r="T381" s="73"/>
      <c r="U381" s="59">
        <f>IF(D381=0,0,SUM($L$21:L381))</f>
        <v>63508421.05263152</v>
      </c>
      <c r="V381" s="59">
        <f>IF(D381=0,0,SUM($J$21:J381))</f>
        <v>56787100</v>
      </c>
      <c r="W381" s="66">
        <f t="shared" si="94"/>
        <v>-6721321.0526315197</v>
      </c>
      <c r="X381" s="67">
        <f t="shared" si="100"/>
        <v>0.89416645948320239</v>
      </c>
      <c r="Y381" s="68">
        <f t="shared" si="103"/>
        <v>46018</v>
      </c>
      <c r="Z381" s="69">
        <f t="shared" si="103"/>
        <v>46018</v>
      </c>
      <c r="AA381" s="1"/>
      <c r="AB381" s="1"/>
      <c r="AC381" s="1"/>
      <c r="AD381" s="1"/>
      <c r="AE381" s="1"/>
      <c r="AF381" s="1"/>
      <c r="AG381" s="1"/>
    </row>
    <row r="382" spans="1:33" ht="20">
      <c r="A382" s="1"/>
      <c r="B382" s="11"/>
      <c r="C382" s="50">
        <v>362</v>
      </c>
      <c r="D382" s="51">
        <v>0</v>
      </c>
      <c r="E382" s="52">
        <f t="shared" si="95"/>
        <v>12</v>
      </c>
      <c r="F382" s="53">
        <f t="shared" si="96"/>
        <v>46019</v>
      </c>
      <c r="G382" s="54" t="str">
        <f t="shared" si="97"/>
        <v>Sun</v>
      </c>
      <c r="H382" s="55"/>
      <c r="I382" s="56"/>
      <c r="J382" s="82"/>
      <c r="K382" s="83"/>
      <c r="L382" s="59">
        <f t="shared" si="98"/>
        <v>0</v>
      </c>
      <c r="M382" s="60">
        <f t="shared" si="92"/>
        <v>0</v>
      </c>
      <c r="N382" s="61" t="str">
        <f t="shared" si="78"/>
        <v>¥0</v>
      </c>
      <c r="O382" s="81"/>
      <c r="P382" s="107">
        <f>IF(D382=0,0,SUM($L$355:L382))</f>
        <v>0</v>
      </c>
      <c r="Q382" s="59">
        <f>IF(D382=0,0,SUM($J$355:J382))</f>
        <v>0</v>
      </c>
      <c r="R382" s="63">
        <f t="shared" si="93"/>
        <v>0</v>
      </c>
      <c r="S382" s="64">
        <f t="shared" si="99"/>
        <v>0</v>
      </c>
      <c r="T382" s="78"/>
      <c r="U382" s="59">
        <f>IF(D382=0,0,SUM($L$21:L382))</f>
        <v>0</v>
      </c>
      <c r="V382" s="59">
        <f>IF(D382=0,0,SUM($J$21:J382))</f>
        <v>0</v>
      </c>
      <c r="W382" s="66">
        <f t="shared" si="94"/>
        <v>0</v>
      </c>
      <c r="X382" s="67">
        <f t="shared" si="100"/>
        <v>0</v>
      </c>
      <c r="Y382" s="68">
        <f t="shared" si="103"/>
        <v>46019</v>
      </c>
      <c r="Z382" s="69">
        <f t="shared" si="103"/>
        <v>46019</v>
      </c>
      <c r="AA382" s="1"/>
      <c r="AB382" s="1"/>
      <c r="AC382" s="1"/>
      <c r="AD382" s="1"/>
      <c r="AE382" s="1"/>
      <c r="AF382" s="1"/>
      <c r="AG382" s="1"/>
    </row>
    <row r="383" spans="1:33" ht="20">
      <c r="A383" s="1"/>
      <c r="B383" s="11"/>
      <c r="C383" s="50">
        <v>363</v>
      </c>
      <c r="D383" s="51">
        <v>0</v>
      </c>
      <c r="E383" s="52">
        <f t="shared" si="95"/>
        <v>12</v>
      </c>
      <c r="F383" s="53">
        <f t="shared" si="96"/>
        <v>46020</v>
      </c>
      <c r="G383" s="54" t="str">
        <f t="shared" si="97"/>
        <v>Mon</v>
      </c>
      <c r="H383" s="55"/>
      <c r="I383" s="56"/>
      <c r="J383" s="82"/>
      <c r="K383" s="83"/>
      <c r="L383" s="59">
        <f t="shared" si="98"/>
        <v>0</v>
      </c>
      <c r="M383" s="60">
        <f t="shared" si="92"/>
        <v>0</v>
      </c>
      <c r="N383" s="61" t="str">
        <f t="shared" si="78"/>
        <v>¥0</v>
      </c>
      <c r="O383" s="80"/>
      <c r="P383" s="107">
        <f>IF(D383=0,0,SUM($L$355:L383))</f>
        <v>0</v>
      </c>
      <c r="Q383" s="59">
        <f>IF(D383=0,0,SUM($J$355:J383))</f>
        <v>0</v>
      </c>
      <c r="R383" s="63">
        <f t="shared" si="93"/>
        <v>0</v>
      </c>
      <c r="S383" s="64">
        <f t="shared" si="99"/>
        <v>0</v>
      </c>
      <c r="T383" s="73"/>
      <c r="U383" s="59">
        <f>IF(D383=0,0,SUM($L$21:L383))</f>
        <v>0</v>
      </c>
      <c r="V383" s="59">
        <f>IF(D383=0,0,SUM($J$21:J383))</f>
        <v>0</v>
      </c>
      <c r="W383" s="66">
        <f t="shared" si="94"/>
        <v>0</v>
      </c>
      <c r="X383" s="67">
        <f t="shared" si="100"/>
        <v>0</v>
      </c>
      <c r="Y383" s="68">
        <f t="shared" si="103"/>
        <v>46020</v>
      </c>
      <c r="Z383" s="69">
        <f t="shared" si="103"/>
        <v>46020</v>
      </c>
      <c r="AA383" s="1"/>
      <c r="AB383" s="1"/>
      <c r="AC383" s="1"/>
      <c r="AD383" s="1"/>
      <c r="AE383" s="1"/>
      <c r="AF383" s="1"/>
      <c r="AG383" s="1"/>
    </row>
    <row r="384" spans="1:33" ht="20">
      <c r="A384" s="1"/>
      <c r="B384" s="11"/>
      <c r="C384" s="50">
        <v>364</v>
      </c>
      <c r="D384" s="51">
        <v>0</v>
      </c>
      <c r="E384" s="52">
        <f t="shared" si="95"/>
        <v>12</v>
      </c>
      <c r="F384" s="53">
        <f t="shared" si="96"/>
        <v>46021</v>
      </c>
      <c r="G384" s="54" t="str">
        <f t="shared" si="97"/>
        <v>Tue</v>
      </c>
      <c r="H384" s="55"/>
      <c r="I384" s="56"/>
      <c r="J384" s="82"/>
      <c r="K384" s="83"/>
      <c r="L384" s="59">
        <f t="shared" si="98"/>
        <v>0</v>
      </c>
      <c r="M384" s="60">
        <f t="shared" si="92"/>
        <v>0</v>
      </c>
      <c r="N384" s="61" t="str">
        <f t="shared" si="78"/>
        <v>¥0</v>
      </c>
      <c r="O384" s="81"/>
      <c r="P384" s="107">
        <f>IF(D384=0,0,SUM($L$355:L384))</f>
        <v>0</v>
      </c>
      <c r="Q384" s="59">
        <f>IF(D384=0,0,SUM($J$355:J384))</f>
        <v>0</v>
      </c>
      <c r="R384" s="63">
        <f t="shared" si="93"/>
        <v>0</v>
      </c>
      <c r="S384" s="64">
        <f t="shared" si="99"/>
        <v>0</v>
      </c>
      <c r="T384" s="78"/>
      <c r="U384" s="59">
        <f>IF(D384=0,0,SUM($L$21:L384))</f>
        <v>0</v>
      </c>
      <c r="V384" s="59">
        <f>IF(D384=0,0,SUM($J$21:J384))</f>
        <v>0</v>
      </c>
      <c r="W384" s="66">
        <f t="shared" si="94"/>
        <v>0</v>
      </c>
      <c r="X384" s="67">
        <f t="shared" si="100"/>
        <v>0</v>
      </c>
      <c r="Y384" s="68">
        <f t="shared" si="103"/>
        <v>46021</v>
      </c>
      <c r="Z384" s="69">
        <f t="shared" si="103"/>
        <v>46021</v>
      </c>
      <c r="AA384" s="1"/>
      <c r="AB384" s="1"/>
      <c r="AC384" s="1"/>
      <c r="AD384" s="1"/>
      <c r="AE384" s="1"/>
      <c r="AF384" s="1"/>
      <c r="AG384" s="1"/>
    </row>
    <row r="385" spans="1:33" ht="21" thickBot="1">
      <c r="A385" s="1"/>
      <c r="B385" s="11"/>
      <c r="C385" s="84">
        <v>365</v>
      </c>
      <c r="D385" s="85">
        <v>0</v>
      </c>
      <c r="E385" s="501">
        <f t="shared" si="95"/>
        <v>12</v>
      </c>
      <c r="F385" s="86">
        <f t="shared" si="96"/>
        <v>46022</v>
      </c>
      <c r="G385" s="87" t="str">
        <f t="shared" si="97"/>
        <v>Wed</v>
      </c>
      <c r="H385" s="88" t="s">
        <v>60</v>
      </c>
      <c r="I385" s="502"/>
      <c r="J385" s="89"/>
      <c r="K385" s="503"/>
      <c r="L385" s="534">
        <f t="shared" si="98"/>
        <v>0</v>
      </c>
      <c r="M385" s="91">
        <f t="shared" si="92"/>
        <v>0</v>
      </c>
      <c r="N385" s="108" t="str">
        <f t="shared" si="78"/>
        <v>¥0</v>
      </c>
      <c r="O385" s="213"/>
      <c r="P385" s="109">
        <f>IF(D385=0,0,SUM($L$355:L385))</f>
        <v>0</v>
      </c>
      <c r="Q385" s="90">
        <f>IF(D385=0,0,SUM($J$355:J385))</f>
        <v>0</v>
      </c>
      <c r="R385" s="91">
        <f t="shared" si="93"/>
        <v>0</v>
      </c>
      <c r="S385" s="505">
        <f t="shared" si="99"/>
        <v>0</v>
      </c>
      <c r="T385" s="510"/>
      <c r="U385" s="94">
        <f>IF(D385=0,0,SUM($L$21:L385))</f>
        <v>0</v>
      </c>
      <c r="V385" s="94">
        <f>IF(D385=0,0,SUM($J$21:J385))</f>
        <v>0</v>
      </c>
      <c r="W385" s="95">
        <f t="shared" si="94"/>
        <v>0</v>
      </c>
      <c r="X385" s="507">
        <f t="shared" si="100"/>
        <v>0</v>
      </c>
      <c r="Y385" s="68">
        <f t="shared" si="103"/>
        <v>46022</v>
      </c>
      <c r="Z385" s="69">
        <f t="shared" si="103"/>
        <v>46022</v>
      </c>
      <c r="AA385" s="1"/>
      <c r="AB385" s="1"/>
      <c r="AC385" s="1"/>
      <c r="AD385" s="1"/>
      <c r="AE385" s="1"/>
      <c r="AF385" s="1"/>
      <c r="AG385" s="1"/>
    </row>
    <row r="386" spans="1:33" ht="18" thickTop="1">
      <c r="A386" s="1"/>
      <c r="B386" s="1"/>
      <c r="C386" s="1"/>
      <c r="D386" s="2"/>
      <c r="E386" s="1"/>
      <c r="F386" s="1"/>
      <c r="G386" s="1"/>
      <c r="H386" s="1"/>
      <c r="I386" s="3"/>
      <c r="J386" s="1"/>
      <c r="K386" s="1"/>
      <c r="L386" s="1"/>
      <c r="M386" s="1"/>
      <c r="N386" s="1"/>
      <c r="O386" s="1"/>
      <c r="P386" s="1"/>
      <c r="Q386" s="1"/>
      <c r="R386" s="1"/>
      <c r="S386" s="1"/>
      <c r="T386" s="1"/>
      <c r="U386" s="1"/>
      <c r="V386" s="1"/>
      <c r="W386" s="1"/>
      <c r="X386" s="1"/>
      <c r="Y386" s="1"/>
      <c r="Z386" s="1"/>
      <c r="AA386" s="1"/>
      <c r="AB386" s="1"/>
      <c r="AC386" s="1"/>
      <c r="AD386" s="1"/>
      <c r="AE386" s="1"/>
      <c r="AF386" s="1"/>
      <c r="AG386" s="1"/>
    </row>
  </sheetData>
  <sheetProtection selectLockedCells="1"/>
  <mergeCells count="49">
    <mergeCell ref="B2:D3"/>
    <mergeCell ref="E2:F2"/>
    <mergeCell ref="H2:J2"/>
    <mergeCell ref="K2:L2"/>
    <mergeCell ref="E3:F3"/>
    <mergeCell ref="I3:J3"/>
    <mergeCell ref="K3:L3"/>
    <mergeCell ref="B6:C6"/>
    <mergeCell ref="I6:J6"/>
    <mergeCell ref="K6:L6"/>
    <mergeCell ref="N6:O6"/>
    <mergeCell ref="B7:C7"/>
    <mergeCell ref="I7:J7"/>
    <mergeCell ref="K7:L7"/>
    <mergeCell ref="N7:O7"/>
    <mergeCell ref="B8:C8"/>
    <mergeCell ref="I8:J8"/>
    <mergeCell ref="K8:L8"/>
    <mergeCell ref="N8:O8"/>
    <mergeCell ref="I9:J9"/>
    <mergeCell ref="K9:L9"/>
    <mergeCell ref="N9:O9"/>
    <mergeCell ref="I10:J10"/>
    <mergeCell ref="K10:L10"/>
    <mergeCell ref="N10:O10"/>
    <mergeCell ref="I11:J11"/>
    <mergeCell ref="K11:L11"/>
    <mergeCell ref="N11:O11"/>
    <mergeCell ref="I12:J12"/>
    <mergeCell ref="K12:L12"/>
    <mergeCell ref="N12:O12"/>
    <mergeCell ref="I13:J13"/>
    <mergeCell ref="K13:L13"/>
    <mergeCell ref="N13:O13"/>
    <mergeCell ref="I14:J14"/>
    <mergeCell ref="K14:L14"/>
    <mergeCell ref="N14:O14"/>
    <mergeCell ref="I15:J15"/>
    <mergeCell ref="K15:L15"/>
    <mergeCell ref="N15:O15"/>
    <mergeCell ref="I18:J18"/>
    <mergeCell ref="K18:L18"/>
    <mergeCell ref="N18:O18"/>
    <mergeCell ref="I16:J16"/>
    <mergeCell ref="K16:L16"/>
    <mergeCell ref="N16:O16"/>
    <mergeCell ref="I17:J17"/>
    <mergeCell ref="K17:L17"/>
    <mergeCell ref="N17:O17"/>
  </mergeCells>
  <phoneticPr fontId="2"/>
  <conditionalFormatting sqref="D21:X385">
    <cfRule type="expression" dxfId="18" priority="2">
      <formula>$D21=0</formula>
    </cfRule>
  </conditionalFormatting>
  <conditionalFormatting sqref="E21:X385">
    <cfRule type="expression" dxfId="17" priority="3">
      <formula>WEEKDAY($G21)=1</formula>
    </cfRule>
    <cfRule type="expression" dxfId="16" priority="4">
      <formula>WEEKDAY($G21)=7</formula>
    </cfRule>
  </conditionalFormatting>
  <conditionalFormatting sqref="F21:X385">
    <cfRule type="expression" dxfId="15" priority="1">
      <formula>$F21=TODAY()</formula>
    </cfRule>
  </conditionalFormatting>
  <conditionalFormatting sqref="N7:P18">
    <cfRule type="cellIs" dxfId="14" priority="5" operator="lessThan">
      <formula>0</formula>
    </cfRule>
    <cfRule type="cellIs" dxfId="13" priority="6" operator="greaterThan">
      <formula>"¥0"</formula>
    </cfRule>
  </conditionalFormatting>
  <dataValidations count="1">
    <dataValidation type="list" allowBlank="1" showErrorMessage="1" sqref="B2:D3" xr:uid="{00000000-0002-0000-0200-000000000000}">
      <formula1>"2025/1/1,2026/1/1,2027/1/1,2029/1/1,2030/1/1,2031/1/1,2033/1/1,2034/1/1,2035/1/1,2037/1/1,2038/1/1,2039/1/1,2041/1/1,2042/1/1,2043/1/1,2045/1/1"</formula1>
    </dataValidation>
  </dataValidations>
  <hyperlinks>
    <hyperlink ref="P2" location="目標_2025R7!E21" display="1月" xr:uid="{00000000-0004-0000-0200-000000000000}"/>
    <hyperlink ref="Q2" location="目標_2025R7!E52" display="2月" xr:uid="{00000000-0004-0000-0200-000001000000}"/>
    <hyperlink ref="R2" location="目標_2025R7!E80" display="3月" xr:uid="{00000000-0004-0000-0200-000002000000}"/>
    <hyperlink ref="S2" location="目標_2025R7!E111" display="4月" xr:uid="{00000000-0004-0000-0200-000003000000}"/>
    <hyperlink ref="P3" location="目標_2025R7!E141" display="5月" xr:uid="{00000000-0004-0000-0200-000004000000}"/>
    <hyperlink ref="Q3" location="目標_2025R7!E172" display="6月" xr:uid="{00000000-0004-0000-0200-000005000000}"/>
    <hyperlink ref="R3" location="目標_2025R7!E202" display="7月" xr:uid="{00000000-0004-0000-0200-000006000000}"/>
    <hyperlink ref="S3" location="目標_2025R7!E233" display="8月" xr:uid="{00000000-0004-0000-0200-000007000000}"/>
    <hyperlink ref="P4" location="目標_2025R7!E264" display="9月" xr:uid="{00000000-0004-0000-0200-000008000000}"/>
    <hyperlink ref="Q4" location="目標_2025R7!E294" display="10月" xr:uid="{00000000-0004-0000-0200-000009000000}"/>
    <hyperlink ref="R4" location="目標_2025R7!E325" display="11月" xr:uid="{00000000-0004-0000-0200-00000A000000}"/>
    <hyperlink ref="S4" location="目標_2025R7!E355" display="12月" xr:uid="{00000000-0004-0000-0200-00000B000000}"/>
  </hyperlinks>
  <pageMargins left="0.7" right="0.7" top="0.75" bottom="0.75" header="0.3" footer="0.3"/>
  <pageSetup paperSize="9" orientation="portrait" horizontalDpi="0" verticalDpi="0" copies="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86"/>
  <sheetViews>
    <sheetView zoomScale="114" zoomScaleNormal="114" workbookViewId="0">
      <pane xSplit="6" ySplit="20" topLeftCell="G21" activePane="bottomRight" state="frozen"/>
      <selection pane="topRight" activeCell="G1" sqref="G1"/>
      <selection pane="bottomLeft" activeCell="A20" sqref="A20"/>
      <selection pane="bottomRight" activeCell="G9" sqref="G9"/>
    </sheetView>
  </sheetViews>
  <sheetFormatPr baseColWidth="10" defaultColWidth="9.5703125" defaultRowHeight="17" outlineLevelRow="1" outlineLevelCol="1"/>
  <cols>
    <col min="1" max="1" width="2.140625" style="4" customWidth="1"/>
    <col min="2" max="2" width="10" style="4" customWidth="1"/>
    <col min="3" max="3" width="4.42578125" style="4" customWidth="1"/>
    <col min="4" max="4" width="5.5703125" style="110" customWidth="1"/>
    <col min="5" max="5" width="6.140625" style="4" customWidth="1"/>
    <col min="6" max="6" width="9.5703125" style="4"/>
    <col min="7" max="7" width="18" style="4" customWidth="1"/>
    <col min="8" max="8" width="13.42578125" style="4" customWidth="1"/>
    <col min="9" max="9" width="1.140625" style="14" customWidth="1"/>
    <col min="10" max="10" width="17" style="4" customWidth="1"/>
    <col min="11" max="11" width="1" style="4" customWidth="1"/>
    <col min="12" max="13" width="15" style="4" customWidth="1"/>
    <col min="14" max="14" width="12" style="4" customWidth="1"/>
    <col min="15" max="15" width="1.140625" style="4" customWidth="1"/>
    <col min="16" max="16" width="15" style="4" customWidth="1"/>
    <col min="17" max="18" width="13.140625" style="4" customWidth="1"/>
    <col min="19" max="19" width="12.140625" style="4" customWidth="1"/>
    <col min="20" max="20" width="1.140625" style="4" customWidth="1"/>
    <col min="21" max="21" width="13.85546875" style="4" customWidth="1"/>
    <col min="22" max="23" width="14.140625" style="4" customWidth="1"/>
    <col min="24" max="24" width="10.140625" style="4" customWidth="1"/>
    <col min="25" max="25" width="3.42578125" style="4" hidden="1" customWidth="1" outlineLevel="1"/>
    <col min="26" max="26" width="4.85546875" style="4" hidden="1" customWidth="1" outlineLevel="1"/>
    <col min="27" max="27" width="6.85546875" style="4" hidden="1" customWidth="1" outlineLevel="1"/>
    <col min="28" max="28" width="5.140625" style="4" customWidth="1" collapsed="1"/>
    <col min="29" max="29" width="9.5703125" style="4" collapsed="1"/>
    <col min="30" max="31" width="9.5703125" style="4" hidden="1" customWidth="1" outlineLevel="1"/>
    <col min="32" max="32" width="9.5703125" style="4" collapsed="1"/>
    <col min="33" max="16384" width="9.5703125" style="4"/>
  </cols>
  <sheetData>
    <row r="1" spans="1:33" ht="10.5" customHeight="1">
      <c r="A1" s="1"/>
      <c r="B1" s="1"/>
      <c r="C1" s="1"/>
      <c r="D1" s="2"/>
      <c r="E1" s="1"/>
      <c r="F1" s="1"/>
      <c r="G1" s="1"/>
      <c r="H1" s="1"/>
      <c r="I1" s="3"/>
      <c r="J1" s="1"/>
      <c r="K1" s="1"/>
      <c r="L1" s="1"/>
      <c r="M1" s="1"/>
      <c r="N1" s="1"/>
      <c r="O1" s="1"/>
      <c r="P1" s="1"/>
      <c r="Q1" s="1"/>
      <c r="R1" s="1"/>
      <c r="S1" s="1"/>
      <c r="T1" s="1"/>
      <c r="U1" s="1"/>
      <c r="V1" s="1"/>
      <c r="W1" s="1"/>
      <c r="X1" s="1"/>
      <c r="Y1" s="1"/>
      <c r="Z1" s="1"/>
      <c r="AA1" s="1"/>
      <c r="AB1" s="1"/>
      <c r="AC1" s="1"/>
      <c r="AD1" s="1"/>
      <c r="AE1" s="1"/>
      <c r="AF1" s="1"/>
      <c r="AG1" s="1"/>
    </row>
    <row r="2" spans="1:33" ht="22">
      <c r="A2" s="1"/>
      <c r="B2" s="739">
        <v>45658</v>
      </c>
      <c r="C2" s="740"/>
      <c r="D2" s="741"/>
      <c r="E2" s="742" t="s">
        <v>0</v>
      </c>
      <c r="F2" s="743"/>
      <c r="G2" s="5" t="s">
        <v>1</v>
      </c>
      <c r="H2" s="744" t="s">
        <v>2</v>
      </c>
      <c r="I2" s="744"/>
      <c r="J2" s="744"/>
      <c r="K2" s="745" t="s">
        <v>3</v>
      </c>
      <c r="L2" s="745"/>
      <c r="M2" s="6" t="s">
        <v>4</v>
      </c>
      <c r="P2" s="497" t="s">
        <v>5</v>
      </c>
      <c r="Q2" s="497" t="s">
        <v>6</v>
      </c>
      <c r="R2" s="497" t="s">
        <v>7</v>
      </c>
      <c r="S2" s="497" t="s">
        <v>8</v>
      </c>
      <c r="T2" s="4" t="s">
        <v>9</v>
      </c>
      <c r="AC2" s="1"/>
      <c r="AD2" s="1"/>
      <c r="AE2" s="1"/>
      <c r="AF2" s="1"/>
      <c r="AG2" s="1"/>
    </row>
    <row r="3" spans="1:33" ht="23">
      <c r="A3" s="1"/>
      <c r="B3" s="740"/>
      <c r="C3" s="740"/>
      <c r="D3" s="741"/>
      <c r="E3" s="746">
        <f>SUM(F7:F18)</f>
        <v>286</v>
      </c>
      <c r="F3" s="737"/>
      <c r="G3" s="7">
        <v>80000000</v>
      </c>
      <c r="H3" s="8">
        <f>SUM(AD7:AD18)*100</f>
        <v>0.999996</v>
      </c>
      <c r="I3" s="747">
        <f>G3*H3</f>
        <v>79999680</v>
      </c>
      <c r="J3" s="747"/>
      <c r="K3" s="748">
        <f>SUM(J21:J385)</f>
        <v>31748860</v>
      </c>
      <c r="L3" s="748"/>
      <c r="M3" s="9">
        <f>K3-G3</f>
        <v>-48251140</v>
      </c>
      <c r="P3" s="497" t="s">
        <v>10</v>
      </c>
      <c r="Q3" s="497" t="s">
        <v>11</v>
      </c>
      <c r="R3" s="497" t="s">
        <v>12</v>
      </c>
      <c r="S3" s="497" t="s">
        <v>13</v>
      </c>
      <c r="AC3" s="10"/>
      <c r="AD3" s="1"/>
      <c r="AE3" s="1"/>
      <c r="AF3" s="1"/>
      <c r="AG3" s="1"/>
    </row>
    <row r="4" spans="1:33" ht="21">
      <c r="A4" s="1"/>
      <c r="B4" s="11"/>
      <c r="C4" s="11"/>
      <c r="D4" s="12"/>
      <c r="E4" s="11"/>
      <c r="F4" s="11"/>
      <c r="G4" s="13"/>
      <c r="L4" s="11"/>
      <c r="N4" s="1"/>
      <c r="P4" s="498" t="s">
        <v>14</v>
      </c>
      <c r="Q4" s="497" t="s">
        <v>15</v>
      </c>
      <c r="R4" s="497" t="s">
        <v>16</v>
      </c>
      <c r="S4" s="497" t="s">
        <v>17</v>
      </c>
      <c r="AC4" s="1"/>
      <c r="AD4" s="1"/>
      <c r="AE4" s="1"/>
      <c r="AF4" s="1"/>
    </row>
    <row r="5" spans="1:33" ht="8" customHeight="1">
      <c r="A5" s="1"/>
      <c r="B5" s="11"/>
      <c r="C5" s="11"/>
      <c r="D5" s="12"/>
      <c r="E5" s="11"/>
      <c r="F5" s="11"/>
      <c r="G5" s="13"/>
      <c r="L5" s="11"/>
      <c r="N5" s="1"/>
      <c r="P5" s="15"/>
      <c r="Q5" s="16"/>
      <c r="R5" s="16"/>
      <c r="S5" s="16"/>
      <c r="AC5" s="1"/>
      <c r="AD5" s="1"/>
      <c r="AE5" s="1"/>
      <c r="AF5" s="1"/>
    </row>
    <row r="6" spans="1:33" ht="20" customHeight="1" outlineLevel="1">
      <c r="A6" s="1"/>
      <c r="B6" s="731" t="s">
        <v>18</v>
      </c>
      <c r="C6" s="732"/>
      <c r="D6" s="12"/>
      <c r="E6" s="17" t="s">
        <v>19</v>
      </c>
      <c r="F6" s="17" t="s">
        <v>20</v>
      </c>
      <c r="G6" s="18" t="s">
        <v>21</v>
      </c>
      <c r="H6" s="17" t="s">
        <v>22</v>
      </c>
      <c r="I6" s="733" t="s">
        <v>23</v>
      </c>
      <c r="J6" s="734"/>
      <c r="K6" s="735" t="s">
        <v>24</v>
      </c>
      <c r="L6" s="736"/>
      <c r="M6" s="19" t="s">
        <v>25</v>
      </c>
      <c r="N6" s="735" t="s">
        <v>26</v>
      </c>
      <c r="O6" s="737"/>
      <c r="P6" s="530" t="s">
        <v>307</v>
      </c>
      <c r="Q6" s="532" t="s">
        <v>27</v>
      </c>
      <c r="AC6" s="1"/>
      <c r="AD6" s="1"/>
      <c r="AE6" s="1"/>
      <c r="AF6" s="1"/>
    </row>
    <row r="7" spans="1:33" ht="23" outlineLevel="1">
      <c r="A7" s="1"/>
      <c r="B7" s="738" t="s">
        <v>28</v>
      </c>
      <c r="C7" s="729"/>
      <c r="D7" s="12"/>
      <c r="E7" s="20" t="s">
        <v>29</v>
      </c>
      <c r="F7" s="21">
        <f>COUNTIF(D21:D51,1)</f>
        <v>22</v>
      </c>
      <c r="G7" s="22">
        <f>$B$8*F7</f>
        <v>6153846.153846154</v>
      </c>
      <c r="H7" s="23">
        <v>0.95</v>
      </c>
      <c r="I7" s="724">
        <f>G7*H7</f>
        <v>5846153.846153846</v>
      </c>
      <c r="J7" s="725"/>
      <c r="K7" s="726">
        <f>I7/F7</f>
        <v>265734.26573426573</v>
      </c>
      <c r="L7" s="727"/>
      <c r="M7" s="24">
        <f>SUM(J21:J51)</f>
        <v>6005630</v>
      </c>
      <c r="N7" s="728">
        <f>M7-I7</f>
        <v>159476.15384615399</v>
      </c>
      <c r="O7" s="729"/>
      <c r="P7" s="531">
        <f t="shared" ref="P7:P18" si="0">M7/G7</f>
        <v>0.97591487499999996</v>
      </c>
      <c r="Q7" s="533">
        <f>M7/I7</f>
        <v>1.0272788157894737</v>
      </c>
      <c r="AA7" s="26" t="str">
        <f>TEXT(K7,"¥0")</f>
        <v>¥265734</v>
      </c>
      <c r="AD7" s="27">
        <f>(H7/100)*AE7</f>
        <v>7.9166350000000002E-4</v>
      </c>
      <c r="AE7" s="28">
        <v>8.3333000000000004E-2</v>
      </c>
      <c r="AF7" s="29"/>
    </row>
    <row r="8" spans="1:33" ht="23" outlineLevel="1">
      <c r="A8" s="1"/>
      <c r="B8" s="730">
        <f>G3/E3</f>
        <v>279720.27972027974</v>
      </c>
      <c r="C8" s="729"/>
      <c r="D8" s="12"/>
      <c r="E8" s="20" t="s">
        <v>30</v>
      </c>
      <c r="F8" s="21">
        <f>COUNTIF(D52:D79,1)</f>
        <v>22</v>
      </c>
      <c r="G8" s="22">
        <f t="shared" ref="G8:G18" si="1">$B$8*F8</f>
        <v>6153846.153846154</v>
      </c>
      <c r="H8" s="23">
        <v>0.85</v>
      </c>
      <c r="I8" s="724">
        <f t="shared" ref="I8:I18" si="2">G8*H8</f>
        <v>5230769.230769231</v>
      </c>
      <c r="J8" s="725"/>
      <c r="K8" s="726">
        <f t="shared" ref="K8:K18" si="3">I8/F8</f>
        <v>237762.23776223778</v>
      </c>
      <c r="L8" s="727"/>
      <c r="M8" s="30">
        <f>SUM(J52:J79)</f>
        <v>5377670</v>
      </c>
      <c r="N8" s="728">
        <f t="shared" ref="N8:N18" si="4">M8-I8</f>
        <v>146900.76923076902</v>
      </c>
      <c r="O8" s="729"/>
      <c r="P8" s="531">
        <f>M8/G8</f>
        <v>0.87387137500000001</v>
      </c>
      <c r="Q8" s="533">
        <f t="shared" ref="Q8:Q18" si="5">M8/I8</f>
        <v>1.0280839705882352</v>
      </c>
      <c r="AA8" s="26" t="str">
        <f>TEXT(K8,"¥0")</f>
        <v>¥237762</v>
      </c>
      <c r="AC8" s="1"/>
      <c r="AD8" s="27">
        <f t="shared" ref="AD8:AD18" si="6">(H8/100)*AE8</f>
        <v>7.0833050000000013E-4</v>
      </c>
      <c r="AE8" s="28">
        <v>8.3333000000000004E-2</v>
      </c>
    </row>
    <row r="9" spans="1:33" ht="23" outlineLevel="1">
      <c r="A9" s="1"/>
      <c r="D9" s="12"/>
      <c r="E9" s="20" t="s">
        <v>31</v>
      </c>
      <c r="F9" s="21">
        <f>COUNTIF(D80:D110,1)</f>
        <v>25</v>
      </c>
      <c r="G9" s="22">
        <f t="shared" si="1"/>
        <v>6993006.9930069931</v>
      </c>
      <c r="H9" s="23">
        <v>1.1000000000000001</v>
      </c>
      <c r="I9" s="724">
        <f t="shared" si="2"/>
        <v>7692307.692307693</v>
      </c>
      <c r="J9" s="725"/>
      <c r="K9" s="726">
        <f t="shared" si="3"/>
        <v>307692.30769230775</v>
      </c>
      <c r="L9" s="727"/>
      <c r="M9" s="30">
        <f>SUM(J80:J110)</f>
        <v>7195290</v>
      </c>
      <c r="N9" s="728">
        <f t="shared" si="4"/>
        <v>-497017.69230769295</v>
      </c>
      <c r="O9" s="729"/>
      <c r="P9" s="531">
        <f>M9/G9</f>
        <v>1.02892647</v>
      </c>
      <c r="Q9" s="533">
        <f t="shared" si="5"/>
        <v>0.93538769999999993</v>
      </c>
      <c r="AA9" s="26" t="str">
        <f t="shared" ref="AA9:AA18" si="7">TEXT(K9,"¥0")</f>
        <v>¥307692</v>
      </c>
      <c r="AC9" s="1"/>
      <c r="AD9" s="27">
        <f t="shared" si="6"/>
        <v>9.1666300000000018E-4</v>
      </c>
      <c r="AE9" s="28">
        <v>8.3333000000000004E-2</v>
      </c>
      <c r="AF9" s="31"/>
    </row>
    <row r="10" spans="1:33" ht="23" outlineLevel="1">
      <c r="A10" s="1"/>
      <c r="B10" s="32"/>
      <c r="C10" s="11"/>
      <c r="D10" s="12"/>
      <c r="E10" s="20" t="s">
        <v>32</v>
      </c>
      <c r="F10" s="21">
        <f>COUNTIF(D111:D140,1)</f>
        <v>25</v>
      </c>
      <c r="G10" s="22">
        <f t="shared" si="1"/>
        <v>6993006.9930069931</v>
      </c>
      <c r="H10" s="23">
        <v>1.1000000000000001</v>
      </c>
      <c r="I10" s="724">
        <f t="shared" si="2"/>
        <v>7692307.692307693</v>
      </c>
      <c r="J10" s="725"/>
      <c r="K10" s="726">
        <f t="shared" si="3"/>
        <v>307692.30769230775</v>
      </c>
      <c r="L10" s="727"/>
      <c r="M10" s="30">
        <f>SUM(J111:J140)</f>
        <v>7238940</v>
      </c>
      <c r="N10" s="728">
        <f t="shared" si="4"/>
        <v>-453367.69230769295</v>
      </c>
      <c r="O10" s="729"/>
      <c r="P10" s="531">
        <f t="shared" si="0"/>
        <v>1.03516842</v>
      </c>
      <c r="Q10" s="533">
        <f t="shared" si="5"/>
        <v>0.94106219999999996</v>
      </c>
      <c r="R10" s="111"/>
      <c r="AA10" s="26" t="str">
        <f t="shared" si="7"/>
        <v>¥307692</v>
      </c>
      <c r="AC10" s="1"/>
      <c r="AD10" s="27">
        <f t="shared" si="6"/>
        <v>9.1666300000000018E-4</v>
      </c>
      <c r="AE10" s="28">
        <v>8.3333000000000004E-2</v>
      </c>
      <c r="AF10" s="31"/>
    </row>
    <row r="11" spans="1:33" ht="23" outlineLevel="1">
      <c r="A11" s="1"/>
      <c r="B11" s="32"/>
      <c r="C11" s="11"/>
      <c r="D11" s="12"/>
      <c r="E11" s="20" t="s">
        <v>33</v>
      </c>
      <c r="F11" s="21">
        <f>COUNTIF(D141:D171,1)</f>
        <v>24</v>
      </c>
      <c r="G11" s="22">
        <f t="shared" si="1"/>
        <v>6713286.7132867137</v>
      </c>
      <c r="H11" s="23">
        <v>0.85</v>
      </c>
      <c r="I11" s="724">
        <f t="shared" si="2"/>
        <v>5706293.7062937068</v>
      </c>
      <c r="J11" s="725"/>
      <c r="K11" s="726">
        <f t="shared" si="3"/>
        <v>237762.23776223778</v>
      </c>
      <c r="L11" s="727"/>
      <c r="M11" s="30">
        <f>SUM(J141:J171)</f>
        <v>5931330</v>
      </c>
      <c r="N11" s="728">
        <f t="shared" si="4"/>
        <v>225036.29370629322</v>
      </c>
      <c r="O11" s="729"/>
      <c r="P11" s="531">
        <f t="shared" si="0"/>
        <v>0.88352103124999992</v>
      </c>
      <c r="Q11" s="533">
        <f t="shared" si="5"/>
        <v>1.039436507352941</v>
      </c>
      <c r="R11" s="112"/>
      <c r="AA11" s="26" t="str">
        <f t="shared" si="7"/>
        <v>¥237762</v>
      </c>
      <c r="AC11" s="1"/>
      <c r="AD11" s="27">
        <f t="shared" si="6"/>
        <v>7.0833050000000013E-4</v>
      </c>
      <c r="AE11" s="28">
        <v>8.3333000000000004E-2</v>
      </c>
    </row>
    <row r="12" spans="1:33" ht="23" outlineLevel="1">
      <c r="A12" s="1"/>
      <c r="B12" s="32"/>
      <c r="C12" s="11"/>
      <c r="D12" s="12"/>
      <c r="E12" s="20" t="s">
        <v>34</v>
      </c>
      <c r="F12" s="21">
        <f>COUNTIF(D172:D201,1)</f>
        <v>25</v>
      </c>
      <c r="G12" s="22">
        <f t="shared" si="1"/>
        <v>6993006.9930069931</v>
      </c>
      <c r="H12" s="23">
        <v>0.8</v>
      </c>
      <c r="I12" s="724">
        <f t="shared" si="2"/>
        <v>5594405.5944055952</v>
      </c>
      <c r="J12" s="725"/>
      <c r="K12" s="726">
        <f t="shared" si="3"/>
        <v>223776.22377622381</v>
      </c>
      <c r="L12" s="727"/>
      <c r="M12" s="30">
        <f>SUM(J172:J201)</f>
        <v>0</v>
      </c>
      <c r="N12" s="728">
        <f t="shared" si="4"/>
        <v>-5594405.5944055952</v>
      </c>
      <c r="O12" s="729"/>
      <c r="P12" s="531">
        <f t="shared" si="0"/>
        <v>0</v>
      </c>
      <c r="Q12" s="533">
        <f t="shared" si="5"/>
        <v>0</v>
      </c>
      <c r="R12" s="111"/>
      <c r="AA12" s="26" t="str">
        <f t="shared" si="7"/>
        <v>¥223776</v>
      </c>
      <c r="AC12" s="1"/>
      <c r="AD12" s="27">
        <f t="shared" si="6"/>
        <v>6.6666400000000008E-4</v>
      </c>
      <c r="AE12" s="28">
        <v>8.3333000000000004E-2</v>
      </c>
    </row>
    <row r="13" spans="1:33" ht="23" outlineLevel="1">
      <c r="A13" s="1"/>
      <c r="B13" s="11"/>
      <c r="C13" s="11"/>
      <c r="D13" s="12"/>
      <c r="E13" s="20" t="s">
        <v>35</v>
      </c>
      <c r="F13" s="21">
        <f>COUNTIF(D202:D232,1)</f>
        <v>26</v>
      </c>
      <c r="G13" s="22">
        <f t="shared" si="1"/>
        <v>7272727.2727272734</v>
      </c>
      <c r="H13" s="23">
        <v>0.9</v>
      </c>
      <c r="I13" s="724">
        <f t="shared" si="2"/>
        <v>6545454.5454545459</v>
      </c>
      <c r="J13" s="725"/>
      <c r="K13" s="726">
        <f t="shared" si="3"/>
        <v>251748.25174825176</v>
      </c>
      <c r="L13" s="727"/>
      <c r="M13" s="30">
        <f>SUM(J202:J232)</f>
        <v>0</v>
      </c>
      <c r="N13" s="728">
        <f t="shared" si="4"/>
        <v>-6545454.5454545459</v>
      </c>
      <c r="O13" s="729"/>
      <c r="P13" s="531">
        <f t="shared" si="0"/>
        <v>0</v>
      </c>
      <c r="Q13" s="533">
        <f t="shared" si="5"/>
        <v>0</v>
      </c>
      <c r="AA13" s="26" t="str">
        <f t="shared" si="7"/>
        <v>¥251748</v>
      </c>
      <c r="AC13" s="1"/>
      <c r="AD13" s="27">
        <f t="shared" si="6"/>
        <v>7.4999700000000008E-4</v>
      </c>
      <c r="AE13" s="28">
        <v>8.3333000000000004E-2</v>
      </c>
      <c r="AF13" s="1"/>
    </row>
    <row r="14" spans="1:33" ht="23" outlineLevel="1">
      <c r="A14" s="1"/>
      <c r="B14" s="11"/>
      <c r="C14" s="11"/>
      <c r="D14" s="12"/>
      <c r="E14" s="20" t="s">
        <v>36</v>
      </c>
      <c r="F14" s="21">
        <f>COUNTIF(D233:D263,1)</f>
        <v>20</v>
      </c>
      <c r="G14" s="22">
        <f t="shared" si="1"/>
        <v>5594405.5944055952</v>
      </c>
      <c r="H14" s="23">
        <v>1</v>
      </c>
      <c r="I14" s="724">
        <f t="shared" si="2"/>
        <v>5594405.5944055952</v>
      </c>
      <c r="J14" s="725"/>
      <c r="K14" s="726">
        <f t="shared" si="3"/>
        <v>279720.27972027974</v>
      </c>
      <c r="L14" s="727"/>
      <c r="M14" s="30">
        <f>SUM(J233:J263)</f>
        <v>0</v>
      </c>
      <c r="N14" s="728">
        <f t="shared" si="4"/>
        <v>-5594405.5944055952</v>
      </c>
      <c r="O14" s="729"/>
      <c r="P14" s="531">
        <f t="shared" si="0"/>
        <v>0</v>
      </c>
      <c r="Q14" s="533">
        <f t="shared" si="5"/>
        <v>0</v>
      </c>
      <c r="Y14" s="1"/>
      <c r="Z14" s="1"/>
      <c r="AA14" s="26" t="str">
        <f t="shared" si="7"/>
        <v>¥279720</v>
      </c>
      <c r="AB14" s="1"/>
      <c r="AC14" s="1"/>
      <c r="AD14" s="27">
        <f t="shared" si="6"/>
        <v>8.3333000000000007E-4</v>
      </c>
      <c r="AE14" s="28">
        <v>8.3333000000000004E-2</v>
      </c>
      <c r="AF14" s="1"/>
    </row>
    <row r="15" spans="1:33" ht="23" outlineLevel="1">
      <c r="A15" s="1"/>
      <c r="B15" s="11"/>
      <c r="C15" s="11"/>
      <c r="D15" s="12"/>
      <c r="E15" s="20" t="s">
        <v>37</v>
      </c>
      <c r="F15" s="21">
        <f>COUNTIF(D264:D293,1)</f>
        <v>24</v>
      </c>
      <c r="G15" s="22">
        <f t="shared" si="1"/>
        <v>6713286.7132867137</v>
      </c>
      <c r="H15" s="23">
        <v>1</v>
      </c>
      <c r="I15" s="724">
        <f t="shared" si="2"/>
        <v>6713286.7132867137</v>
      </c>
      <c r="J15" s="725"/>
      <c r="K15" s="726">
        <f t="shared" si="3"/>
        <v>279720.27972027974</v>
      </c>
      <c r="L15" s="727"/>
      <c r="M15" s="30">
        <f>SUM(J264:J293)</f>
        <v>0</v>
      </c>
      <c r="N15" s="728">
        <f t="shared" si="4"/>
        <v>-6713286.7132867137</v>
      </c>
      <c r="O15" s="729"/>
      <c r="P15" s="531">
        <f t="shared" si="0"/>
        <v>0</v>
      </c>
      <c r="Q15" s="533">
        <f t="shared" si="5"/>
        <v>0</v>
      </c>
      <c r="Y15" s="1"/>
      <c r="Z15" s="1"/>
      <c r="AA15" s="26" t="str">
        <f t="shared" si="7"/>
        <v>¥279720</v>
      </c>
      <c r="AB15" s="1"/>
      <c r="AC15" s="1"/>
      <c r="AD15" s="27">
        <f t="shared" si="6"/>
        <v>8.3333000000000007E-4</v>
      </c>
      <c r="AE15" s="28">
        <v>8.3333000000000004E-2</v>
      </c>
      <c r="AF15" s="1"/>
    </row>
    <row r="16" spans="1:33" ht="23" outlineLevel="1">
      <c r="A16" s="1"/>
      <c r="B16" s="11"/>
      <c r="C16" s="11"/>
      <c r="D16" s="12"/>
      <c r="E16" s="20" t="s">
        <v>38</v>
      </c>
      <c r="F16" s="21">
        <f>COUNTIF(D294:D324,1)</f>
        <v>26</v>
      </c>
      <c r="G16" s="22">
        <f t="shared" si="1"/>
        <v>7272727.2727272734</v>
      </c>
      <c r="H16" s="23">
        <v>1.05</v>
      </c>
      <c r="I16" s="724">
        <f t="shared" si="2"/>
        <v>7636363.6363636376</v>
      </c>
      <c r="J16" s="725"/>
      <c r="K16" s="726">
        <f t="shared" si="3"/>
        <v>293706.29370629374</v>
      </c>
      <c r="L16" s="727"/>
      <c r="M16" s="30">
        <f>SUM(J294:J324)</f>
        <v>0</v>
      </c>
      <c r="N16" s="728">
        <f t="shared" si="4"/>
        <v>-7636363.6363636376</v>
      </c>
      <c r="O16" s="729"/>
      <c r="P16" s="531">
        <f t="shared" si="0"/>
        <v>0</v>
      </c>
      <c r="Q16" s="533">
        <f t="shared" si="5"/>
        <v>0</v>
      </c>
      <c r="Y16" s="1"/>
      <c r="Z16" s="1"/>
      <c r="AA16" s="26" t="str">
        <f t="shared" si="7"/>
        <v>¥293706</v>
      </c>
      <c r="AB16" s="1"/>
      <c r="AC16" s="1"/>
      <c r="AD16" s="27">
        <f t="shared" si="6"/>
        <v>8.7499650000000013E-4</v>
      </c>
      <c r="AE16" s="28">
        <v>8.3333000000000004E-2</v>
      </c>
      <c r="AF16" s="1"/>
      <c r="AG16" s="31"/>
    </row>
    <row r="17" spans="1:33" ht="23" outlineLevel="1">
      <c r="A17" s="1"/>
      <c r="B17" s="11"/>
      <c r="C17" s="11"/>
      <c r="D17" s="12"/>
      <c r="E17" s="20" t="s">
        <v>39</v>
      </c>
      <c r="F17" s="21">
        <f>COUNTIF(D325:D354,1)</f>
        <v>23</v>
      </c>
      <c r="G17" s="22">
        <f t="shared" si="1"/>
        <v>6433566.4335664343</v>
      </c>
      <c r="H17" s="23">
        <v>1.2</v>
      </c>
      <c r="I17" s="724">
        <f t="shared" si="2"/>
        <v>7720279.7202797206</v>
      </c>
      <c r="J17" s="725"/>
      <c r="K17" s="726">
        <f t="shared" si="3"/>
        <v>335664.3356643357</v>
      </c>
      <c r="L17" s="727"/>
      <c r="M17" s="30">
        <f>SUM(J325:J354)</f>
        <v>0</v>
      </c>
      <c r="N17" s="728">
        <f t="shared" si="4"/>
        <v>-7720279.7202797206</v>
      </c>
      <c r="O17" s="729"/>
      <c r="P17" s="531">
        <f t="shared" si="0"/>
        <v>0</v>
      </c>
      <c r="Q17" s="533">
        <f t="shared" si="5"/>
        <v>0</v>
      </c>
      <c r="X17" s="1"/>
      <c r="Y17" s="1"/>
      <c r="Z17" s="1"/>
      <c r="AA17" s="26" t="str">
        <f t="shared" si="7"/>
        <v>¥335664</v>
      </c>
      <c r="AB17" s="1"/>
      <c r="AC17" s="1"/>
      <c r="AD17" s="27">
        <f t="shared" si="6"/>
        <v>9.9999600000000017E-4</v>
      </c>
      <c r="AE17" s="28">
        <v>8.3333000000000004E-2</v>
      </c>
      <c r="AF17" s="1"/>
      <c r="AG17" s="31"/>
    </row>
    <row r="18" spans="1:33" ht="23" outlineLevel="1">
      <c r="A18" s="1"/>
      <c r="B18" s="11"/>
      <c r="C18" s="11"/>
      <c r="D18" s="12"/>
      <c r="E18" s="20" t="s">
        <v>40</v>
      </c>
      <c r="F18" s="21">
        <f>COUNTIF(D355:D385,1)</f>
        <v>24</v>
      </c>
      <c r="G18" s="22">
        <f t="shared" si="1"/>
        <v>6713286.7132867137</v>
      </c>
      <c r="H18" s="23">
        <v>1.2</v>
      </c>
      <c r="I18" s="724">
        <f t="shared" si="2"/>
        <v>8055944.0559440563</v>
      </c>
      <c r="J18" s="725"/>
      <c r="K18" s="726">
        <f t="shared" si="3"/>
        <v>335664.3356643357</v>
      </c>
      <c r="L18" s="727"/>
      <c r="M18" s="30">
        <f>SUM(J355:J385)</f>
        <v>0</v>
      </c>
      <c r="N18" s="728">
        <f t="shared" si="4"/>
        <v>-8055944.0559440563</v>
      </c>
      <c r="O18" s="729"/>
      <c r="P18" s="531">
        <f t="shared" si="0"/>
        <v>0</v>
      </c>
      <c r="Q18" s="533">
        <f t="shared" si="5"/>
        <v>0</v>
      </c>
      <c r="T18" s="1"/>
      <c r="V18" s="11"/>
      <c r="W18" s="11"/>
      <c r="X18" s="1"/>
      <c r="Y18" s="1"/>
      <c r="Z18" s="1"/>
      <c r="AA18" s="26" t="str">
        <f t="shared" si="7"/>
        <v>¥335664</v>
      </c>
      <c r="AB18" s="1"/>
      <c r="AC18" s="1"/>
      <c r="AD18" s="27">
        <f t="shared" si="6"/>
        <v>9.9999600000000017E-4</v>
      </c>
      <c r="AE18" s="28">
        <v>8.3333000000000004E-2</v>
      </c>
      <c r="AF18" s="1"/>
      <c r="AG18" s="31"/>
    </row>
    <row r="19" spans="1:33" ht="10.25" customHeight="1">
      <c r="A19" s="1"/>
      <c r="B19" s="11"/>
      <c r="C19" s="11"/>
      <c r="D19" s="12"/>
      <c r="E19" s="11"/>
      <c r="F19" s="33"/>
      <c r="G19" s="11"/>
      <c r="H19" s="11"/>
      <c r="I19" s="34"/>
      <c r="J19" s="11"/>
      <c r="K19" s="11"/>
      <c r="L19" s="11"/>
      <c r="M19" s="11"/>
      <c r="N19" s="11"/>
      <c r="O19" s="11"/>
      <c r="P19" s="11"/>
      <c r="Q19" s="11"/>
      <c r="R19" s="11"/>
      <c r="S19" s="11"/>
      <c r="T19" s="11"/>
      <c r="U19" s="11"/>
      <c r="V19" s="11"/>
      <c r="W19" s="11"/>
      <c r="X19" s="1"/>
      <c r="Y19" s="1"/>
      <c r="Z19" s="1"/>
      <c r="AB19" s="1"/>
      <c r="AC19" s="1"/>
      <c r="AD19" s="1"/>
      <c r="AE19" s="1"/>
      <c r="AF19" s="1"/>
      <c r="AG19" s="1"/>
    </row>
    <row r="20" spans="1:33" ht="20">
      <c r="A20" s="1"/>
      <c r="B20" s="11"/>
      <c r="C20" s="35"/>
      <c r="D20" s="36"/>
      <c r="E20" s="37" t="s">
        <v>19</v>
      </c>
      <c r="F20" s="37" t="s">
        <v>41</v>
      </c>
      <c r="G20" s="38" t="s">
        <v>42</v>
      </c>
      <c r="H20" s="39" t="s">
        <v>43</v>
      </c>
      <c r="I20" s="40"/>
      <c r="J20" s="41" t="s">
        <v>44</v>
      </c>
      <c r="K20" s="40"/>
      <c r="L20" s="42" t="s">
        <v>45</v>
      </c>
      <c r="M20" s="43" t="s">
        <v>4</v>
      </c>
      <c r="N20" s="35" t="s">
        <v>46</v>
      </c>
      <c r="O20" s="44"/>
      <c r="P20" s="45" t="s">
        <v>47</v>
      </c>
      <c r="Q20" s="37" t="s">
        <v>48</v>
      </c>
      <c r="R20" s="39" t="s">
        <v>49</v>
      </c>
      <c r="S20" s="46" t="s">
        <v>50</v>
      </c>
      <c r="T20" s="47"/>
      <c r="U20" s="45" t="s">
        <v>51</v>
      </c>
      <c r="V20" s="37" t="s">
        <v>52</v>
      </c>
      <c r="W20" s="48" t="s">
        <v>53</v>
      </c>
      <c r="X20" s="49" t="s">
        <v>54</v>
      </c>
      <c r="Y20" s="1"/>
      <c r="Z20" s="1"/>
      <c r="AA20" s="1"/>
      <c r="AB20" s="1"/>
      <c r="AC20" s="1"/>
      <c r="AD20" s="1"/>
      <c r="AE20" s="1"/>
      <c r="AF20" s="1"/>
      <c r="AG20" s="1"/>
    </row>
    <row r="21" spans="1:33" ht="20">
      <c r="A21" s="1"/>
      <c r="B21" s="12"/>
      <c r="C21" s="50">
        <v>1</v>
      </c>
      <c r="D21" s="51">
        <v>0</v>
      </c>
      <c r="E21" s="52">
        <f>MONTH(Y21)</f>
        <v>1</v>
      </c>
      <c r="F21" s="53">
        <f>B2</f>
        <v>45658</v>
      </c>
      <c r="G21" s="54" t="str">
        <f>TEXT(Z21,"ddd")</f>
        <v>Wed</v>
      </c>
      <c r="H21" s="55" t="s">
        <v>55</v>
      </c>
      <c r="I21" s="56"/>
      <c r="J21" s="57"/>
      <c r="K21" s="58"/>
      <c r="L21" s="59">
        <f>IF(D21=0,0,$K$7)</f>
        <v>0</v>
      </c>
      <c r="M21" s="60">
        <f t="shared" ref="M21:M84" si="8">IF(D21=0,0,J21-L21)</f>
        <v>0</v>
      </c>
      <c r="N21" s="61" t="str">
        <f t="shared" ref="N21:N275" si="9">IFERROR(J21/L21,"¥0")</f>
        <v>¥0</v>
      </c>
      <c r="O21" s="62"/>
      <c r="P21" s="59">
        <f>IF(D21=0,0,$K$7)</f>
        <v>0</v>
      </c>
      <c r="Q21" s="59">
        <f>IF(D21=0,0,$J$21)</f>
        <v>0</v>
      </c>
      <c r="R21" s="63">
        <f t="shared" ref="R21:R84" si="10">IF(D21=0,0,Q21-P21)</f>
        <v>0</v>
      </c>
      <c r="S21" s="64">
        <f>IF(D21=0,0,Q21/P21)</f>
        <v>0</v>
      </c>
      <c r="T21" s="65"/>
      <c r="U21" s="59">
        <f>IF(D21=0,0,$L$21)</f>
        <v>0</v>
      </c>
      <c r="V21" s="59">
        <f>IF(D21=0,0,$J$21)</f>
        <v>0</v>
      </c>
      <c r="W21" s="66">
        <f t="shared" ref="W21:W84" si="11">IF(D21=0,0,V21-U21)</f>
        <v>0</v>
      </c>
      <c r="X21" s="67">
        <f>IF(D21=0,0,V21/U21)</f>
        <v>0</v>
      </c>
      <c r="Y21" s="68">
        <f>B2</f>
        <v>45658</v>
      </c>
      <c r="Z21" s="69">
        <f>B2</f>
        <v>45658</v>
      </c>
      <c r="AA21" s="1"/>
      <c r="AB21" s="1"/>
      <c r="AC21" s="1"/>
      <c r="AD21" s="1"/>
      <c r="AE21" s="1"/>
      <c r="AF21" s="1"/>
      <c r="AG21" s="1"/>
    </row>
    <row r="22" spans="1:33" ht="20">
      <c r="A22" s="1"/>
      <c r="B22" s="12"/>
      <c r="C22" s="50">
        <v>2</v>
      </c>
      <c r="D22" s="51">
        <v>0</v>
      </c>
      <c r="E22" s="52">
        <f t="shared" ref="E22:E85" si="12">MONTH(Y22)</f>
        <v>1</v>
      </c>
      <c r="F22" s="53">
        <f t="shared" ref="F22:F85" si="13">F21+1</f>
        <v>45659</v>
      </c>
      <c r="G22" s="54" t="str">
        <f t="shared" ref="G22:G85" si="14">TEXT(Z22,"ddd")</f>
        <v>Thu</v>
      </c>
      <c r="H22" s="55" t="s">
        <v>56</v>
      </c>
      <c r="I22" s="56"/>
      <c r="J22" s="57"/>
      <c r="K22" s="58"/>
      <c r="L22" s="59">
        <f t="shared" ref="L22:L51" si="15">IF(D22=0,0,$K$7)</f>
        <v>0</v>
      </c>
      <c r="M22" s="60">
        <f t="shared" si="8"/>
        <v>0</v>
      </c>
      <c r="N22" s="61" t="str">
        <f t="shared" si="9"/>
        <v>¥0</v>
      </c>
      <c r="O22" s="62"/>
      <c r="P22" s="59">
        <f>IF(D22=0,0,SUM($L$21:L22))</f>
        <v>0</v>
      </c>
      <c r="Q22" s="59">
        <f>IF(D22=0,0,SUM($J$21:J22))</f>
        <v>0</v>
      </c>
      <c r="R22" s="63">
        <f t="shared" si="10"/>
        <v>0</v>
      </c>
      <c r="S22" s="64">
        <f t="shared" ref="S22:S85" si="16">IF(D22=0,0,Q22/P22)</f>
        <v>0</v>
      </c>
      <c r="T22" s="65"/>
      <c r="U22" s="59">
        <f>IF(D22=0,0,SUM($L$21:L22))</f>
        <v>0</v>
      </c>
      <c r="V22" s="59">
        <f>IF(D22=0,0,SUM($J$21:J22))</f>
        <v>0</v>
      </c>
      <c r="W22" s="66">
        <f t="shared" si="11"/>
        <v>0</v>
      </c>
      <c r="X22" s="67">
        <f t="shared" ref="X22:X85" si="17">IF(D22=0,0,V22/U22)</f>
        <v>0</v>
      </c>
      <c r="Y22" s="68">
        <f>Y21+1</f>
        <v>45659</v>
      </c>
      <c r="Z22" s="69">
        <f>Z21+1</f>
        <v>45659</v>
      </c>
      <c r="AA22" s="1"/>
      <c r="AB22" s="1"/>
      <c r="AC22" s="1"/>
      <c r="AD22" s="1"/>
      <c r="AE22" s="1"/>
      <c r="AF22" s="1"/>
      <c r="AG22" s="1"/>
    </row>
    <row r="23" spans="1:33" ht="20">
      <c r="A23" s="1"/>
      <c r="B23" s="12"/>
      <c r="C23" s="50">
        <v>3</v>
      </c>
      <c r="D23" s="51">
        <v>0</v>
      </c>
      <c r="E23" s="52">
        <f t="shared" si="12"/>
        <v>1</v>
      </c>
      <c r="F23" s="53">
        <f t="shared" si="13"/>
        <v>45660</v>
      </c>
      <c r="G23" s="54" t="str">
        <f t="shared" si="14"/>
        <v>Fri</v>
      </c>
      <c r="H23" s="55" t="s">
        <v>56</v>
      </c>
      <c r="I23" s="56"/>
      <c r="J23" s="57"/>
      <c r="K23" s="58"/>
      <c r="L23" s="59">
        <f t="shared" si="15"/>
        <v>0</v>
      </c>
      <c r="M23" s="60">
        <f t="shared" si="8"/>
        <v>0</v>
      </c>
      <c r="N23" s="61" t="str">
        <f t="shared" si="9"/>
        <v>¥0</v>
      </c>
      <c r="O23" s="62"/>
      <c r="P23" s="59">
        <f>IF(D23=0,0,SUM($L$21:L23))</f>
        <v>0</v>
      </c>
      <c r="Q23" s="59">
        <f>IF(D23=0,0,SUM($J$21:J23))</f>
        <v>0</v>
      </c>
      <c r="R23" s="63">
        <f t="shared" si="10"/>
        <v>0</v>
      </c>
      <c r="S23" s="64">
        <f t="shared" si="16"/>
        <v>0</v>
      </c>
      <c r="T23" s="65"/>
      <c r="U23" s="59">
        <f>IF(D23=0,0,SUM($L$21:L23))</f>
        <v>0</v>
      </c>
      <c r="V23" s="59">
        <f>IF(D23=0,0,SUM($J$21:J23))</f>
        <v>0</v>
      </c>
      <c r="W23" s="66">
        <f t="shared" si="11"/>
        <v>0</v>
      </c>
      <c r="X23" s="67">
        <f t="shared" si="17"/>
        <v>0</v>
      </c>
      <c r="Y23" s="68">
        <f t="shared" ref="Y23:Z38" si="18">Y22+1</f>
        <v>45660</v>
      </c>
      <c r="Z23" s="69">
        <f t="shared" si="18"/>
        <v>45660</v>
      </c>
      <c r="AA23" s="1"/>
      <c r="AB23" s="1"/>
      <c r="AC23" s="1"/>
      <c r="AD23" s="1"/>
      <c r="AE23" s="1"/>
      <c r="AF23" s="1"/>
      <c r="AG23" s="1"/>
    </row>
    <row r="24" spans="1:33" ht="20">
      <c r="A24" s="1"/>
      <c r="B24" s="12"/>
      <c r="C24" s="50">
        <v>4</v>
      </c>
      <c r="D24" s="51">
        <v>0</v>
      </c>
      <c r="E24" s="52">
        <f t="shared" si="12"/>
        <v>1</v>
      </c>
      <c r="F24" s="53">
        <f t="shared" si="13"/>
        <v>45661</v>
      </c>
      <c r="G24" s="54" t="str">
        <f t="shared" si="14"/>
        <v>Sat</v>
      </c>
      <c r="H24" s="55" t="s">
        <v>57</v>
      </c>
      <c r="I24" s="56"/>
      <c r="J24" s="57"/>
      <c r="K24" s="58"/>
      <c r="L24" s="59">
        <f t="shared" si="15"/>
        <v>0</v>
      </c>
      <c r="M24" s="60">
        <f t="shared" si="8"/>
        <v>0</v>
      </c>
      <c r="N24" s="61" t="str">
        <f t="shared" si="9"/>
        <v>¥0</v>
      </c>
      <c r="O24" s="62"/>
      <c r="P24" s="59">
        <f>IF(D24=0,0,SUM($L$21:L24))</f>
        <v>0</v>
      </c>
      <c r="Q24" s="59">
        <f>IF(D24=0,0,SUM($J$21:J24))</f>
        <v>0</v>
      </c>
      <c r="R24" s="63">
        <f t="shared" si="10"/>
        <v>0</v>
      </c>
      <c r="S24" s="64">
        <f t="shared" si="16"/>
        <v>0</v>
      </c>
      <c r="T24" s="70"/>
      <c r="U24" s="59">
        <f>IF(D24=0,0,SUM($L$21:L24))</f>
        <v>0</v>
      </c>
      <c r="V24" s="59">
        <f>IF(D24=0,0,SUM($J$21:J24))</f>
        <v>0</v>
      </c>
      <c r="W24" s="66">
        <f t="shared" si="11"/>
        <v>0</v>
      </c>
      <c r="X24" s="67">
        <f t="shared" si="17"/>
        <v>0</v>
      </c>
      <c r="Y24" s="68">
        <f t="shared" si="18"/>
        <v>45661</v>
      </c>
      <c r="Z24" s="69">
        <f t="shared" si="18"/>
        <v>45661</v>
      </c>
      <c r="AA24" s="1"/>
      <c r="AB24" s="1"/>
      <c r="AC24" s="1"/>
      <c r="AD24" s="1"/>
      <c r="AE24" s="1"/>
      <c r="AF24" s="1"/>
      <c r="AG24" s="1"/>
    </row>
    <row r="25" spans="1:33" ht="20">
      <c r="A25" s="1"/>
      <c r="B25" s="12"/>
      <c r="C25" s="50">
        <v>5</v>
      </c>
      <c r="D25" s="51">
        <v>0</v>
      </c>
      <c r="E25" s="52">
        <f t="shared" si="12"/>
        <v>1</v>
      </c>
      <c r="F25" s="53">
        <f t="shared" si="13"/>
        <v>45662</v>
      </c>
      <c r="G25" s="54" t="str">
        <f t="shared" si="14"/>
        <v>Sun</v>
      </c>
      <c r="H25" s="55" t="s">
        <v>58</v>
      </c>
      <c r="I25" s="56"/>
      <c r="J25" s="57"/>
      <c r="K25" s="58"/>
      <c r="L25" s="59">
        <f t="shared" si="15"/>
        <v>0</v>
      </c>
      <c r="M25" s="60">
        <f t="shared" si="8"/>
        <v>0</v>
      </c>
      <c r="N25" s="61" t="str">
        <f t="shared" si="9"/>
        <v>¥0</v>
      </c>
      <c r="O25" s="62"/>
      <c r="P25" s="59">
        <f>IF(D25=0,0,SUM($L$21:L25))</f>
        <v>0</v>
      </c>
      <c r="Q25" s="59">
        <f>IF(D25=0,0,SUM($J$21:J25))</f>
        <v>0</v>
      </c>
      <c r="R25" s="63">
        <f t="shared" si="10"/>
        <v>0</v>
      </c>
      <c r="S25" s="64">
        <f t="shared" si="16"/>
        <v>0</v>
      </c>
      <c r="T25" s="65"/>
      <c r="U25" s="59">
        <f>IF(D25=0,0,SUM($L$21:L25))</f>
        <v>0</v>
      </c>
      <c r="V25" s="59">
        <f>IF(D25=0,0,SUM($J$21:J25))</f>
        <v>0</v>
      </c>
      <c r="W25" s="66">
        <f t="shared" si="11"/>
        <v>0</v>
      </c>
      <c r="X25" s="67">
        <f t="shared" si="17"/>
        <v>0</v>
      </c>
      <c r="Y25" s="68">
        <f t="shared" si="18"/>
        <v>45662</v>
      </c>
      <c r="Z25" s="69">
        <f t="shared" si="18"/>
        <v>45662</v>
      </c>
      <c r="AA25" s="1"/>
      <c r="AB25" s="1"/>
      <c r="AC25" s="1"/>
      <c r="AD25" s="1"/>
      <c r="AE25" s="1"/>
      <c r="AF25" s="1"/>
      <c r="AG25" s="1"/>
    </row>
    <row r="26" spans="1:33" ht="20">
      <c r="A26" s="1"/>
      <c r="B26" s="12"/>
      <c r="C26" s="50">
        <v>6</v>
      </c>
      <c r="D26" s="51">
        <v>1</v>
      </c>
      <c r="E26" s="52">
        <f t="shared" si="12"/>
        <v>1</v>
      </c>
      <c r="F26" s="53">
        <f t="shared" si="13"/>
        <v>45663</v>
      </c>
      <c r="G26" s="54" t="str">
        <f t="shared" si="14"/>
        <v>Mon</v>
      </c>
      <c r="H26" s="55"/>
      <c r="I26" s="56"/>
      <c r="J26" s="71">
        <v>349800</v>
      </c>
      <c r="K26" s="72"/>
      <c r="L26" s="59">
        <f t="shared" si="15"/>
        <v>265734.26573426573</v>
      </c>
      <c r="M26" s="60">
        <f t="shared" si="8"/>
        <v>84065.734265734267</v>
      </c>
      <c r="N26" s="61">
        <f>IFERROR(J26/L26,"¥0")</f>
        <v>1.3163526315789473</v>
      </c>
      <c r="O26" s="62"/>
      <c r="P26" s="59">
        <f>IF(D26=0,0,SUM($L$21:L26))</f>
        <v>265734.26573426573</v>
      </c>
      <c r="Q26" s="59">
        <f>IF(D26=0,0,SUM($J$21:J26))</f>
        <v>349800</v>
      </c>
      <c r="R26" s="63">
        <f t="shared" si="10"/>
        <v>84065.734265734267</v>
      </c>
      <c r="S26" s="64">
        <f t="shared" si="16"/>
        <v>1.3163526315789473</v>
      </c>
      <c r="T26" s="73"/>
      <c r="U26" s="59">
        <f>IF(D26=0,0,SUM($L$21:L26))</f>
        <v>265734.26573426573</v>
      </c>
      <c r="V26" s="59">
        <f>IF(D26=0,0,SUM($J$21:J26))</f>
        <v>349800</v>
      </c>
      <c r="W26" s="66">
        <f t="shared" si="11"/>
        <v>84065.734265734267</v>
      </c>
      <c r="X26" s="67">
        <f t="shared" si="17"/>
        <v>1.3163526315789473</v>
      </c>
      <c r="Y26" s="68">
        <f t="shared" si="18"/>
        <v>45663</v>
      </c>
      <c r="Z26" s="69">
        <f t="shared" si="18"/>
        <v>45663</v>
      </c>
      <c r="AA26" s="1"/>
      <c r="AB26" s="1"/>
      <c r="AC26" s="1"/>
      <c r="AD26" s="1"/>
      <c r="AE26" s="1"/>
      <c r="AF26" s="1"/>
      <c r="AG26" s="1"/>
    </row>
    <row r="27" spans="1:33" ht="20">
      <c r="A27" s="1"/>
      <c r="B27" s="12"/>
      <c r="C27" s="50">
        <v>7</v>
      </c>
      <c r="D27" s="51">
        <v>1</v>
      </c>
      <c r="E27" s="52">
        <f t="shared" si="12"/>
        <v>1</v>
      </c>
      <c r="F27" s="53">
        <f t="shared" si="13"/>
        <v>45664</v>
      </c>
      <c r="G27" s="54" t="str">
        <f t="shared" si="14"/>
        <v>Tue</v>
      </c>
      <c r="H27" s="55"/>
      <c r="I27" s="56"/>
      <c r="J27" s="71">
        <v>88530</v>
      </c>
      <c r="K27" s="72"/>
      <c r="L27" s="59">
        <f t="shared" si="15"/>
        <v>265734.26573426573</v>
      </c>
      <c r="M27" s="60">
        <f t="shared" si="8"/>
        <v>-177204.26573426573</v>
      </c>
      <c r="N27" s="61">
        <f t="shared" si="9"/>
        <v>0.33315236842105261</v>
      </c>
      <c r="O27" s="62"/>
      <c r="P27" s="59">
        <f>IF(D27=0,0,SUM($L$21:L27))</f>
        <v>531468.53146853147</v>
      </c>
      <c r="Q27" s="59">
        <f>IF(D27=0,0,SUM($J$21:J27))</f>
        <v>438330</v>
      </c>
      <c r="R27" s="63">
        <f t="shared" si="10"/>
        <v>-93138.531468531466</v>
      </c>
      <c r="S27" s="64">
        <f t="shared" si="16"/>
        <v>0.8247525</v>
      </c>
      <c r="T27" s="73"/>
      <c r="U27" s="59">
        <f>IF(D27=0,0,SUM($L$21:L27))</f>
        <v>531468.53146853147</v>
      </c>
      <c r="V27" s="59">
        <f>IF(D27=0,0,SUM($J$21:J27))</f>
        <v>438330</v>
      </c>
      <c r="W27" s="66">
        <f t="shared" si="11"/>
        <v>-93138.531468531466</v>
      </c>
      <c r="X27" s="67">
        <f t="shared" si="17"/>
        <v>0.8247525</v>
      </c>
      <c r="Y27" s="68">
        <f t="shared" si="18"/>
        <v>45664</v>
      </c>
      <c r="Z27" s="69">
        <f t="shared" si="18"/>
        <v>45664</v>
      </c>
      <c r="AA27" s="1"/>
      <c r="AB27" s="1"/>
      <c r="AC27" s="1"/>
      <c r="AD27" s="1"/>
      <c r="AE27" s="1"/>
      <c r="AF27" s="1"/>
      <c r="AG27" s="1"/>
    </row>
    <row r="28" spans="1:33" ht="20">
      <c r="A28" s="1"/>
      <c r="B28" s="12"/>
      <c r="C28" s="50">
        <v>8</v>
      </c>
      <c r="D28" s="51">
        <v>1</v>
      </c>
      <c r="E28" s="52">
        <f t="shared" si="12"/>
        <v>1</v>
      </c>
      <c r="F28" s="53">
        <f t="shared" si="13"/>
        <v>45665</v>
      </c>
      <c r="G28" s="54" t="str">
        <f t="shared" si="14"/>
        <v>Wed</v>
      </c>
      <c r="H28" s="55"/>
      <c r="I28" s="56"/>
      <c r="J28" s="71">
        <v>177630</v>
      </c>
      <c r="K28" s="72"/>
      <c r="L28" s="59">
        <f t="shared" si="15"/>
        <v>265734.26573426573</v>
      </c>
      <c r="M28" s="60">
        <f t="shared" si="8"/>
        <v>-88104.265734265733</v>
      </c>
      <c r="N28" s="61">
        <f t="shared" si="9"/>
        <v>0.66844973684210529</v>
      </c>
      <c r="O28" s="62"/>
      <c r="P28" s="59">
        <f>IF(D28=0,0,SUM($L$21:L28))</f>
        <v>797202.79720279714</v>
      </c>
      <c r="Q28" s="59">
        <f>IF(D28=0,0,SUM($J$21:J28))</f>
        <v>615960</v>
      </c>
      <c r="R28" s="63">
        <f t="shared" si="10"/>
        <v>-181242.79720279714</v>
      </c>
      <c r="S28" s="64">
        <f t="shared" si="16"/>
        <v>0.77265157894736847</v>
      </c>
      <c r="T28" s="73"/>
      <c r="U28" s="59">
        <f>IF(D28=0,0,SUM($L$21:L28))</f>
        <v>797202.79720279714</v>
      </c>
      <c r="V28" s="59">
        <f>IF(D28=0,0,SUM($J$21:J28))</f>
        <v>615960</v>
      </c>
      <c r="W28" s="66">
        <f t="shared" si="11"/>
        <v>-181242.79720279714</v>
      </c>
      <c r="X28" s="67">
        <f t="shared" si="17"/>
        <v>0.77265157894736847</v>
      </c>
      <c r="Y28" s="68">
        <f t="shared" si="18"/>
        <v>45665</v>
      </c>
      <c r="Z28" s="69">
        <f t="shared" si="18"/>
        <v>45665</v>
      </c>
      <c r="AA28" s="1"/>
      <c r="AB28" s="1"/>
      <c r="AC28" s="1"/>
      <c r="AD28" s="1"/>
      <c r="AE28" s="1"/>
      <c r="AF28" s="1"/>
      <c r="AG28" s="1"/>
    </row>
    <row r="29" spans="1:33" ht="20">
      <c r="A29" s="1"/>
      <c r="B29" s="12"/>
      <c r="C29" s="50">
        <v>9</v>
      </c>
      <c r="D29" s="51">
        <v>1</v>
      </c>
      <c r="E29" s="52">
        <f t="shared" si="12"/>
        <v>1</v>
      </c>
      <c r="F29" s="53">
        <f t="shared" si="13"/>
        <v>45666</v>
      </c>
      <c r="G29" s="54" t="str">
        <f t="shared" si="14"/>
        <v>Thu</v>
      </c>
      <c r="H29" s="55"/>
      <c r="I29" s="56"/>
      <c r="J29" s="71">
        <v>376670</v>
      </c>
      <c r="K29" s="72"/>
      <c r="L29" s="59">
        <f t="shared" si="15"/>
        <v>265734.26573426573</v>
      </c>
      <c r="M29" s="60">
        <f t="shared" si="8"/>
        <v>110935.73426573427</v>
      </c>
      <c r="N29" s="61">
        <f t="shared" si="9"/>
        <v>1.4174686842105264</v>
      </c>
      <c r="O29" s="62"/>
      <c r="P29" s="59">
        <f>IF(D29=0,0,SUM($L$21:L29))</f>
        <v>1062937.0629370629</v>
      </c>
      <c r="Q29" s="59">
        <f>IF(D29=0,0,SUM($J$21:J29))</f>
        <v>992630</v>
      </c>
      <c r="R29" s="63">
        <f t="shared" si="10"/>
        <v>-70307.062937062932</v>
      </c>
      <c r="S29" s="64">
        <f t="shared" si="16"/>
        <v>0.93385585526315795</v>
      </c>
      <c r="T29" s="73"/>
      <c r="U29" s="59">
        <f>IF(D29=0,0,SUM($L$21:L29))</f>
        <v>1062937.0629370629</v>
      </c>
      <c r="V29" s="59">
        <f>IF(D29=0,0,SUM($J$21:J29))</f>
        <v>992630</v>
      </c>
      <c r="W29" s="66">
        <f t="shared" si="11"/>
        <v>-70307.062937062932</v>
      </c>
      <c r="X29" s="67">
        <f t="shared" si="17"/>
        <v>0.93385585526315795</v>
      </c>
      <c r="Y29" s="68">
        <f t="shared" si="18"/>
        <v>45666</v>
      </c>
      <c r="Z29" s="69">
        <f t="shared" si="18"/>
        <v>45666</v>
      </c>
      <c r="AA29" s="1"/>
      <c r="AB29" s="1"/>
      <c r="AC29" s="1"/>
      <c r="AD29" s="1"/>
      <c r="AE29" s="1"/>
      <c r="AF29" s="1"/>
      <c r="AG29" s="1"/>
    </row>
    <row r="30" spans="1:33" ht="20">
      <c r="A30" s="1"/>
      <c r="B30" s="12"/>
      <c r="C30" s="50">
        <v>10</v>
      </c>
      <c r="D30" s="51">
        <v>1</v>
      </c>
      <c r="E30" s="52">
        <f t="shared" si="12"/>
        <v>1</v>
      </c>
      <c r="F30" s="53">
        <f t="shared" si="13"/>
        <v>45667</v>
      </c>
      <c r="G30" s="54" t="str">
        <f t="shared" si="14"/>
        <v>Fri</v>
      </c>
      <c r="H30" s="55"/>
      <c r="I30" s="56"/>
      <c r="J30" s="71">
        <v>377100</v>
      </c>
      <c r="K30" s="72"/>
      <c r="L30" s="59">
        <f t="shared" si="15"/>
        <v>265734.26573426573</v>
      </c>
      <c r="M30" s="60">
        <f t="shared" si="8"/>
        <v>111365.73426573427</v>
      </c>
      <c r="N30" s="61">
        <f t="shared" si="9"/>
        <v>1.4190868421052631</v>
      </c>
      <c r="O30" s="62"/>
      <c r="P30" s="59">
        <f>IF(D30=0,0,SUM($L$21:L30))</f>
        <v>1328671.3286713287</v>
      </c>
      <c r="Q30" s="59">
        <f>IF(D30=0,0,SUM($J$21:J30))</f>
        <v>1369730</v>
      </c>
      <c r="R30" s="63">
        <f t="shared" si="10"/>
        <v>41058.671328671277</v>
      </c>
      <c r="S30" s="64">
        <f t="shared" si="16"/>
        <v>1.0309020526315789</v>
      </c>
      <c r="T30" s="73"/>
      <c r="U30" s="59">
        <f>IF(D30=0,0,SUM($L$21:L30))</f>
        <v>1328671.3286713287</v>
      </c>
      <c r="V30" s="59">
        <f>IF(D30=0,0,SUM($J$21:J30))</f>
        <v>1369730</v>
      </c>
      <c r="W30" s="66">
        <f t="shared" si="11"/>
        <v>41058.671328671277</v>
      </c>
      <c r="X30" s="67">
        <f t="shared" si="17"/>
        <v>1.0309020526315789</v>
      </c>
      <c r="Y30" s="68">
        <f t="shared" si="18"/>
        <v>45667</v>
      </c>
      <c r="Z30" s="69">
        <f t="shared" si="18"/>
        <v>45667</v>
      </c>
      <c r="AA30" s="1"/>
      <c r="AB30" s="1"/>
      <c r="AC30" s="1"/>
      <c r="AD30" s="1"/>
      <c r="AE30" s="1"/>
      <c r="AF30" s="1"/>
      <c r="AG30" s="1"/>
    </row>
    <row r="31" spans="1:33" ht="20">
      <c r="A31" s="1"/>
      <c r="B31" s="12"/>
      <c r="C31" s="50">
        <v>11</v>
      </c>
      <c r="D31" s="51">
        <v>1</v>
      </c>
      <c r="E31" s="52">
        <f t="shared" si="12"/>
        <v>1</v>
      </c>
      <c r="F31" s="53">
        <f t="shared" si="13"/>
        <v>45668</v>
      </c>
      <c r="G31" s="54" t="str">
        <f t="shared" si="14"/>
        <v>Sat</v>
      </c>
      <c r="H31" s="55"/>
      <c r="I31" s="56"/>
      <c r="J31" s="74">
        <v>66550</v>
      </c>
      <c r="K31" s="75"/>
      <c r="L31" s="59">
        <f t="shared" si="15"/>
        <v>265734.26573426573</v>
      </c>
      <c r="M31" s="60">
        <f t="shared" si="8"/>
        <v>-199184.26573426573</v>
      </c>
      <c r="N31" s="61">
        <f t="shared" si="9"/>
        <v>0.25043815789473683</v>
      </c>
      <c r="O31" s="62"/>
      <c r="P31" s="59">
        <f>IF(D31=0,0,SUM($L$21:L31))</f>
        <v>1594405.5944055945</v>
      </c>
      <c r="Q31" s="59">
        <f>IF(D31=0,0,SUM($J$21:J31))</f>
        <v>1436280</v>
      </c>
      <c r="R31" s="63">
        <f t="shared" si="10"/>
        <v>-158125.59440559451</v>
      </c>
      <c r="S31" s="64">
        <f t="shared" si="16"/>
        <v>0.90082473684210518</v>
      </c>
      <c r="T31" s="73"/>
      <c r="U31" s="59">
        <f>IF(D31=0,0,SUM($L$21:L31))</f>
        <v>1594405.5944055945</v>
      </c>
      <c r="V31" s="59">
        <f>IF(D31=0,0,SUM($J$21:J31))</f>
        <v>1436280</v>
      </c>
      <c r="W31" s="66">
        <f t="shared" si="11"/>
        <v>-158125.59440559451</v>
      </c>
      <c r="X31" s="67">
        <f t="shared" si="17"/>
        <v>0.90082473684210518</v>
      </c>
      <c r="Y31" s="68">
        <f t="shared" si="18"/>
        <v>45668</v>
      </c>
      <c r="Z31" s="69">
        <f t="shared" si="18"/>
        <v>45668</v>
      </c>
      <c r="AA31" s="1"/>
      <c r="AB31" s="1"/>
      <c r="AC31" s="1"/>
      <c r="AD31" s="1"/>
      <c r="AE31" s="1"/>
      <c r="AF31" s="1"/>
      <c r="AG31" s="1"/>
    </row>
    <row r="32" spans="1:33" ht="20">
      <c r="A32" s="1"/>
      <c r="B32" s="12"/>
      <c r="C32" s="50">
        <v>12</v>
      </c>
      <c r="D32" s="51">
        <v>0</v>
      </c>
      <c r="E32" s="52">
        <f t="shared" si="12"/>
        <v>1</v>
      </c>
      <c r="F32" s="53">
        <f t="shared" si="13"/>
        <v>45669</v>
      </c>
      <c r="G32" s="54" t="str">
        <f t="shared" si="14"/>
        <v>Sun</v>
      </c>
      <c r="H32" s="55" t="s">
        <v>58</v>
      </c>
      <c r="I32" s="56"/>
      <c r="J32" s="76"/>
      <c r="K32" s="77"/>
      <c r="L32" s="59">
        <f t="shared" si="15"/>
        <v>0</v>
      </c>
      <c r="M32" s="60">
        <f t="shared" si="8"/>
        <v>0</v>
      </c>
      <c r="N32" s="61" t="str">
        <f t="shared" si="9"/>
        <v>¥0</v>
      </c>
      <c r="O32" s="62"/>
      <c r="P32" s="59">
        <f>IF(D32=0,0,SUM($L$21:L32))</f>
        <v>0</v>
      </c>
      <c r="Q32" s="59">
        <f>IF(D32=0,0,SUM($J$21:J32))</f>
        <v>0</v>
      </c>
      <c r="R32" s="63">
        <f t="shared" si="10"/>
        <v>0</v>
      </c>
      <c r="S32" s="64">
        <f t="shared" si="16"/>
        <v>0</v>
      </c>
      <c r="T32" s="78"/>
      <c r="U32" s="59">
        <f>IF(D32=0,0,SUM($L$21:L32))</f>
        <v>0</v>
      </c>
      <c r="V32" s="59">
        <f>IF(D32=0,0,SUM($J$21:J32))</f>
        <v>0</v>
      </c>
      <c r="W32" s="66">
        <f t="shared" si="11"/>
        <v>0</v>
      </c>
      <c r="X32" s="67">
        <f t="shared" si="17"/>
        <v>0</v>
      </c>
      <c r="Y32" s="68">
        <f t="shared" si="18"/>
        <v>45669</v>
      </c>
      <c r="Z32" s="69">
        <f t="shared" si="18"/>
        <v>45669</v>
      </c>
      <c r="AA32" s="1"/>
      <c r="AB32" s="1"/>
      <c r="AC32" s="1"/>
      <c r="AD32" s="1"/>
      <c r="AE32" s="1"/>
      <c r="AF32" s="1"/>
      <c r="AG32" s="1"/>
    </row>
    <row r="33" spans="1:33" ht="20">
      <c r="A33" s="1"/>
      <c r="B33" s="11"/>
      <c r="C33" s="50">
        <v>13</v>
      </c>
      <c r="D33" s="51">
        <v>0</v>
      </c>
      <c r="E33" s="52">
        <f t="shared" si="12"/>
        <v>1</v>
      </c>
      <c r="F33" s="53">
        <f t="shared" si="13"/>
        <v>45670</v>
      </c>
      <c r="G33" s="54" t="str">
        <f t="shared" si="14"/>
        <v>Mon</v>
      </c>
      <c r="H33" s="55" t="s">
        <v>59</v>
      </c>
      <c r="I33" s="56"/>
      <c r="J33" s="76"/>
      <c r="K33" s="77"/>
      <c r="L33" s="59">
        <f t="shared" si="15"/>
        <v>0</v>
      </c>
      <c r="M33" s="60">
        <f t="shared" si="8"/>
        <v>0</v>
      </c>
      <c r="N33" s="61" t="str">
        <f t="shared" si="9"/>
        <v>¥0</v>
      </c>
      <c r="O33" s="62"/>
      <c r="P33" s="59">
        <f>IF(D33=0,0,SUM($L$21:L33))</f>
        <v>0</v>
      </c>
      <c r="Q33" s="59">
        <f>IF(D33=0,0,SUM($J$21:J33))</f>
        <v>0</v>
      </c>
      <c r="R33" s="63">
        <f t="shared" si="10"/>
        <v>0</v>
      </c>
      <c r="S33" s="64">
        <f t="shared" si="16"/>
        <v>0</v>
      </c>
      <c r="T33" s="78"/>
      <c r="U33" s="59">
        <f>IF(D33=0,0,SUM($L$21:L33))</f>
        <v>0</v>
      </c>
      <c r="V33" s="59">
        <f>IF(D33=0,0,SUM($J$21:J33))</f>
        <v>0</v>
      </c>
      <c r="W33" s="66">
        <f t="shared" si="11"/>
        <v>0</v>
      </c>
      <c r="X33" s="67">
        <f t="shared" si="17"/>
        <v>0</v>
      </c>
      <c r="Y33" s="68">
        <f t="shared" si="18"/>
        <v>45670</v>
      </c>
      <c r="Z33" s="69">
        <f t="shared" si="18"/>
        <v>45670</v>
      </c>
      <c r="AA33" s="1"/>
      <c r="AB33" s="1"/>
      <c r="AC33" s="1"/>
      <c r="AD33" s="1"/>
      <c r="AE33" s="1"/>
      <c r="AF33" s="1"/>
      <c r="AG33" s="1"/>
    </row>
    <row r="34" spans="1:33" ht="20">
      <c r="A34" s="1"/>
      <c r="B34" s="11"/>
      <c r="C34" s="50">
        <v>14</v>
      </c>
      <c r="D34" s="51">
        <v>1</v>
      </c>
      <c r="E34" s="52">
        <f t="shared" si="12"/>
        <v>1</v>
      </c>
      <c r="F34" s="53">
        <f t="shared" si="13"/>
        <v>45671</v>
      </c>
      <c r="G34" s="54" t="str">
        <f t="shared" si="14"/>
        <v>Tue</v>
      </c>
      <c r="H34" s="55"/>
      <c r="I34" s="56"/>
      <c r="J34" s="71">
        <v>372310</v>
      </c>
      <c r="K34" s="72"/>
      <c r="L34" s="59">
        <f t="shared" si="15"/>
        <v>265734.26573426573</v>
      </c>
      <c r="M34" s="60">
        <f t="shared" si="8"/>
        <v>106575.73426573427</v>
      </c>
      <c r="N34" s="61">
        <f t="shared" si="9"/>
        <v>1.4010613157894738</v>
      </c>
      <c r="O34" s="62"/>
      <c r="P34" s="59">
        <f>IF(D34=0,0,SUM($L$21:L34))</f>
        <v>1860139.8601398603</v>
      </c>
      <c r="Q34" s="59">
        <f>IF(D34=0,0,SUM($J$21:J34))</f>
        <v>1808590</v>
      </c>
      <c r="R34" s="63">
        <f t="shared" si="10"/>
        <v>-51549.860139860306</v>
      </c>
      <c r="S34" s="64">
        <f t="shared" si="16"/>
        <v>0.97228710526315776</v>
      </c>
      <c r="T34" s="73"/>
      <c r="U34" s="59">
        <f>IF(D34=0,0,SUM($L$21:L34))</f>
        <v>1860139.8601398603</v>
      </c>
      <c r="V34" s="59">
        <f>IF(D34=0,0,SUM($J$21:J34))</f>
        <v>1808590</v>
      </c>
      <c r="W34" s="66">
        <f t="shared" si="11"/>
        <v>-51549.860139860306</v>
      </c>
      <c r="X34" s="67">
        <f t="shared" si="17"/>
        <v>0.97228710526315776</v>
      </c>
      <c r="Y34" s="68">
        <f t="shared" si="18"/>
        <v>45671</v>
      </c>
      <c r="Z34" s="69">
        <f t="shared" si="18"/>
        <v>45671</v>
      </c>
      <c r="AA34" s="1"/>
      <c r="AB34" s="1"/>
      <c r="AC34" s="1"/>
      <c r="AD34" s="1"/>
      <c r="AE34" s="1"/>
      <c r="AF34" s="1"/>
      <c r="AG34" s="1"/>
    </row>
    <row r="35" spans="1:33" ht="20">
      <c r="A35" s="1"/>
      <c r="B35" s="11"/>
      <c r="C35" s="50">
        <v>15</v>
      </c>
      <c r="D35" s="51">
        <v>1</v>
      </c>
      <c r="E35" s="52">
        <f t="shared" si="12"/>
        <v>1</v>
      </c>
      <c r="F35" s="53">
        <f t="shared" si="13"/>
        <v>45672</v>
      </c>
      <c r="G35" s="54" t="str">
        <f t="shared" si="14"/>
        <v>Wed</v>
      </c>
      <c r="H35" s="55"/>
      <c r="I35" s="56"/>
      <c r="J35" s="71">
        <v>246200</v>
      </c>
      <c r="K35" s="72"/>
      <c r="L35" s="59">
        <f t="shared" si="15"/>
        <v>265734.26573426573</v>
      </c>
      <c r="M35" s="60">
        <f t="shared" si="8"/>
        <v>-19534.265734265733</v>
      </c>
      <c r="N35" s="61">
        <f t="shared" si="9"/>
        <v>0.92648947368421053</v>
      </c>
      <c r="O35" s="62"/>
      <c r="P35" s="59">
        <f>IF(D35=0,0,SUM($L$21:L35))</f>
        <v>2125874.1258741259</v>
      </c>
      <c r="Q35" s="59">
        <f>IF(D35=0,0,SUM($J$21:J35))</f>
        <v>2054790</v>
      </c>
      <c r="R35" s="63">
        <f t="shared" si="10"/>
        <v>-71084.125874125864</v>
      </c>
      <c r="S35" s="64">
        <f t="shared" si="16"/>
        <v>0.96656240131578952</v>
      </c>
      <c r="T35" s="73"/>
      <c r="U35" s="59">
        <f>IF(D35=0,0,SUM($L$21:L35))</f>
        <v>2125874.1258741259</v>
      </c>
      <c r="V35" s="59">
        <f>IF(D35=0,0,SUM($J$21:J35))</f>
        <v>2054790</v>
      </c>
      <c r="W35" s="66">
        <f t="shared" si="11"/>
        <v>-71084.125874125864</v>
      </c>
      <c r="X35" s="67">
        <f t="shared" si="17"/>
        <v>0.96656240131578952</v>
      </c>
      <c r="Y35" s="68">
        <f t="shared" si="18"/>
        <v>45672</v>
      </c>
      <c r="Z35" s="69">
        <f t="shared" si="18"/>
        <v>45672</v>
      </c>
      <c r="AA35" s="1"/>
      <c r="AB35" s="1"/>
      <c r="AC35" s="1"/>
      <c r="AD35" s="1"/>
      <c r="AE35" s="1"/>
      <c r="AF35" s="1"/>
      <c r="AG35" s="1"/>
    </row>
    <row r="36" spans="1:33" ht="20">
      <c r="A36" s="1"/>
      <c r="B36" s="11"/>
      <c r="C36" s="50">
        <v>16</v>
      </c>
      <c r="D36" s="51">
        <v>1</v>
      </c>
      <c r="E36" s="52">
        <f t="shared" si="12"/>
        <v>1</v>
      </c>
      <c r="F36" s="53">
        <f t="shared" si="13"/>
        <v>45673</v>
      </c>
      <c r="G36" s="54" t="str">
        <f t="shared" si="14"/>
        <v>Thu</v>
      </c>
      <c r="H36" s="55"/>
      <c r="I36" s="56"/>
      <c r="J36" s="71">
        <v>400950</v>
      </c>
      <c r="K36" s="72"/>
      <c r="L36" s="59">
        <f t="shared" si="15"/>
        <v>265734.26573426573</v>
      </c>
      <c r="M36" s="60">
        <f t="shared" si="8"/>
        <v>135215.73426573427</v>
      </c>
      <c r="N36" s="61">
        <f t="shared" si="9"/>
        <v>1.5088381578947367</v>
      </c>
      <c r="O36" s="62"/>
      <c r="P36" s="59">
        <f>IF(D36=0,0,SUM($L$21:L36))</f>
        <v>2391608.3916083914</v>
      </c>
      <c r="Q36" s="59">
        <f>IF(D36=0,0,SUM($J$21:J36))</f>
        <v>2455740</v>
      </c>
      <c r="R36" s="63">
        <f t="shared" si="10"/>
        <v>64131.608391608577</v>
      </c>
      <c r="S36" s="64">
        <f t="shared" si="16"/>
        <v>1.0268152631578948</v>
      </c>
      <c r="T36" s="73"/>
      <c r="U36" s="59">
        <f>IF(D36=0,0,SUM($L$21:L36))</f>
        <v>2391608.3916083914</v>
      </c>
      <c r="V36" s="59">
        <f>IF(D36=0,0,SUM($J$21:J36))</f>
        <v>2455740</v>
      </c>
      <c r="W36" s="66">
        <f t="shared" si="11"/>
        <v>64131.608391608577</v>
      </c>
      <c r="X36" s="67">
        <f t="shared" si="17"/>
        <v>1.0268152631578948</v>
      </c>
      <c r="Y36" s="68">
        <f t="shared" si="18"/>
        <v>45673</v>
      </c>
      <c r="Z36" s="69">
        <f t="shared" si="18"/>
        <v>45673</v>
      </c>
      <c r="AA36" s="1"/>
      <c r="AB36" s="1"/>
      <c r="AC36" s="1"/>
      <c r="AD36" s="1"/>
      <c r="AE36" s="1"/>
      <c r="AF36" s="1"/>
      <c r="AG36" s="1"/>
    </row>
    <row r="37" spans="1:33" ht="20">
      <c r="A37" s="1"/>
      <c r="B37" s="11"/>
      <c r="C37" s="50">
        <v>17</v>
      </c>
      <c r="D37" s="51">
        <v>1</v>
      </c>
      <c r="E37" s="52">
        <f t="shared" si="12"/>
        <v>1</v>
      </c>
      <c r="F37" s="53">
        <f t="shared" si="13"/>
        <v>45674</v>
      </c>
      <c r="G37" s="54" t="str">
        <f t="shared" si="14"/>
        <v>Fri</v>
      </c>
      <c r="H37" s="55"/>
      <c r="I37" s="56"/>
      <c r="J37" s="71">
        <v>262380</v>
      </c>
      <c r="K37" s="72"/>
      <c r="L37" s="59">
        <f t="shared" si="15"/>
        <v>265734.26573426573</v>
      </c>
      <c r="M37" s="60">
        <f t="shared" si="8"/>
        <v>-3354.265734265733</v>
      </c>
      <c r="N37" s="61">
        <f t="shared" si="9"/>
        <v>0.98737736842105261</v>
      </c>
      <c r="O37" s="62"/>
      <c r="P37" s="59">
        <f>IF(D37=0,0,SUM($L$21:L37))</f>
        <v>2657342.657342657</v>
      </c>
      <c r="Q37" s="59">
        <f>IF(D37=0,0,SUM($J$21:J37))</f>
        <v>2718120</v>
      </c>
      <c r="R37" s="63">
        <f t="shared" si="10"/>
        <v>60777.342657343019</v>
      </c>
      <c r="S37" s="64">
        <f t="shared" si="16"/>
        <v>1.0228714736842106</v>
      </c>
      <c r="T37" s="73"/>
      <c r="U37" s="59">
        <f>IF(D37=0,0,SUM($L$21:L37))</f>
        <v>2657342.657342657</v>
      </c>
      <c r="V37" s="59">
        <f>IF(D37=0,0,SUM($J$21:J37))</f>
        <v>2718120</v>
      </c>
      <c r="W37" s="66">
        <f t="shared" si="11"/>
        <v>60777.342657343019</v>
      </c>
      <c r="X37" s="67">
        <f t="shared" si="17"/>
        <v>1.0228714736842106</v>
      </c>
      <c r="Y37" s="68">
        <f t="shared" si="18"/>
        <v>45674</v>
      </c>
      <c r="Z37" s="69">
        <f t="shared" si="18"/>
        <v>45674</v>
      </c>
      <c r="AA37" s="1"/>
      <c r="AB37" s="1"/>
      <c r="AC37" s="1"/>
      <c r="AD37" s="1"/>
      <c r="AE37" s="1"/>
      <c r="AF37" s="1"/>
      <c r="AG37" s="1"/>
    </row>
    <row r="38" spans="1:33" ht="20">
      <c r="A38" s="1"/>
      <c r="B38" s="11"/>
      <c r="C38" s="50">
        <v>18</v>
      </c>
      <c r="D38" s="51">
        <v>1</v>
      </c>
      <c r="E38" s="52">
        <f t="shared" si="12"/>
        <v>1</v>
      </c>
      <c r="F38" s="53">
        <f t="shared" si="13"/>
        <v>45675</v>
      </c>
      <c r="G38" s="54" t="str">
        <f t="shared" si="14"/>
        <v>Sat</v>
      </c>
      <c r="H38" s="55"/>
      <c r="I38" s="56"/>
      <c r="J38" s="74">
        <v>137800</v>
      </c>
      <c r="K38" s="75"/>
      <c r="L38" s="59">
        <f t="shared" si="15"/>
        <v>265734.26573426573</v>
      </c>
      <c r="M38" s="60">
        <f t="shared" si="8"/>
        <v>-127934.26573426573</v>
      </c>
      <c r="N38" s="61">
        <f t="shared" si="9"/>
        <v>0.51856315789473684</v>
      </c>
      <c r="O38" s="62"/>
      <c r="P38" s="59">
        <f>IF(D38=0,0,SUM($L$21:L38))</f>
        <v>2923076.9230769225</v>
      </c>
      <c r="Q38" s="59">
        <f>IF(D38=0,0,SUM($J$21:J38))</f>
        <v>2855920</v>
      </c>
      <c r="R38" s="63">
        <f t="shared" si="10"/>
        <v>-67156.92307692254</v>
      </c>
      <c r="S38" s="64">
        <f t="shared" si="16"/>
        <v>0.97702526315789495</v>
      </c>
      <c r="T38" s="73"/>
      <c r="U38" s="59">
        <f>IF(D38=0,0,SUM($L$21:L38))</f>
        <v>2923076.9230769225</v>
      </c>
      <c r="V38" s="59">
        <f>IF(D38=0,0,SUM($J$21:J38))</f>
        <v>2855920</v>
      </c>
      <c r="W38" s="66">
        <f t="shared" si="11"/>
        <v>-67156.92307692254</v>
      </c>
      <c r="X38" s="67">
        <f t="shared" si="17"/>
        <v>0.97702526315789495</v>
      </c>
      <c r="Y38" s="68">
        <f t="shared" si="18"/>
        <v>45675</v>
      </c>
      <c r="Z38" s="69">
        <f t="shared" si="18"/>
        <v>45675</v>
      </c>
      <c r="AA38" s="1"/>
      <c r="AB38" s="1"/>
      <c r="AC38" s="1"/>
      <c r="AD38" s="1"/>
      <c r="AE38" s="1"/>
      <c r="AF38" s="1"/>
      <c r="AG38" s="1"/>
    </row>
    <row r="39" spans="1:33" ht="20">
      <c r="A39" s="1"/>
      <c r="B39" s="11"/>
      <c r="C39" s="50">
        <v>19</v>
      </c>
      <c r="D39" s="51">
        <v>0</v>
      </c>
      <c r="E39" s="52">
        <f t="shared" si="12"/>
        <v>1</v>
      </c>
      <c r="F39" s="53">
        <f t="shared" si="13"/>
        <v>45676</v>
      </c>
      <c r="G39" s="54" t="str">
        <f t="shared" si="14"/>
        <v>Sun</v>
      </c>
      <c r="H39" s="55"/>
      <c r="I39" s="56"/>
      <c r="J39" s="79"/>
      <c r="K39" s="77"/>
      <c r="L39" s="59">
        <f t="shared" si="15"/>
        <v>0</v>
      </c>
      <c r="M39" s="60">
        <f t="shared" si="8"/>
        <v>0</v>
      </c>
      <c r="N39" s="61" t="str">
        <f t="shared" si="9"/>
        <v>¥0</v>
      </c>
      <c r="O39" s="62"/>
      <c r="P39" s="59">
        <f>IF(D39=0,0,SUM($L$21:L39))</f>
        <v>0</v>
      </c>
      <c r="Q39" s="59">
        <f>IF(D39=0,0,SUM($J$21:J39))</f>
        <v>0</v>
      </c>
      <c r="R39" s="63">
        <f t="shared" si="10"/>
        <v>0</v>
      </c>
      <c r="S39" s="64">
        <f t="shared" si="16"/>
        <v>0</v>
      </c>
      <c r="T39" s="78"/>
      <c r="U39" s="59">
        <f>IF(D39=0,0,SUM($L$21:L39))</f>
        <v>0</v>
      </c>
      <c r="V39" s="59">
        <f>IF(D39=0,0,SUM($J$21:J39))</f>
        <v>0</v>
      </c>
      <c r="W39" s="66">
        <f t="shared" si="11"/>
        <v>0</v>
      </c>
      <c r="X39" s="67">
        <f t="shared" si="17"/>
        <v>0</v>
      </c>
      <c r="Y39" s="68">
        <f t="shared" ref="Y39:Z54" si="19">Y38+1</f>
        <v>45676</v>
      </c>
      <c r="Z39" s="69">
        <f t="shared" si="19"/>
        <v>45676</v>
      </c>
      <c r="AA39" s="1"/>
      <c r="AB39" s="1"/>
      <c r="AC39" s="1"/>
      <c r="AD39" s="1"/>
      <c r="AE39" s="1"/>
      <c r="AF39" s="1"/>
      <c r="AG39" s="1"/>
    </row>
    <row r="40" spans="1:33" ht="20">
      <c r="A40" s="1"/>
      <c r="B40" s="11"/>
      <c r="C40" s="50">
        <v>20</v>
      </c>
      <c r="D40" s="51">
        <v>1</v>
      </c>
      <c r="E40" s="52">
        <f t="shared" si="12"/>
        <v>1</v>
      </c>
      <c r="F40" s="53">
        <f t="shared" si="13"/>
        <v>45677</v>
      </c>
      <c r="G40" s="54" t="str">
        <f t="shared" si="14"/>
        <v>Mon</v>
      </c>
      <c r="H40" s="55"/>
      <c r="I40" s="56"/>
      <c r="J40" s="71">
        <v>265910</v>
      </c>
      <c r="K40" s="72"/>
      <c r="L40" s="59">
        <f t="shared" si="15"/>
        <v>265734.26573426573</v>
      </c>
      <c r="M40" s="60">
        <f t="shared" si="8"/>
        <v>175.73426573426696</v>
      </c>
      <c r="N40" s="61">
        <f t="shared" si="9"/>
        <v>1.0006613157894737</v>
      </c>
      <c r="O40" s="62"/>
      <c r="P40" s="59">
        <f>IF(D40=0,0,SUM($L$21:L40))</f>
        <v>3188811.1888111881</v>
      </c>
      <c r="Q40" s="59">
        <f>IF(D40=0,0,SUM($J$21:J40))</f>
        <v>3121830</v>
      </c>
      <c r="R40" s="63">
        <f t="shared" si="10"/>
        <v>-66981.188811188098</v>
      </c>
      <c r="S40" s="64">
        <f t="shared" si="16"/>
        <v>0.97899493421052652</v>
      </c>
      <c r="T40" s="73"/>
      <c r="U40" s="59">
        <f>IF(D40=0,0,SUM($L$21:L40))</f>
        <v>3188811.1888111881</v>
      </c>
      <c r="V40" s="59">
        <f>IF(D40=0,0,SUM($J$21:J40))</f>
        <v>3121830</v>
      </c>
      <c r="W40" s="66">
        <f t="shared" si="11"/>
        <v>-66981.188811188098</v>
      </c>
      <c r="X40" s="67">
        <f t="shared" si="17"/>
        <v>0.97899493421052652</v>
      </c>
      <c r="Y40" s="68">
        <f t="shared" si="19"/>
        <v>45677</v>
      </c>
      <c r="Z40" s="69">
        <f t="shared" si="19"/>
        <v>45677</v>
      </c>
      <c r="AA40" s="1"/>
      <c r="AB40" s="1"/>
      <c r="AC40" s="1"/>
      <c r="AD40" s="1"/>
      <c r="AE40" s="1"/>
      <c r="AF40" s="1"/>
      <c r="AG40" s="1"/>
    </row>
    <row r="41" spans="1:33" ht="20">
      <c r="A41" s="1"/>
      <c r="B41" s="11"/>
      <c r="C41" s="50">
        <v>21</v>
      </c>
      <c r="D41" s="51">
        <v>1</v>
      </c>
      <c r="E41" s="52">
        <f t="shared" si="12"/>
        <v>1</v>
      </c>
      <c r="F41" s="53">
        <f t="shared" si="13"/>
        <v>45678</v>
      </c>
      <c r="G41" s="54" t="str">
        <f t="shared" si="14"/>
        <v>Tue</v>
      </c>
      <c r="H41" s="55"/>
      <c r="I41" s="56"/>
      <c r="J41" s="71">
        <v>175950</v>
      </c>
      <c r="K41" s="72"/>
      <c r="L41" s="59">
        <f t="shared" si="15"/>
        <v>265734.26573426573</v>
      </c>
      <c r="M41" s="60">
        <f t="shared" si="8"/>
        <v>-89784.265734265733</v>
      </c>
      <c r="N41" s="61">
        <f t="shared" si="9"/>
        <v>0.66212763157894738</v>
      </c>
      <c r="O41" s="62"/>
      <c r="P41" s="59">
        <f>IF(D41=0,0,SUM($L$21:L41))</f>
        <v>3454545.4545454537</v>
      </c>
      <c r="Q41" s="59">
        <f>IF(D41=0,0,SUM($J$21:J41))</f>
        <v>3297780</v>
      </c>
      <c r="R41" s="63">
        <f t="shared" si="10"/>
        <v>-156765.45454545366</v>
      </c>
      <c r="S41" s="64">
        <f t="shared" si="16"/>
        <v>0.95462052631578975</v>
      </c>
      <c r="T41" s="73"/>
      <c r="U41" s="59">
        <f>IF(D41=0,0,SUM($L$21:L41))</f>
        <v>3454545.4545454537</v>
      </c>
      <c r="V41" s="59">
        <f>IF(D41=0,0,SUM($J$21:J41))</f>
        <v>3297780</v>
      </c>
      <c r="W41" s="66">
        <f t="shared" si="11"/>
        <v>-156765.45454545366</v>
      </c>
      <c r="X41" s="67">
        <f t="shared" si="17"/>
        <v>0.95462052631578975</v>
      </c>
      <c r="Y41" s="68">
        <f t="shared" si="19"/>
        <v>45678</v>
      </c>
      <c r="Z41" s="69">
        <f t="shared" si="19"/>
        <v>45678</v>
      </c>
      <c r="AA41" s="1"/>
      <c r="AB41" s="1"/>
      <c r="AC41" s="1"/>
      <c r="AD41" s="1"/>
      <c r="AE41" s="1"/>
      <c r="AF41" s="1"/>
      <c r="AG41" s="1"/>
    </row>
    <row r="42" spans="1:33" ht="20">
      <c r="A42" s="1"/>
      <c r="B42" s="11"/>
      <c r="C42" s="50">
        <v>22</v>
      </c>
      <c r="D42" s="51">
        <v>1</v>
      </c>
      <c r="E42" s="52">
        <f t="shared" si="12"/>
        <v>1</v>
      </c>
      <c r="F42" s="53">
        <f t="shared" si="13"/>
        <v>45679</v>
      </c>
      <c r="G42" s="54" t="str">
        <f t="shared" si="14"/>
        <v>Wed</v>
      </c>
      <c r="H42" s="55"/>
      <c r="I42" s="56"/>
      <c r="J42" s="71">
        <v>262170</v>
      </c>
      <c r="K42" s="72"/>
      <c r="L42" s="59">
        <f t="shared" si="15"/>
        <v>265734.26573426573</v>
      </c>
      <c r="M42" s="60">
        <f t="shared" si="8"/>
        <v>-3564.265734265733</v>
      </c>
      <c r="N42" s="61">
        <f t="shared" si="9"/>
        <v>0.98658710526315785</v>
      </c>
      <c r="O42" s="80"/>
      <c r="P42" s="59">
        <f>IF(D42=0,0,SUM($L$21:L42))</f>
        <v>3720279.7202797192</v>
      </c>
      <c r="Q42" s="59">
        <f>IF(D42=0,0,SUM($J$21:J42))</f>
        <v>3559950</v>
      </c>
      <c r="R42" s="63">
        <f t="shared" si="10"/>
        <v>-160329.72027971921</v>
      </c>
      <c r="S42" s="64">
        <f t="shared" si="16"/>
        <v>0.95690385338345896</v>
      </c>
      <c r="T42" s="73"/>
      <c r="U42" s="59">
        <f>IF(D42=0,0,SUM($L$21:L42))</f>
        <v>3720279.7202797192</v>
      </c>
      <c r="V42" s="59">
        <f>IF(D42=0,0,SUM($J$21:J42))</f>
        <v>3559950</v>
      </c>
      <c r="W42" s="66">
        <f t="shared" si="11"/>
        <v>-160329.72027971921</v>
      </c>
      <c r="X42" s="67">
        <f t="shared" si="17"/>
        <v>0.95690385338345896</v>
      </c>
      <c r="Y42" s="68">
        <f t="shared" si="19"/>
        <v>45679</v>
      </c>
      <c r="Z42" s="69">
        <f t="shared" si="19"/>
        <v>45679</v>
      </c>
      <c r="AA42" s="1"/>
      <c r="AB42" s="1"/>
      <c r="AC42" s="1"/>
      <c r="AD42" s="1"/>
      <c r="AE42" s="1"/>
      <c r="AF42" s="1"/>
      <c r="AG42" s="1"/>
    </row>
    <row r="43" spans="1:33" ht="20">
      <c r="A43" s="1"/>
      <c r="B43" s="11"/>
      <c r="C43" s="50">
        <v>23</v>
      </c>
      <c r="D43" s="51">
        <v>1</v>
      </c>
      <c r="E43" s="52">
        <f t="shared" si="12"/>
        <v>1</v>
      </c>
      <c r="F43" s="53">
        <f t="shared" si="13"/>
        <v>45680</v>
      </c>
      <c r="G43" s="54" t="str">
        <f t="shared" si="14"/>
        <v>Thu</v>
      </c>
      <c r="H43" s="55"/>
      <c r="I43" s="56"/>
      <c r="J43" s="71">
        <v>342980</v>
      </c>
      <c r="K43" s="72"/>
      <c r="L43" s="59">
        <f t="shared" si="15"/>
        <v>265734.26573426573</v>
      </c>
      <c r="M43" s="60">
        <f t="shared" si="8"/>
        <v>77245.734265734267</v>
      </c>
      <c r="N43" s="61">
        <f t="shared" si="9"/>
        <v>1.2906878947368421</v>
      </c>
      <c r="O43" s="80"/>
      <c r="P43" s="59">
        <f>IF(D43=0,0,SUM($L$21:L43))</f>
        <v>3986013.9860139848</v>
      </c>
      <c r="Q43" s="59">
        <f>IF(D43=0,0,SUM($J$21:J43))</f>
        <v>3902930</v>
      </c>
      <c r="R43" s="63">
        <f t="shared" si="10"/>
        <v>-83083.986013984773</v>
      </c>
      <c r="S43" s="64">
        <f t="shared" si="16"/>
        <v>0.9791561228070178</v>
      </c>
      <c r="T43" s="73"/>
      <c r="U43" s="59">
        <f>IF(D43=0,0,SUM($L$21:L43))</f>
        <v>3986013.9860139848</v>
      </c>
      <c r="V43" s="59">
        <f>IF(D43=0,0,SUM($J$21:J43))</f>
        <v>3902930</v>
      </c>
      <c r="W43" s="66">
        <f t="shared" si="11"/>
        <v>-83083.986013984773</v>
      </c>
      <c r="X43" s="67">
        <f t="shared" si="17"/>
        <v>0.9791561228070178</v>
      </c>
      <c r="Y43" s="68">
        <f t="shared" si="19"/>
        <v>45680</v>
      </c>
      <c r="Z43" s="69">
        <f t="shared" si="19"/>
        <v>45680</v>
      </c>
      <c r="AA43" s="1"/>
      <c r="AB43" s="1"/>
      <c r="AC43" s="1"/>
      <c r="AD43" s="1"/>
      <c r="AE43" s="1"/>
      <c r="AF43" s="1"/>
      <c r="AG43" s="1"/>
    </row>
    <row r="44" spans="1:33" ht="20">
      <c r="A44" s="1"/>
      <c r="B44" s="11"/>
      <c r="C44" s="50">
        <v>24</v>
      </c>
      <c r="D44" s="51">
        <v>1</v>
      </c>
      <c r="E44" s="52">
        <f t="shared" si="12"/>
        <v>1</v>
      </c>
      <c r="F44" s="53">
        <f t="shared" si="13"/>
        <v>45681</v>
      </c>
      <c r="G44" s="54" t="str">
        <f t="shared" si="14"/>
        <v>Fri</v>
      </c>
      <c r="H44" s="55"/>
      <c r="I44" s="56"/>
      <c r="J44" s="71">
        <v>330440</v>
      </c>
      <c r="K44" s="72"/>
      <c r="L44" s="59">
        <f t="shared" si="15"/>
        <v>265734.26573426573</v>
      </c>
      <c r="M44" s="60">
        <f t="shared" si="8"/>
        <v>64705.734265734267</v>
      </c>
      <c r="N44" s="61">
        <f t="shared" si="9"/>
        <v>1.243497894736842</v>
      </c>
      <c r="O44" s="80"/>
      <c r="P44" s="59">
        <f>IF(D44=0,0,SUM($L$21:L44))</f>
        <v>4251748.2517482508</v>
      </c>
      <c r="Q44" s="59">
        <f>IF(D44=0,0,SUM($J$21:J44))</f>
        <v>4233370</v>
      </c>
      <c r="R44" s="63">
        <f t="shared" si="10"/>
        <v>-18378.251748250797</v>
      </c>
      <c r="S44" s="64">
        <f t="shared" si="16"/>
        <v>0.99567748355263175</v>
      </c>
      <c r="T44" s="73"/>
      <c r="U44" s="59">
        <f>IF(D44=0,0,SUM($L$21:L44))</f>
        <v>4251748.2517482508</v>
      </c>
      <c r="V44" s="59">
        <f>IF(D44=0,0,SUM($J$21:J44))</f>
        <v>4233370</v>
      </c>
      <c r="W44" s="66">
        <f t="shared" si="11"/>
        <v>-18378.251748250797</v>
      </c>
      <c r="X44" s="67">
        <f t="shared" si="17"/>
        <v>0.99567748355263175</v>
      </c>
      <c r="Y44" s="68">
        <f t="shared" si="19"/>
        <v>45681</v>
      </c>
      <c r="Z44" s="69">
        <f t="shared" si="19"/>
        <v>45681</v>
      </c>
      <c r="AA44" s="1"/>
      <c r="AB44" s="1"/>
      <c r="AC44" s="1"/>
      <c r="AD44" s="1"/>
      <c r="AE44" s="1"/>
      <c r="AF44" s="1"/>
      <c r="AG44" s="1"/>
    </row>
    <row r="45" spans="1:33" ht="20">
      <c r="A45" s="1"/>
      <c r="B45" s="11"/>
      <c r="C45" s="50">
        <v>25</v>
      </c>
      <c r="D45" s="51">
        <v>1</v>
      </c>
      <c r="E45" s="52">
        <f t="shared" si="12"/>
        <v>1</v>
      </c>
      <c r="F45" s="53">
        <f t="shared" si="13"/>
        <v>45682</v>
      </c>
      <c r="G45" s="54" t="str">
        <f t="shared" si="14"/>
        <v>Sat</v>
      </c>
      <c r="H45" s="55"/>
      <c r="I45" s="56"/>
      <c r="J45" s="74">
        <v>122020</v>
      </c>
      <c r="K45" s="75"/>
      <c r="L45" s="59">
        <f t="shared" si="15"/>
        <v>265734.26573426573</v>
      </c>
      <c r="M45" s="60">
        <f t="shared" si="8"/>
        <v>-143714.26573426573</v>
      </c>
      <c r="N45" s="61">
        <f t="shared" si="9"/>
        <v>0.45918052631578948</v>
      </c>
      <c r="O45" s="80"/>
      <c r="P45" s="59">
        <f>IF(D45=0,0,SUM($L$21:L45))</f>
        <v>4517482.5174825164</v>
      </c>
      <c r="Q45" s="59">
        <f>IF(D45=0,0,SUM($J$21:J45))</f>
        <v>4355390</v>
      </c>
      <c r="R45" s="63">
        <f t="shared" si="10"/>
        <v>-162092.51748251636</v>
      </c>
      <c r="S45" s="64">
        <f t="shared" si="16"/>
        <v>0.96411883900928819</v>
      </c>
      <c r="T45" s="73"/>
      <c r="U45" s="59">
        <f>IF(D45=0,0,SUM($L$21:L45))</f>
        <v>4517482.5174825164</v>
      </c>
      <c r="V45" s="59">
        <f>IF(D45=0,0,SUM($J$21:J45))</f>
        <v>4355390</v>
      </c>
      <c r="W45" s="66">
        <f t="shared" si="11"/>
        <v>-162092.51748251636</v>
      </c>
      <c r="X45" s="67">
        <f t="shared" si="17"/>
        <v>0.96411883900928819</v>
      </c>
      <c r="Y45" s="68">
        <f t="shared" si="19"/>
        <v>45682</v>
      </c>
      <c r="Z45" s="69">
        <f t="shared" si="19"/>
        <v>45682</v>
      </c>
      <c r="AA45" s="1"/>
      <c r="AB45" s="1"/>
      <c r="AC45" s="1"/>
      <c r="AD45" s="1"/>
      <c r="AE45" s="1"/>
      <c r="AF45" s="1"/>
      <c r="AG45" s="1"/>
    </row>
    <row r="46" spans="1:33" ht="20">
      <c r="A46" s="1"/>
      <c r="B46" s="11"/>
      <c r="C46" s="50">
        <v>26</v>
      </c>
      <c r="D46" s="51">
        <v>0</v>
      </c>
      <c r="E46" s="52">
        <f t="shared" si="12"/>
        <v>1</v>
      </c>
      <c r="F46" s="53">
        <f t="shared" si="13"/>
        <v>45683</v>
      </c>
      <c r="G46" s="54" t="str">
        <f t="shared" si="14"/>
        <v>Sun</v>
      </c>
      <c r="H46" s="55"/>
      <c r="I46" s="56"/>
      <c r="J46" s="79"/>
      <c r="K46" s="77"/>
      <c r="L46" s="59">
        <f t="shared" si="15"/>
        <v>0</v>
      </c>
      <c r="M46" s="60">
        <f t="shared" si="8"/>
        <v>0</v>
      </c>
      <c r="N46" s="61" t="str">
        <f t="shared" si="9"/>
        <v>¥0</v>
      </c>
      <c r="O46" s="81"/>
      <c r="P46" s="59">
        <f>IF(D46=0,0,SUM($L$21:L46))</f>
        <v>0</v>
      </c>
      <c r="Q46" s="59">
        <f>IF(D46=0,0,SUM($J$21:J46))</f>
        <v>0</v>
      </c>
      <c r="R46" s="63">
        <f t="shared" si="10"/>
        <v>0</v>
      </c>
      <c r="S46" s="64">
        <f t="shared" si="16"/>
        <v>0</v>
      </c>
      <c r="T46" s="78"/>
      <c r="U46" s="59">
        <f>IF(D46=0,0,SUM($L$21:L46))</f>
        <v>0</v>
      </c>
      <c r="V46" s="59">
        <f>IF(D46=0,0,SUM($J$21:J46))</f>
        <v>0</v>
      </c>
      <c r="W46" s="66">
        <f t="shared" si="11"/>
        <v>0</v>
      </c>
      <c r="X46" s="67">
        <f t="shared" si="17"/>
        <v>0</v>
      </c>
      <c r="Y46" s="68">
        <f t="shared" si="19"/>
        <v>45683</v>
      </c>
      <c r="Z46" s="69">
        <f t="shared" si="19"/>
        <v>45683</v>
      </c>
      <c r="AA46" s="1"/>
      <c r="AB46" s="1"/>
      <c r="AC46" s="1"/>
      <c r="AD46" s="1"/>
      <c r="AE46" s="1"/>
      <c r="AF46" s="1"/>
      <c r="AG46" s="1"/>
    </row>
    <row r="47" spans="1:33" ht="20">
      <c r="A47" s="1"/>
      <c r="B47" s="11"/>
      <c r="C47" s="50">
        <v>27</v>
      </c>
      <c r="D47" s="51">
        <v>1</v>
      </c>
      <c r="E47" s="52">
        <f t="shared" si="12"/>
        <v>1</v>
      </c>
      <c r="F47" s="53">
        <f t="shared" si="13"/>
        <v>45684</v>
      </c>
      <c r="G47" s="54" t="str">
        <f t="shared" si="14"/>
        <v>Mon</v>
      </c>
      <c r="H47" s="55"/>
      <c r="I47" s="56"/>
      <c r="J47" s="71">
        <v>283810</v>
      </c>
      <c r="K47" s="72"/>
      <c r="L47" s="59">
        <f t="shared" si="15"/>
        <v>265734.26573426573</v>
      </c>
      <c r="M47" s="60">
        <f t="shared" si="8"/>
        <v>18075.734265734267</v>
      </c>
      <c r="N47" s="61">
        <f t="shared" si="9"/>
        <v>1.0680218421052632</v>
      </c>
      <c r="O47" s="80"/>
      <c r="P47" s="59">
        <f>IF(D47=0,0,SUM($L$21:L47))</f>
        <v>4783216.7832167819</v>
      </c>
      <c r="Q47" s="59">
        <f>IF(D47=0,0,SUM($J$21:J47))</f>
        <v>4639200</v>
      </c>
      <c r="R47" s="63">
        <f t="shared" si="10"/>
        <v>-144016.78321678191</v>
      </c>
      <c r="S47" s="64">
        <f t="shared" si="16"/>
        <v>0.96989122807017569</v>
      </c>
      <c r="T47" s="73"/>
      <c r="U47" s="59">
        <f>IF(D47=0,0,SUM($L$21:L47))</f>
        <v>4783216.7832167819</v>
      </c>
      <c r="V47" s="59">
        <f>IF(D47=0,0,SUM($J$21:J47))</f>
        <v>4639200</v>
      </c>
      <c r="W47" s="66">
        <f t="shared" si="11"/>
        <v>-144016.78321678191</v>
      </c>
      <c r="X47" s="67">
        <f t="shared" si="17"/>
        <v>0.96989122807017569</v>
      </c>
      <c r="Y47" s="68">
        <f t="shared" si="19"/>
        <v>45684</v>
      </c>
      <c r="Z47" s="69">
        <f t="shared" si="19"/>
        <v>45684</v>
      </c>
      <c r="AA47" s="1"/>
      <c r="AB47" s="1"/>
      <c r="AC47" s="1"/>
      <c r="AD47" s="1"/>
      <c r="AE47" s="1"/>
      <c r="AF47" s="1"/>
      <c r="AG47" s="1"/>
    </row>
    <row r="48" spans="1:33" ht="20">
      <c r="A48" s="1"/>
      <c r="B48" s="11"/>
      <c r="C48" s="50">
        <v>28</v>
      </c>
      <c r="D48" s="51">
        <v>1</v>
      </c>
      <c r="E48" s="52">
        <f t="shared" si="12"/>
        <v>1</v>
      </c>
      <c r="F48" s="53">
        <f t="shared" si="13"/>
        <v>45685</v>
      </c>
      <c r="G48" s="54" t="str">
        <f t="shared" si="14"/>
        <v>Tue</v>
      </c>
      <c r="H48" s="55"/>
      <c r="I48" s="56"/>
      <c r="J48" s="71">
        <v>328920</v>
      </c>
      <c r="K48" s="72"/>
      <c r="L48" s="59">
        <f t="shared" si="15"/>
        <v>265734.26573426573</v>
      </c>
      <c r="M48" s="60">
        <f t="shared" si="8"/>
        <v>63185.734265734267</v>
      </c>
      <c r="N48" s="61">
        <f t="shared" si="9"/>
        <v>1.2377778947368421</v>
      </c>
      <c r="O48" s="80"/>
      <c r="P48" s="59">
        <f>IF(D48=0,0,SUM($L$21:L48))</f>
        <v>5048951.0489510475</v>
      </c>
      <c r="Q48" s="59">
        <f>IF(D48=0,0,SUM($J$21:J48))</f>
        <v>4968120</v>
      </c>
      <c r="R48" s="63">
        <f t="shared" si="10"/>
        <v>-80831.048951047473</v>
      </c>
      <c r="S48" s="64">
        <f t="shared" si="16"/>
        <v>0.98399052631578976</v>
      </c>
      <c r="T48" s="73"/>
      <c r="U48" s="59">
        <f>IF(D48=0,0,SUM($L$21:L48))</f>
        <v>5048951.0489510475</v>
      </c>
      <c r="V48" s="59">
        <f>IF(D48=0,0,SUM($J$21:J48))</f>
        <v>4968120</v>
      </c>
      <c r="W48" s="66">
        <f t="shared" si="11"/>
        <v>-80831.048951047473</v>
      </c>
      <c r="X48" s="67">
        <f t="shared" si="17"/>
        <v>0.98399052631578976</v>
      </c>
      <c r="Y48" s="68">
        <f t="shared" si="19"/>
        <v>45685</v>
      </c>
      <c r="Z48" s="69">
        <f t="shared" si="19"/>
        <v>45685</v>
      </c>
      <c r="AA48" s="1"/>
      <c r="AB48" s="1"/>
      <c r="AC48" s="1"/>
      <c r="AD48" s="1"/>
      <c r="AE48" s="1"/>
      <c r="AF48" s="1"/>
      <c r="AG48" s="1"/>
    </row>
    <row r="49" spans="1:33" ht="20">
      <c r="A49" s="1"/>
      <c r="B49" s="11"/>
      <c r="C49" s="50">
        <v>29</v>
      </c>
      <c r="D49" s="51">
        <v>1</v>
      </c>
      <c r="E49" s="52">
        <f t="shared" si="12"/>
        <v>1</v>
      </c>
      <c r="F49" s="53">
        <f t="shared" si="13"/>
        <v>45686</v>
      </c>
      <c r="G49" s="54" t="str">
        <f t="shared" si="14"/>
        <v>Wed</v>
      </c>
      <c r="H49" s="55"/>
      <c r="I49" s="56"/>
      <c r="J49" s="71">
        <v>235370</v>
      </c>
      <c r="K49" s="72"/>
      <c r="L49" s="59">
        <f t="shared" si="15"/>
        <v>265734.26573426573</v>
      </c>
      <c r="M49" s="60">
        <f t="shared" si="8"/>
        <v>-30364.265734265733</v>
      </c>
      <c r="N49" s="61">
        <f t="shared" si="9"/>
        <v>0.88573447368421054</v>
      </c>
      <c r="O49" s="80"/>
      <c r="P49" s="59">
        <f>IF(D49=0,0,SUM($L$21:L49))</f>
        <v>5314685.314685313</v>
      </c>
      <c r="Q49" s="59">
        <f>IF(D49=0,0,SUM($J$21:J49))</f>
        <v>5203490</v>
      </c>
      <c r="R49" s="63">
        <f t="shared" si="10"/>
        <v>-111195.31468531303</v>
      </c>
      <c r="S49" s="64">
        <f t="shared" si="16"/>
        <v>0.97907772368421087</v>
      </c>
      <c r="T49" s="73"/>
      <c r="U49" s="59">
        <f>IF(D49=0,0,SUM($L$21:L49))</f>
        <v>5314685.314685313</v>
      </c>
      <c r="V49" s="59">
        <f>IF(D49=0,0,SUM($J$21:J49))</f>
        <v>5203490</v>
      </c>
      <c r="W49" s="66">
        <f t="shared" si="11"/>
        <v>-111195.31468531303</v>
      </c>
      <c r="X49" s="67">
        <f t="shared" si="17"/>
        <v>0.97907772368421087</v>
      </c>
      <c r="Y49" s="68">
        <f t="shared" si="19"/>
        <v>45686</v>
      </c>
      <c r="Z49" s="69">
        <f t="shared" si="19"/>
        <v>45686</v>
      </c>
      <c r="AA49" s="1"/>
      <c r="AB49" s="1"/>
      <c r="AC49" s="1"/>
      <c r="AD49" s="1"/>
      <c r="AE49" s="1"/>
      <c r="AF49" s="1"/>
      <c r="AG49" s="1"/>
    </row>
    <row r="50" spans="1:33" ht="20">
      <c r="A50" s="1"/>
      <c r="B50" s="11"/>
      <c r="C50" s="50">
        <v>30</v>
      </c>
      <c r="D50" s="51">
        <v>1</v>
      </c>
      <c r="E50" s="52">
        <f t="shared" si="12"/>
        <v>1</v>
      </c>
      <c r="F50" s="53">
        <f t="shared" si="13"/>
        <v>45687</v>
      </c>
      <c r="G50" s="54" t="str">
        <f t="shared" si="14"/>
        <v>Thu</v>
      </c>
      <c r="H50" s="55"/>
      <c r="I50" s="56"/>
      <c r="J50" s="82">
        <v>450100</v>
      </c>
      <c r="K50" s="83"/>
      <c r="L50" s="59">
        <f t="shared" si="15"/>
        <v>265734.26573426573</v>
      </c>
      <c r="M50" s="60">
        <f t="shared" si="8"/>
        <v>184365.73426573427</v>
      </c>
      <c r="N50" s="61">
        <f t="shared" si="9"/>
        <v>1.6937973684210526</v>
      </c>
      <c r="O50" s="80"/>
      <c r="P50" s="59">
        <f>IF(D50=0,0,SUM($L$21:L50))</f>
        <v>5580419.5804195786</v>
      </c>
      <c r="Q50" s="59">
        <f>IF(D50=0,0,SUM($J$21:J50))</f>
        <v>5653590</v>
      </c>
      <c r="R50" s="63">
        <f t="shared" si="10"/>
        <v>73170.419580421411</v>
      </c>
      <c r="S50" s="64">
        <f t="shared" si="16"/>
        <v>1.0131119924812033</v>
      </c>
      <c r="T50" s="73"/>
      <c r="U50" s="59">
        <f>IF(D50=0,0,SUM($L$21:L50))</f>
        <v>5580419.5804195786</v>
      </c>
      <c r="V50" s="59">
        <f>IF(D50=0,0,SUM($J$21:J50))</f>
        <v>5653590</v>
      </c>
      <c r="W50" s="66">
        <f t="shared" si="11"/>
        <v>73170.419580421411</v>
      </c>
      <c r="X50" s="67">
        <f t="shared" si="17"/>
        <v>1.0131119924812033</v>
      </c>
      <c r="Y50" s="68">
        <f t="shared" si="19"/>
        <v>45687</v>
      </c>
      <c r="Z50" s="69">
        <f t="shared" si="19"/>
        <v>45687</v>
      </c>
      <c r="AA50" s="1"/>
      <c r="AB50" s="1"/>
      <c r="AC50" s="1"/>
      <c r="AD50" s="1"/>
      <c r="AE50" s="1"/>
      <c r="AF50" s="1"/>
      <c r="AG50" s="1"/>
    </row>
    <row r="51" spans="1:33" ht="21" thickBot="1">
      <c r="A51" s="1"/>
      <c r="B51" s="11"/>
      <c r="C51" s="84">
        <v>31</v>
      </c>
      <c r="D51" s="85">
        <v>1</v>
      </c>
      <c r="E51" s="501">
        <f t="shared" si="12"/>
        <v>1</v>
      </c>
      <c r="F51" s="86">
        <f t="shared" si="13"/>
        <v>45688</v>
      </c>
      <c r="G51" s="87" t="str">
        <f t="shared" si="14"/>
        <v>Fri</v>
      </c>
      <c r="H51" s="88"/>
      <c r="I51" s="502"/>
      <c r="J51" s="89">
        <v>352040</v>
      </c>
      <c r="K51" s="503"/>
      <c r="L51" s="90">
        <f t="shared" si="15"/>
        <v>265734.26573426573</v>
      </c>
      <c r="M51" s="91">
        <f t="shared" si="8"/>
        <v>86305.734265734267</v>
      </c>
      <c r="N51" s="92">
        <f t="shared" si="9"/>
        <v>1.3247821052631579</v>
      </c>
      <c r="O51" s="504"/>
      <c r="P51" s="93">
        <f>IF(D51=0,0,SUM($L$21:L51))</f>
        <v>5846153.8461538441</v>
      </c>
      <c r="Q51" s="90">
        <f>IF(D51=0,0,SUM($J$21:J51))</f>
        <v>6005630</v>
      </c>
      <c r="R51" s="91">
        <f t="shared" si="10"/>
        <v>159476.15384615585</v>
      </c>
      <c r="S51" s="505">
        <f t="shared" si="16"/>
        <v>1.0272788157894741</v>
      </c>
      <c r="T51" s="506"/>
      <c r="U51" s="94">
        <f>IF(D51=0,0,SUM($L$21:L51))</f>
        <v>5846153.8461538441</v>
      </c>
      <c r="V51" s="90">
        <f>IF(D51=0,0,SUM($J$21:J51))</f>
        <v>6005630</v>
      </c>
      <c r="W51" s="95">
        <f t="shared" si="11"/>
        <v>159476.15384615585</v>
      </c>
      <c r="X51" s="507">
        <f t="shared" si="17"/>
        <v>1.0272788157894741</v>
      </c>
      <c r="Y51" s="68">
        <f t="shared" si="19"/>
        <v>45688</v>
      </c>
      <c r="Z51" s="69">
        <f t="shared" si="19"/>
        <v>45688</v>
      </c>
      <c r="AA51" s="1"/>
      <c r="AB51" s="1"/>
      <c r="AC51" s="1"/>
      <c r="AD51" s="1"/>
      <c r="AE51" s="1"/>
      <c r="AF51" s="1"/>
      <c r="AG51" s="1"/>
    </row>
    <row r="52" spans="1:33" ht="21" thickTop="1">
      <c r="A52" s="1"/>
      <c r="B52" s="11"/>
      <c r="C52" s="50">
        <v>32</v>
      </c>
      <c r="D52" s="96">
        <v>1</v>
      </c>
      <c r="E52" s="52">
        <f t="shared" si="12"/>
        <v>2</v>
      </c>
      <c r="F52" s="53">
        <f t="shared" si="13"/>
        <v>45689</v>
      </c>
      <c r="G52" s="54" t="str">
        <f t="shared" si="14"/>
        <v>Sat</v>
      </c>
      <c r="H52" s="55"/>
      <c r="I52" s="56"/>
      <c r="J52" s="82">
        <v>182250</v>
      </c>
      <c r="K52" s="83"/>
      <c r="L52" s="59">
        <f t="shared" ref="L52:L79" si="20">IF(D52=0,0,$K$8)</f>
        <v>237762.23776223778</v>
      </c>
      <c r="M52" s="63">
        <f t="shared" si="8"/>
        <v>-55512.237762237783</v>
      </c>
      <c r="N52" s="97">
        <f t="shared" si="9"/>
        <v>0.76652205882352931</v>
      </c>
      <c r="O52" s="80"/>
      <c r="P52" s="59">
        <f>IF(D52=0,0,$L$52)</f>
        <v>237762.23776223778</v>
      </c>
      <c r="Q52" s="59">
        <f>IF(D52=0,0,$J$52)</f>
        <v>182250</v>
      </c>
      <c r="R52" s="63">
        <f t="shared" si="10"/>
        <v>-55512.237762237783</v>
      </c>
      <c r="S52" s="499">
        <f t="shared" si="16"/>
        <v>0.76652205882352931</v>
      </c>
      <c r="T52" s="73"/>
      <c r="U52" s="59">
        <f>IF(D52=0,0,SUM($L$21:L52))</f>
        <v>6083916.083916082</v>
      </c>
      <c r="V52" s="59">
        <f>IF(D52=0,0,SUM($J$21:J52))</f>
        <v>6187880</v>
      </c>
      <c r="W52" s="66">
        <f t="shared" si="11"/>
        <v>103963.91608391795</v>
      </c>
      <c r="X52" s="500">
        <f t="shared" si="17"/>
        <v>1.0170883218390807</v>
      </c>
      <c r="Y52" s="68">
        <f t="shared" si="19"/>
        <v>45689</v>
      </c>
      <c r="Z52" s="69">
        <f t="shared" si="19"/>
        <v>45689</v>
      </c>
      <c r="AA52" s="1"/>
      <c r="AB52" s="1"/>
      <c r="AC52" s="1"/>
      <c r="AD52" s="1"/>
      <c r="AE52" s="1"/>
      <c r="AF52" s="1"/>
      <c r="AG52" s="1"/>
    </row>
    <row r="53" spans="1:33" ht="20">
      <c r="A53" s="1"/>
      <c r="B53" s="11"/>
      <c r="C53" s="50">
        <v>33</v>
      </c>
      <c r="D53" s="51">
        <v>0</v>
      </c>
      <c r="E53" s="52">
        <f t="shared" si="12"/>
        <v>2</v>
      </c>
      <c r="F53" s="53">
        <f t="shared" si="13"/>
        <v>45690</v>
      </c>
      <c r="G53" s="54" t="str">
        <f t="shared" si="14"/>
        <v>Sun</v>
      </c>
      <c r="H53" s="55"/>
      <c r="I53" s="56"/>
      <c r="J53" s="82">
        <v>0</v>
      </c>
      <c r="K53" s="83"/>
      <c r="L53" s="59">
        <f t="shared" si="20"/>
        <v>0</v>
      </c>
      <c r="M53" s="60">
        <f t="shared" si="8"/>
        <v>0</v>
      </c>
      <c r="N53" s="61" t="str">
        <f t="shared" si="9"/>
        <v>¥0</v>
      </c>
      <c r="O53" s="81"/>
      <c r="P53" s="59">
        <f>IF(D53=0,0,SUM($L$52:L53))</f>
        <v>0</v>
      </c>
      <c r="Q53" s="59">
        <f>IF(D53=0,0,SUM($J$52:J53))</f>
        <v>0</v>
      </c>
      <c r="R53" s="63">
        <f t="shared" si="10"/>
        <v>0</v>
      </c>
      <c r="S53" s="64">
        <f t="shared" si="16"/>
        <v>0</v>
      </c>
      <c r="T53" s="78"/>
      <c r="U53" s="59">
        <f>IF(D53=0,0,SUM($L$21:L53))</f>
        <v>0</v>
      </c>
      <c r="V53" s="59">
        <f>IF(D53=0,0,SUM($J$21:J53))</f>
        <v>0</v>
      </c>
      <c r="W53" s="66">
        <f t="shared" si="11"/>
        <v>0</v>
      </c>
      <c r="X53" s="67">
        <f t="shared" si="17"/>
        <v>0</v>
      </c>
      <c r="Y53" s="68">
        <f t="shared" si="19"/>
        <v>45690</v>
      </c>
      <c r="Z53" s="69">
        <f t="shared" si="19"/>
        <v>45690</v>
      </c>
      <c r="AA53" s="1"/>
      <c r="AB53" s="1"/>
      <c r="AC53" s="1"/>
      <c r="AD53" s="1"/>
      <c r="AE53" s="1"/>
      <c r="AF53" s="1"/>
      <c r="AG53" s="1"/>
    </row>
    <row r="54" spans="1:33" ht="20">
      <c r="A54" s="1"/>
      <c r="B54" s="11"/>
      <c r="C54" s="50">
        <v>34</v>
      </c>
      <c r="D54" s="51">
        <v>1</v>
      </c>
      <c r="E54" s="52">
        <f t="shared" si="12"/>
        <v>2</v>
      </c>
      <c r="F54" s="53">
        <f t="shared" si="13"/>
        <v>45691</v>
      </c>
      <c r="G54" s="54" t="str">
        <f t="shared" si="14"/>
        <v>Mon</v>
      </c>
      <c r="H54" s="55"/>
      <c r="I54" s="56"/>
      <c r="J54" s="82">
        <v>101150</v>
      </c>
      <c r="K54" s="83"/>
      <c r="L54" s="59">
        <f t="shared" si="20"/>
        <v>237762.23776223778</v>
      </c>
      <c r="M54" s="60">
        <f t="shared" si="8"/>
        <v>-136612.23776223778</v>
      </c>
      <c r="N54" s="61">
        <f t="shared" si="9"/>
        <v>0.42542499999999994</v>
      </c>
      <c r="O54" s="80"/>
      <c r="P54" s="59">
        <f>IF(D54=0,0,SUM($L$52:L54))</f>
        <v>475524.47552447557</v>
      </c>
      <c r="Q54" s="59">
        <f>IF(D54=0,0,SUM($J$52:J54))</f>
        <v>283400</v>
      </c>
      <c r="R54" s="63">
        <f t="shared" si="10"/>
        <v>-192124.47552447557</v>
      </c>
      <c r="S54" s="64">
        <f t="shared" si="16"/>
        <v>0.59597352941176462</v>
      </c>
      <c r="T54" s="73"/>
      <c r="U54" s="59">
        <f>IF(D54=0,0,SUM($L$21:L54))</f>
        <v>6321678.3216783199</v>
      </c>
      <c r="V54" s="59">
        <f>IF(D54=0,0,SUM($J$21:J54))</f>
        <v>6289030</v>
      </c>
      <c r="W54" s="66">
        <f t="shared" si="11"/>
        <v>-32648.321678319946</v>
      </c>
      <c r="X54" s="67">
        <f t="shared" si="17"/>
        <v>0.99483549778761093</v>
      </c>
      <c r="Y54" s="68">
        <f t="shared" si="19"/>
        <v>45691</v>
      </c>
      <c r="Z54" s="69">
        <f t="shared" si="19"/>
        <v>45691</v>
      </c>
      <c r="AA54" s="1"/>
      <c r="AB54" s="1"/>
      <c r="AC54" s="1"/>
      <c r="AD54" s="1"/>
      <c r="AE54" s="1"/>
      <c r="AF54" s="1"/>
      <c r="AG54" s="1"/>
    </row>
    <row r="55" spans="1:33" ht="20">
      <c r="A55" s="1"/>
      <c r="B55" s="11"/>
      <c r="C55" s="50">
        <v>35</v>
      </c>
      <c r="D55" s="51">
        <v>1</v>
      </c>
      <c r="E55" s="52">
        <f t="shared" si="12"/>
        <v>2</v>
      </c>
      <c r="F55" s="53">
        <f t="shared" si="13"/>
        <v>45692</v>
      </c>
      <c r="G55" s="54" t="str">
        <f t="shared" si="14"/>
        <v>Tue</v>
      </c>
      <c r="H55" s="55"/>
      <c r="I55" s="56"/>
      <c r="J55" s="82">
        <v>152530</v>
      </c>
      <c r="K55" s="83"/>
      <c r="L55" s="59">
        <f t="shared" si="20"/>
        <v>237762.23776223778</v>
      </c>
      <c r="M55" s="60">
        <f t="shared" si="8"/>
        <v>-85232.237762237783</v>
      </c>
      <c r="N55" s="61">
        <f t="shared" si="9"/>
        <v>0.64152323529411759</v>
      </c>
      <c r="O55" s="80"/>
      <c r="P55" s="59">
        <f>IF(D55=0,0,SUM($L$52:L55))</f>
        <v>713286.71328671335</v>
      </c>
      <c r="Q55" s="59">
        <f>IF(D55=0,0,SUM($J$52:J55))</f>
        <v>435930</v>
      </c>
      <c r="R55" s="63">
        <f t="shared" si="10"/>
        <v>-277356.71328671335</v>
      </c>
      <c r="S55" s="64">
        <f t="shared" si="16"/>
        <v>0.61115676470588232</v>
      </c>
      <c r="T55" s="73"/>
      <c r="U55" s="59">
        <f>IF(D55=0,0,SUM($L$21:L55))</f>
        <v>6559440.5594405578</v>
      </c>
      <c r="V55" s="59">
        <f>IF(D55=0,0,SUM($J$21:J55))</f>
        <v>6441560</v>
      </c>
      <c r="W55" s="66">
        <f t="shared" si="11"/>
        <v>-117880.55944055784</v>
      </c>
      <c r="X55" s="67">
        <f t="shared" si="17"/>
        <v>0.98202886993603433</v>
      </c>
      <c r="Y55" s="68">
        <f t="shared" ref="Y55:Z70" si="21">Y54+1</f>
        <v>45692</v>
      </c>
      <c r="Z55" s="69">
        <f t="shared" si="21"/>
        <v>45692</v>
      </c>
      <c r="AA55" s="1"/>
      <c r="AB55" s="1"/>
      <c r="AC55" s="1"/>
      <c r="AD55" s="1"/>
      <c r="AE55" s="1"/>
      <c r="AF55" s="1"/>
      <c r="AG55" s="1"/>
    </row>
    <row r="56" spans="1:33" ht="20">
      <c r="A56" s="1"/>
      <c r="B56" s="11"/>
      <c r="C56" s="50">
        <v>36</v>
      </c>
      <c r="D56" s="51">
        <v>1</v>
      </c>
      <c r="E56" s="52">
        <f t="shared" si="12"/>
        <v>2</v>
      </c>
      <c r="F56" s="53">
        <f t="shared" si="13"/>
        <v>45693</v>
      </c>
      <c r="G56" s="54" t="str">
        <f t="shared" si="14"/>
        <v>Wed</v>
      </c>
      <c r="H56" s="55"/>
      <c r="I56" s="56"/>
      <c r="J56" s="82">
        <v>227650</v>
      </c>
      <c r="K56" s="83"/>
      <c r="L56" s="59">
        <f t="shared" si="20"/>
        <v>237762.23776223778</v>
      </c>
      <c r="M56" s="60">
        <f t="shared" si="8"/>
        <v>-10112.237762237783</v>
      </c>
      <c r="N56" s="61">
        <f t="shared" si="9"/>
        <v>0.95746911764705878</v>
      </c>
      <c r="O56" s="80"/>
      <c r="P56" s="59">
        <f>IF(D56=0,0,SUM($L$52:L56))</f>
        <v>951048.95104895113</v>
      </c>
      <c r="Q56" s="59">
        <f>IF(D56=0,0,SUM($J$52:J56))</f>
        <v>663580</v>
      </c>
      <c r="R56" s="63">
        <f t="shared" si="10"/>
        <v>-287468.95104895113</v>
      </c>
      <c r="S56" s="64">
        <f t="shared" si="16"/>
        <v>0.69773485294117643</v>
      </c>
      <c r="T56" s="73"/>
      <c r="U56" s="59">
        <f>IF(D56=0,0,SUM($L$21:L56))</f>
        <v>6797202.7972027957</v>
      </c>
      <c r="V56" s="59">
        <f>IF(D56=0,0,SUM($J$21:J56))</f>
        <v>6669210</v>
      </c>
      <c r="W56" s="66">
        <f t="shared" si="11"/>
        <v>-127992.79720279574</v>
      </c>
      <c r="X56" s="67">
        <f t="shared" si="17"/>
        <v>0.98116978395061749</v>
      </c>
      <c r="Y56" s="68">
        <f t="shared" si="21"/>
        <v>45693</v>
      </c>
      <c r="Z56" s="69">
        <f t="shared" si="21"/>
        <v>45693</v>
      </c>
      <c r="AA56" s="1"/>
      <c r="AB56" s="1"/>
      <c r="AC56" s="1"/>
      <c r="AD56" s="1"/>
      <c r="AE56" s="1"/>
      <c r="AF56" s="1"/>
      <c r="AG56" s="1"/>
    </row>
    <row r="57" spans="1:33" ht="20">
      <c r="A57" s="1"/>
      <c r="B57" s="11"/>
      <c r="C57" s="50">
        <v>37</v>
      </c>
      <c r="D57" s="51">
        <v>1</v>
      </c>
      <c r="E57" s="52">
        <f t="shared" si="12"/>
        <v>2</v>
      </c>
      <c r="F57" s="53">
        <f t="shared" si="13"/>
        <v>45694</v>
      </c>
      <c r="G57" s="54" t="str">
        <f t="shared" si="14"/>
        <v>Thu</v>
      </c>
      <c r="H57" s="55"/>
      <c r="I57" s="56"/>
      <c r="J57" s="82">
        <v>339200</v>
      </c>
      <c r="K57" s="83"/>
      <c r="L57" s="59">
        <f t="shared" si="20"/>
        <v>237762.23776223778</v>
      </c>
      <c r="M57" s="60">
        <f t="shared" si="8"/>
        <v>101437.76223776222</v>
      </c>
      <c r="N57" s="61">
        <f t="shared" si="9"/>
        <v>1.426635294117647</v>
      </c>
      <c r="O57" s="80"/>
      <c r="P57" s="59">
        <f>IF(D57=0,0,SUM($L$52:L57))</f>
        <v>1188811.188811189</v>
      </c>
      <c r="Q57" s="59">
        <f>IF(D57=0,0,SUM($J$52:J57))</f>
        <v>1002780</v>
      </c>
      <c r="R57" s="63">
        <f t="shared" si="10"/>
        <v>-186031.18881118903</v>
      </c>
      <c r="S57" s="64">
        <f t="shared" si="16"/>
        <v>0.84351494117647041</v>
      </c>
      <c r="T57" s="73"/>
      <c r="U57" s="59">
        <f>IF(D57=0,0,SUM($L$21:L57))</f>
        <v>7034965.0349650336</v>
      </c>
      <c r="V57" s="59">
        <f>IF(D57=0,0,SUM($J$21:J57))</f>
        <v>7008410</v>
      </c>
      <c r="W57" s="66">
        <f t="shared" si="11"/>
        <v>-26555.034965033643</v>
      </c>
      <c r="X57" s="67">
        <f t="shared" si="17"/>
        <v>0.99622527833002006</v>
      </c>
      <c r="Y57" s="68">
        <f t="shared" si="21"/>
        <v>45694</v>
      </c>
      <c r="Z57" s="69">
        <f t="shared" si="21"/>
        <v>45694</v>
      </c>
      <c r="AA57" s="1"/>
      <c r="AB57" s="1"/>
      <c r="AC57" s="1"/>
      <c r="AD57" s="1"/>
      <c r="AE57" s="1"/>
      <c r="AF57" s="1"/>
      <c r="AG57" s="1"/>
    </row>
    <row r="58" spans="1:33" ht="20">
      <c r="A58" s="1"/>
      <c r="B58" s="11"/>
      <c r="C58" s="50">
        <v>38</v>
      </c>
      <c r="D58" s="51">
        <v>1</v>
      </c>
      <c r="E58" s="52">
        <f t="shared" si="12"/>
        <v>2</v>
      </c>
      <c r="F58" s="53">
        <f t="shared" si="13"/>
        <v>45695</v>
      </c>
      <c r="G58" s="54" t="str">
        <f t="shared" si="14"/>
        <v>Fri</v>
      </c>
      <c r="H58" s="55"/>
      <c r="I58" s="56"/>
      <c r="J58" s="82">
        <v>330170</v>
      </c>
      <c r="K58" s="83"/>
      <c r="L58" s="59">
        <f t="shared" si="20"/>
        <v>237762.23776223778</v>
      </c>
      <c r="M58" s="60">
        <f t="shared" si="8"/>
        <v>92407.762237762217</v>
      </c>
      <c r="N58" s="61">
        <f t="shared" si="9"/>
        <v>1.388656176470588</v>
      </c>
      <c r="O58" s="80"/>
      <c r="P58" s="59">
        <f>IF(D58=0,0,SUM($L$52:L58))</f>
        <v>1426573.4265734269</v>
      </c>
      <c r="Q58" s="59">
        <f>IF(D58=0,0,SUM($J$52:J58))</f>
        <v>1332950</v>
      </c>
      <c r="R58" s="63">
        <f t="shared" si="10"/>
        <v>-93623.426573426928</v>
      </c>
      <c r="S58" s="64">
        <f t="shared" si="16"/>
        <v>0.93437181372548994</v>
      </c>
      <c r="T58" s="73"/>
      <c r="U58" s="59">
        <f>IF(D58=0,0,SUM($L$21:L58))</f>
        <v>7272727.2727272715</v>
      </c>
      <c r="V58" s="59">
        <f>IF(D58=0,0,SUM($J$21:J58))</f>
        <v>7338580</v>
      </c>
      <c r="W58" s="66">
        <f t="shared" si="11"/>
        <v>65852.727272728458</v>
      </c>
      <c r="X58" s="67">
        <f t="shared" si="17"/>
        <v>1.0090547500000002</v>
      </c>
      <c r="Y58" s="68">
        <f t="shared" si="21"/>
        <v>45695</v>
      </c>
      <c r="Z58" s="69">
        <f t="shared" si="21"/>
        <v>45695</v>
      </c>
      <c r="AA58" s="1"/>
      <c r="AB58" s="1"/>
      <c r="AC58" s="1"/>
      <c r="AD58" s="1"/>
      <c r="AE58" s="1"/>
      <c r="AF58" s="1"/>
      <c r="AG58" s="1"/>
    </row>
    <row r="59" spans="1:33" ht="20">
      <c r="A59" s="1"/>
      <c r="B59" s="11"/>
      <c r="C59" s="50">
        <v>39</v>
      </c>
      <c r="D59" s="51">
        <v>1</v>
      </c>
      <c r="E59" s="52">
        <f t="shared" si="12"/>
        <v>2</v>
      </c>
      <c r="F59" s="53">
        <f t="shared" si="13"/>
        <v>45696</v>
      </c>
      <c r="G59" s="54" t="str">
        <f t="shared" si="14"/>
        <v>Sat</v>
      </c>
      <c r="H59" s="55"/>
      <c r="I59" s="56"/>
      <c r="J59" s="82">
        <v>156800</v>
      </c>
      <c r="K59" s="83"/>
      <c r="L59" s="59">
        <f t="shared" si="20"/>
        <v>237762.23776223778</v>
      </c>
      <c r="M59" s="60">
        <f t="shared" si="8"/>
        <v>-80962.237762237783</v>
      </c>
      <c r="N59" s="61">
        <f t="shared" si="9"/>
        <v>0.65948235294117641</v>
      </c>
      <c r="O59" s="80"/>
      <c r="P59" s="59">
        <f>IF(D59=0,0,SUM($L$52:L59))</f>
        <v>1664335.6643356648</v>
      </c>
      <c r="Q59" s="59">
        <f>IF(D59=0,0,SUM($J$52:J59))</f>
        <v>1489750</v>
      </c>
      <c r="R59" s="63">
        <f t="shared" si="10"/>
        <v>-174585.66433566483</v>
      </c>
      <c r="S59" s="64">
        <f t="shared" si="16"/>
        <v>0.89510189075630231</v>
      </c>
      <c r="T59" s="73"/>
      <c r="U59" s="59">
        <f>IF(D59=0,0,SUM($L$21:L59))</f>
        <v>7510489.5104895094</v>
      </c>
      <c r="V59" s="59">
        <f>IF(D59=0,0,SUM($J$21:J59))</f>
        <v>7495380</v>
      </c>
      <c r="W59" s="66">
        <f t="shared" si="11"/>
        <v>-15109.510489509441</v>
      </c>
      <c r="X59" s="67">
        <f t="shared" si="17"/>
        <v>0.99798821229050294</v>
      </c>
      <c r="Y59" s="68">
        <f t="shared" si="21"/>
        <v>45696</v>
      </c>
      <c r="Z59" s="69">
        <f t="shared" si="21"/>
        <v>45696</v>
      </c>
      <c r="AA59" s="1"/>
      <c r="AB59" s="1"/>
      <c r="AC59" s="1"/>
      <c r="AD59" s="1"/>
      <c r="AE59" s="1"/>
      <c r="AF59" s="1"/>
      <c r="AG59" s="1"/>
    </row>
    <row r="60" spans="1:33" ht="20">
      <c r="A60" s="1"/>
      <c r="B60" s="11"/>
      <c r="C60" s="50">
        <v>40</v>
      </c>
      <c r="D60" s="51">
        <v>0</v>
      </c>
      <c r="E60" s="52">
        <f t="shared" si="12"/>
        <v>2</v>
      </c>
      <c r="F60" s="53">
        <f t="shared" si="13"/>
        <v>45697</v>
      </c>
      <c r="G60" s="54" t="str">
        <f t="shared" si="14"/>
        <v>Sun</v>
      </c>
      <c r="H60" s="55"/>
      <c r="I60" s="56"/>
      <c r="J60" s="82">
        <v>0</v>
      </c>
      <c r="K60" s="83"/>
      <c r="L60" s="59">
        <f t="shared" si="20"/>
        <v>0</v>
      </c>
      <c r="M60" s="60">
        <f t="shared" si="8"/>
        <v>0</v>
      </c>
      <c r="N60" s="61" t="str">
        <f t="shared" si="9"/>
        <v>¥0</v>
      </c>
      <c r="O60" s="81"/>
      <c r="P60" s="59">
        <f>IF(D60=0,0,SUM($L$52:L60))</f>
        <v>0</v>
      </c>
      <c r="Q60" s="59">
        <f>IF(D60=0,0,SUM($J$52:J60))</f>
        <v>0</v>
      </c>
      <c r="R60" s="63">
        <f t="shared" si="10"/>
        <v>0</v>
      </c>
      <c r="S60" s="64">
        <f t="shared" si="16"/>
        <v>0</v>
      </c>
      <c r="T60" s="78"/>
      <c r="U60" s="59">
        <f>IF(D60=0,0,SUM($L$21:L60))</f>
        <v>0</v>
      </c>
      <c r="V60" s="59">
        <f>IF(D60=0,0,SUM($J$21:J60))</f>
        <v>0</v>
      </c>
      <c r="W60" s="66">
        <f t="shared" si="11"/>
        <v>0</v>
      </c>
      <c r="X60" s="67">
        <f t="shared" si="17"/>
        <v>0</v>
      </c>
      <c r="Y60" s="68">
        <f t="shared" si="21"/>
        <v>45697</v>
      </c>
      <c r="Z60" s="69">
        <f t="shared" si="21"/>
        <v>45697</v>
      </c>
      <c r="AA60" s="1"/>
      <c r="AB60" s="1"/>
      <c r="AC60" s="1"/>
      <c r="AD60" s="1"/>
      <c r="AE60" s="1"/>
      <c r="AF60" s="1"/>
      <c r="AG60" s="1"/>
    </row>
    <row r="61" spans="1:33" ht="20">
      <c r="A61" s="1"/>
      <c r="B61" s="11"/>
      <c r="C61" s="50">
        <v>41</v>
      </c>
      <c r="D61" s="51">
        <v>1</v>
      </c>
      <c r="E61" s="52">
        <f t="shared" si="12"/>
        <v>2</v>
      </c>
      <c r="F61" s="53">
        <f t="shared" si="13"/>
        <v>45698</v>
      </c>
      <c r="G61" s="54" t="str">
        <f t="shared" si="14"/>
        <v>Mon</v>
      </c>
      <c r="H61" s="55"/>
      <c r="I61" s="56"/>
      <c r="J61" s="82">
        <v>99600</v>
      </c>
      <c r="K61" s="83"/>
      <c r="L61" s="59">
        <f t="shared" si="20"/>
        <v>237762.23776223778</v>
      </c>
      <c r="M61" s="60">
        <f t="shared" si="8"/>
        <v>-138162.23776223778</v>
      </c>
      <c r="N61" s="61">
        <f t="shared" si="9"/>
        <v>0.41890588235294113</v>
      </c>
      <c r="O61" s="80"/>
      <c r="P61" s="59">
        <f>IF(D61=0,0,SUM($L$52:L61))</f>
        <v>1902097.9020979027</v>
      </c>
      <c r="Q61" s="59">
        <f>IF(D61=0,0,SUM($J$52:J61))</f>
        <v>1589350</v>
      </c>
      <c r="R61" s="63">
        <f t="shared" si="10"/>
        <v>-312747.90209790273</v>
      </c>
      <c r="S61" s="64">
        <f t="shared" si="16"/>
        <v>0.83557738970588202</v>
      </c>
      <c r="T61" s="73"/>
      <c r="U61" s="59">
        <f>IF(D61=0,0,SUM($L$21:L61))</f>
        <v>7748251.7482517473</v>
      </c>
      <c r="V61" s="59">
        <f>IF(D61=0,0,SUM($J$21:J61))</f>
        <v>7594980</v>
      </c>
      <c r="W61" s="66">
        <f t="shared" si="11"/>
        <v>-153271.74825174734</v>
      </c>
      <c r="X61" s="67">
        <f t="shared" si="17"/>
        <v>0.98021853790613733</v>
      </c>
      <c r="Y61" s="68">
        <f t="shared" si="21"/>
        <v>45698</v>
      </c>
      <c r="Z61" s="69">
        <f t="shared" si="21"/>
        <v>45698</v>
      </c>
      <c r="AA61" s="1"/>
      <c r="AB61" s="1"/>
      <c r="AC61" s="1"/>
      <c r="AD61" s="1"/>
      <c r="AE61" s="1"/>
      <c r="AF61" s="1"/>
      <c r="AG61" s="1"/>
    </row>
    <row r="62" spans="1:33" ht="20">
      <c r="A62" s="1"/>
      <c r="B62" s="11"/>
      <c r="C62" s="50">
        <v>42</v>
      </c>
      <c r="D62" s="51">
        <v>0</v>
      </c>
      <c r="E62" s="52">
        <f t="shared" si="12"/>
        <v>2</v>
      </c>
      <c r="F62" s="53">
        <f t="shared" si="13"/>
        <v>45699</v>
      </c>
      <c r="G62" s="54" t="str">
        <f t="shared" si="14"/>
        <v>Tue</v>
      </c>
      <c r="H62" s="55"/>
      <c r="I62" s="56"/>
      <c r="J62" s="82">
        <v>0</v>
      </c>
      <c r="K62" s="83"/>
      <c r="L62" s="59">
        <f t="shared" si="20"/>
        <v>0</v>
      </c>
      <c r="M62" s="60">
        <f t="shared" si="8"/>
        <v>0</v>
      </c>
      <c r="N62" s="61" t="str">
        <f t="shared" si="9"/>
        <v>¥0</v>
      </c>
      <c r="O62" s="81"/>
      <c r="P62" s="59">
        <f>IF(D62=0,0,SUM($L$52:L62))</f>
        <v>0</v>
      </c>
      <c r="Q62" s="59">
        <f>IF(D62=0,0,SUM($J$52:J62))</f>
        <v>0</v>
      </c>
      <c r="R62" s="63">
        <f t="shared" si="10"/>
        <v>0</v>
      </c>
      <c r="S62" s="64">
        <f t="shared" si="16"/>
        <v>0</v>
      </c>
      <c r="T62" s="78"/>
      <c r="U62" s="59">
        <f>IF(D62=0,0,SUM($L$21:L62))</f>
        <v>0</v>
      </c>
      <c r="V62" s="59">
        <f>IF(D62=0,0,SUM($J$21:J62))</f>
        <v>0</v>
      </c>
      <c r="W62" s="66">
        <f t="shared" si="11"/>
        <v>0</v>
      </c>
      <c r="X62" s="67">
        <f t="shared" si="17"/>
        <v>0</v>
      </c>
      <c r="Y62" s="68">
        <f t="shared" si="21"/>
        <v>45699</v>
      </c>
      <c r="Z62" s="69">
        <f t="shared" si="21"/>
        <v>45699</v>
      </c>
      <c r="AA62" s="1"/>
      <c r="AB62" s="1"/>
      <c r="AC62" s="1"/>
      <c r="AD62" s="1"/>
      <c r="AE62" s="1"/>
      <c r="AF62" s="1"/>
      <c r="AG62" s="1"/>
    </row>
    <row r="63" spans="1:33" ht="20">
      <c r="A63" s="1"/>
      <c r="B63" s="11"/>
      <c r="C63" s="50">
        <v>43</v>
      </c>
      <c r="D63" s="51">
        <v>1</v>
      </c>
      <c r="E63" s="52">
        <f t="shared" si="12"/>
        <v>2</v>
      </c>
      <c r="F63" s="53">
        <f t="shared" si="13"/>
        <v>45700</v>
      </c>
      <c r="G63" s="54" t="str">
        <f t="shared" si="14"/>
        <v>Wed</v>
      </c>
      <c r="H63" s="55"/>
      <c r="I63" s="56"/>
      <c r="J63" s="82">
        <v>323330</v>
      </c>
      <c r="K63" s="83"/>
      <c r="L63" s="59">
        <f t="shared" si="20"/>
        <v>237762.23776223778</v>
      </c>
      <c r="M63" s="60">
        <f t="shared" si="8"/>
        <v>85567.762237762217</v>
      </c>
      <c r="N63" s="61">
        <f t="shared" si="9"/>
        <v>1.3598879411764704</v>
      </c>
      <c r="O63" s="80"/>
      <c r="P63" s="59">
        <f>IF(D63=0,0,SUM($L$52:L63))</f>
        <v>2139860.1398601406</v>
      </c>
      <c r="Q63" s="59">
        <f>IF(D63=0,0,SUM($J$52:J63))</f>
        <v>1912680</v>
      </c>
      <c r="R63" s="63">
        <f t="shared" si="10"/>
        <v>-227180.13986014063</v>
      </c>
      <c r="S63" s="64">
        <f t="shared" si="16"/>
        <v>0.89383411764705856</v>
      </c>
      <c r="T63" s="73"/>
      <c r="U63" s="59">
        <f>IF(D63=0,0,SUM($L$21:L63))</f>
        <v>7986013.9860139852</v>
      </c>
      <c r="V63" s="59">
        <f>IF(D63=0,0,SUM($J$21:J63))</f>
        <v>7918310</v>
      </c>
      <c r="W63" s="66">
        <f t="shared" si="11"/>
        <v>-67703.986013985239</v>
      </c>
      <c r="X63" s="67">
        <f t="shared" si="17"/>
        <v>0.99152218038528905</v>
      </c>
      <c r="Y63" s="68">
        <f t="shared" si="21"/>
        <v>45700</v>
      </c>
      <c r="Z63" s="69">
        <f t="shared" si="21"/>
        <v>45700</v>
      </c>
      <c r="AA63" s="1"/>
      <c r="AB63" s="1"/>
      <c r="AC63" s="1"/>
      <c r="AD63" s="1"/>
      <c r="AE63" s="1"/>
      <c r="AF63" s="1"/>
      <c r="AG63" s="1"/>
    </row>
    <row r="64" spans="1:33" ht="20">
      <c r="A64" s="1"/>
      <c r="B64" s="11"/>
      <c r="C64" s="50">
        <v>44</v>
      </c>
      <c r="D64" s="51">
        <v>1</v>
      </c>
      <c r="E64" s="52">
        <f t="shared" si="12"/>
        <v>2</v>
      </c>
      <c r="F64" s="53">
        <f t="shared" si="13"/>
        <v>45701</v>
      </c>
      <c r="G64" s="54" t="str">
        <f t="shared" si="14"/>
        <v>Thu</v>
      </c>
      <c r="H64" s="55"/>
      <c r="I64" s="56"/>
      <c r="J64" s="82">
        <v>346290</v>
      </c>
      <c r="K64" s="83"/>
      <c r="L64" s="59">
        <f t="shared" si="20"/>
        <v>237762.23776223778</v>
      </c>
      <c r="M64" s="60">
        <f t="shared" si="8"/>
        <v>108527.76223776222</v>
      </c>
      <c r="N64" s="61">
        <f t="shared" si="9"/>
        <v>1.4564549999999998</v>
      </c>
      <c r="O64" s="80"/>
      <c r="P64" s="59">
        <f>IF(D64=0,0,SUM($L$52:L64))</f>
        <v>2377622.3776223785</v>
      </c>
      <c r="Q64" s="59">
        <f>IF(D64=0,0,SUM($J$52:J64))</f>
        <v>2258970</v>
      </c>
      <c r="R64" s="63">
        <f t="shared" si="10"/>
        <v>-118652.37762237852</v>
      </c>
      <c r="S64" s="64">
        <f t="shared" si="16"/>
        <v>0.95009620588235255</v>
      </c>
      <c r="T64" s="73"/>
      <c r="U64" s="59">
        <f>IF(D64=0,0,SUM($L$21:L64))</f>
        <v>8223776.2237762231</v>
      </c>
      <c r="V64" s="59">
        <f>IF(D64=0,0,SUM($J$21:J64))</f>
        <v>8264600</v>
      </c>
      <c r="W64" s="66">
        <f t="shared" si="11"/>
        <v>40823.776223776862</v>
      </c>
      <c r="X64" s="67">
        <f t="shared" si="17"/>
        <v>1.0049641156462585</v>
      </c>
      <c r="Y64" s="68">
        <f t="shared" si="21"/>
        <v>45701</v>
      </c>
      <c r="Z64" s="69">
        <f t="shared" si="21"/>
        <v>45701</v>
      </c>
      <c r="AA64" s="1"/>
      <c r="AB64" s="1"/>
      <c r="AC64" s="1"/>
      <c r="AD64" s="1"/>
      <c r="AE64" s="1"/>
      <c r="AF64" s="1"/>
      <c r="AG64" s="1"/>
    </row>
    <row r="65" spans="1:33" ht="20">
      <c r="A65" s="1"/>
      <c r="B65" s="11"/>
      <c r="C65" s="50">
        <v>45</v>
      </c>
      <c r="D65" s="51">
        <v>1</v>
      </c>
      <c r="E65" s="52">
        <f t="shared" si="12"/>
        <v>2</v>
      </c>
      <c r="F65" s="53">
        <f t="shared" si="13"/>
        <v>45702</v>
      </c>
      <c r="G65" s="54" t="str">
        <f t="shared" si="14"/>
        <v>Fri</v>
      </c>
      <c r="H65" s="55"/>
      <c r="I65" s="56"/>
      <c r="J65" s="82">
        <v>324250</v>
      </c>
      <c r="K65" s="83"/>
      <c r="L65" s="59">
        <f t="shared" si="20"/>
        <v>237762.23776223778</v>
      </c>
      <c r="M65" s="60">
        <f t="shared" si="8"/>
        <v>86487.762237762217</v>
      </c>
      <c r="N65" s="61">
        <f t="shared" si="9"/>
        <v>1.3637573529411764</v>
      </c>
      <c r="O65" s="80"/>
      <c r="P65" s="59">
        <f>IF(D65=0,0,SUM($L$52:L65))</f>
        <v>2615384.6153846164</v>
      </c>
      <c r="Q65" s="59">
        <f>IF(D65=0,0,SUM($J$52:J65))</f>
        <v>2583220</v>
      </c>
      <c r="R65" s="63">
        <f t="shared" si="10"/>
        <v>-32164.615384616423</v>
      </c>
      <c r="S65" s="64">
        <f t="shared" si="16"/>
        <v>0.987701764705882</v>
      </c>
      <c r="T65" s="73"/>
      <c r="U65" s="59">
        <f>IF(D65=0,0,SUM($L$21:L65))</f>
        <v>8461538.4615384601</v>
      </c>
      <c r="V65" s="59">
        <f>IF(D65=0,0,SUM($J$21:J65))</f>
        <v>8588850</v>
      </c>
      <c r="W65" s="66">
        <f t="shared" si="11"/>
        <v>127311.53846153989</v>
      </c>
      <c r="X65" s="67">
        <f t="shared" si="17"/>
        <v>1.0150459090909092</v>
      </c>
      <c r="Y65" s="68">
        <f t="shared" si="21"/>
        <v>45702</v>
      </c>
      <c r="Z65" s="69">
        <f t="shared" si="21"/>
        <v>45702</v>
      </c>
      <c r="AA65" s="1"/>
      <c r="AB65" s="1"/>
      <c r="AC65" s="1"/>
      <c r="AD65" s="1"/>
      <c r="AE65" s="1"/>
      <c r="AF65" s="1"/>
      <c r="AG65" s="1"/>
    </row>
    <row r="66" spans="1:33" ht="20">
      <c r="A66" s="1"/>
      <c r="B66" s="11"/>
      <c r="C66" s="50">
        <v>46</v>
      </c>
      <c r="D66" s="51">
        <v>1</v>
      </c>
      <c r="E66" s="52">
        <f t="shared" si="12"/>
        <v>2</v>
      </c>
      <c r="F66" s="53">
        <f t="shared" si="13"/>
        <v>45703</v>
      </c>
      <c r="G66" s="54" t="str">
        <f t="shared" si="14"/>
        <v>Sat</v>
      </c>
      <c r="H66" s="55"/>
      <c r="I66" s="56"/>
      <c r="J66" s="82">
        <v>59330</v>
      </c>
      <c r="K66" s="83"/>
      <c r="L66" s="59">
        <f t="shared" si="20"/>
        <v>237762.23776223778</v>
      </c>
      <c r="M66" s="60">
        <f t="shared" si="8"/>
        <v>-178432.23776223778</v>
      </c>
      <c r="N66" s="61">
        <f t="shared" si="9"/>
        <v>0.24953499999999998</v>
      </c>
      <c r="O66" s="80"/>
      <c r="P66" s="59">
        <f>IF(D66=0,0,SUM($L$52:L66))</f>
        <v>2853146.8531468543</v>
      </c>
      <c r="Q66" s="59">
        <f>IF(D66=0,0,SUM($J$52:J66))</f>
        <v>2642550</v>
      </c>
      <c r="R66" s="63">
        <f t="shared" si="10"/>
        <v>-210596.85314685432</v>
      </c>
      <c r="S66" s="64">
        <f t="shared" si="16"/>
        <v>0.9261878676470584</v>
      </c>
      <c r="T66" s="73"/>
      <c r="U66" s="59">
        <f>IF(D66=0,0,SUM($L$21:L66))</f>
        <v>8699300.6993006971</v>
      </c>
      <c r="V66" s="59">
        <f>IF(D66=0,0,SUM($J$21:J66))</f>
        <v>8648180</v>
      </c>
      <c r="W66" s="66">
        <f t="shared" si="11"/>
        <v>-51120.699300697073</v>
      </c>
      <c r="X66" s="67">
        <f t="shared" si="17"/>
        <v>0.99412358520900346</v>
      </c>
      <c r="Y66" s="68">
        <f t="shared" si="21"/>
        <v>45703</v>
      </c>
      <c r="Z66" s="69">
        <f t="shared" si="21"/>
        <v>45703</v>
      </c>
      <c r="AA66" s="1"/>
      <c r="AB66" s="1"/>
      <c r="AC66" s="1"/>
      <c r="AD66" s="1"/>
      <c r="AE66" s="1"/>
      <c r="AF66" s="1"/>
      <c r="AG66" s="1"/>
    </row>
    <row r="67" spans="1:33" ht="20">
      <c r="A67" s="1"/>
      <c r="B67" s="11"/>
      <c r="C67" s="50">
        <v>47</v>
      </c>
      <c r="D67" s="51">
        <v>0</v>
      </c>
      <c r="E67" s="52">
        <f t="shared" si="12"/>
        <v>2</v>
      </c>
      <c r="F67" s="53">
        <f t="shared" si="13"/>
        <v>45704</v>
      </c>
      <c r="G67" s="54" t="str">
        <f t="shared" si="14"/>
        <v>Sun</v>
      </c>
      <c r="H67" s="55"/>
      <c r="I67" s="56"/>
      <c r="J67" s="82">
        <v>0</v>
      </c>
      <c r="K67" s="83"/>
      <c r="L67" s="59">
        <f t="shared" si="20"/>
        <v>0</v>
      </c>
      <c r="M67" s="60">
        <f t="shared" si="8"/>
        <v>0</v>
      </c>
      <c r="N67" s="61" t="str">
        <f t="shared" si="9"/>
        <v>¥0</v>
      </c>
      <c r="O67" s="81"/>
      <c r="P67" s="59">
        <f>IF(D67=0,0,SUM($L$52:L67))</f>
        <v>0</v>
      </c>
      <c r="Q67" s="59">
        <f>IF(D67=0,0,SUM($J$52:J67))</f>
        <v>0</v>
      </c>
      <c r="R67" s="63">
        <f t="shared" si="10"/>
        <v>0</v>
      </c>
      <c r="S67" s="64">
        <f t="shared" si="16"/>
        <v>0</v>
      </c>
      <c r="T67" s="78"/>
      <c r="U67" s="59">
        <f>IF(D67=0,0,SUM($L$21:L67))</f>
        <v>0</v>
      </c>
      <c r="V67" s="59">
        <f>IF(D67=0,0,SUM($J$21:J67))</f>
        <v>0</v>
      </c>
      <c r="W67" s="66">
        <f t="shared" si="11"/>
        <v>0</v>
      </c>
      <c r="X67" s="67">
        <f t="shared" si="17"/>
        <v>0</v>
      </c>
      <c r="Y67" s="68">
        <f t="shared" si="21"/>
        <v>45704</v>
      </c>
      <c r="Z67" s="69">
        <f t="shared" si="21"/>
        <v>45704</v>
      </c>
      <c r="AA67" s="1"/>
      <c r="AB67" s="1"/>
      <c r="AC67" s="1"/>
      <c r="AD67" s="1"/>
      <c r="AE67" s="1"/>
      <c r="AF67" s="1"/>
      <c r="AG67" s="1"/>
    </row>
    <row r="68" spans="1:33" ht="20">
      <c r="A68" s="1"/>
      <c r="B68" s="11"/>
      <c r="C68" s="50">
        <v>48</v>
      </c>
      <c r="D68" s="51">
        <v>1</v>
      </c>
      <c r="E68" s="52">
        <f t="shared" si="12"/>
        <v>2</v>
      </c>
      <c r="F68" s="53">
        <f t="shared" si="13"/>
        <v>45705</v>
      </c>
      <c r="G68" s="54" t="str">
        <f t="shared" si="14"/>
        <v>Mon</v>
      </c>
      <c r="H68" s="55"/>
      <c r="I68" s="56"/>
      <c r="J68" s="82">
        <v>209260</v>
      </c>
      <c r="K68" s="83"/>
      <c r="L68" s="59">
        <f t="shared" si="20"/>
        <v>237762.23776223778</v>
      </c>
      <c r="M68" s="60">
        <f t="shared" si="8"/>
        <v>-28502.237762237783</v>
      </c>
      <c r="N68" s="61">
        <f t="shared" si="9"/>
        <v>0.8801229411764705</v>
      </c>
      <c r="O68" s="80"/>
      <c r="P68" s="59">
        <f>IF(D68=0,0,SUM($L$52:L68))</f>
        <v>3090909.0909090922</v>
      </c>
      <c r="Q68" s="59">
        <f>IF(D68=0,0,SUM($J$52:J68))</f>
        <v>2851810</v>
      </c>
      <c r="R68" s="63">
        <f t="shared" si="10"/>
        <v>-239099.09090909222</v>
      </c>
      <c r="S68" s="64">
        <f t="shared" si="16"/>
        <v>0.92264441176470546</v>
      </c>
      <c r="T68" s="73"/>
      <c r="U68" s="59">
        <f>IF(D68=0,0,SUM($L$21:L68))</f>
        <v>8937062.937062934</v>
      </c>
      <c r="V68" s="59">
        <f>IF(D68=0,0,SUM($J$21:J68))</f>
        <v>8857440</v>
      </c>
      <c r="W68" s="66">
        <f t="shared" si="11"/>
        <v>-79622.937062934041</v>
      </c>
      <c r="X68" s="67">
        <f t="shared" si="17"/>
        <v>0.99109070422535239</v>
      </c>
      <c r="Y68" s="68">
        <f t="shared" si="21"/>
        <v>45705</v>
      </c>
      <c r="Z68" s="69">
        <f t="shared" si="21"/>
        <v>45705</v>
      </c>
      <c r="AA68" s="1"/>
      <c r="AB68" s="1"/>
      <c r="AC68" s="1"/>
      <c r="AD68" s="1"/>
      <c r="AE68" s="1"/>
      <c r="AF68" s="1"/>
      <c r="AG68" s="1"/>
    </row>
    <row r="69" spans="1:33" ht="20">
      <c r="A69" s="1"/>
      <c r="B69" s="11"/>
      <c r="C69" s="50">
        <v>49</v>
      </c>
      <c r="D69" s="51">
        <v>1</v>
      </c>
      <c r="E69" s="52">
        <f t="shared" si="12"/>
        <v>2</v>
      </c>
      <c r="F69" s="53">
        <f t="shared" si="13"/>
        <v>45706</v>
      </c>
      <c r="G69" s="54" t="str">
        <f t="shared" si="14"/>
        <v>Tue</v>
      </c>
      <c r="H69" s="55"/>
      <c r="I69" s="56"/>
      <c r="J69" s="82">
        <v>124000</v>
      </c>
      <c r="K69" s="83"/>
      <c r="L69" s="59">
        <f t="shared" si="20"/>
        <v>237762.23776223778</v>
      </c>
      <c r="M69" s="60">
        <f t="shared" si="8"/>
        <v>-113762.23776223778</v>
      </c>
      <c r="N69" s="61">
        <f t="shared" si="9"/>
        <v>0.5215294117647058</v>
      </c>
      <c r="O69" s="80"/>
      <c r="P69" s="59">
        <f>IF(D69=0,0,SUM($L$52:L69))</f>
        <v>3328671.3286713301</v>
      </c>
      <c r="Q69" s="59">
        <f>IF(D69=0,0,SUM($J$52:J69))</f>
        <v>2975810</v>
      </c>
      <c r="R69" s="63">
        <f t="shared" si="10"/>
        <v>-352861.32867133012</v>
      </c>
      <c r="S69" s="64">
        <f t="shared" si="16"/>
        <v>0.89399334033613409</v>
      </c>
      <c r="T69" s="73"/>
      <c r="U69" s="59">
        <f>IF(D69=0,0,SUM($L$21:L69))</f>
        <v>9174825.174825171</v>
      </c>
      <c r="V69" s="59">
        <f>IF(D69=0,0,SUM($J$21:J69))</f>
        <v>8981440</v>
      </c>
      <c r="W69" s="66">
        <f t="shared" si="11"/>
        <v>-193385.17482517101</v>
      </c>
      <c r="X69" s="67">
        <f t="shared" si="17"/>
        <v>0.97892219512195167</v>
      </c>
      <c r="Y69" s="68">
        <f t="shared" si="21"/>
        <v>45706</v>
      </c>
      <c r="Z69" s="69">
        <f t="shared" si="21"/>
        <v>45706</v>
      </c>
      <c r="AA69" s="1"/>
      <c r="AB69" s="1"/>
      <c r="AC69" s="1"/>
      <c r="AD69" s="1"/>
      <c r="AE69" s="1"/>
      <c r="AF69" s="1"/>
      <c r="AG69" s="1"/>
    </row>
    <row r="70" spans="1:33" ht="20">
      <c r="A70" s="1"/>
      <c r="B70" s="11"/>
      <c r="C70" s="50">
        <v>50</v>
      </c>
      <c r="D70" s="51">
        <v>1</v>
      </c>
      <c r="E70" s="52">
        <f t="shared" si="12"/>
        <v>2</v>
      </c>
      <c r="F70" s="53">
        <f t="shared" si="13"/>
        <v>45707</v>
      </c>
      <c r="G70" s="54" t="str">
        <f t="shared" si="14"/>
        <v>Wed</v>
      </c>
      <c r="H70" s="55"/>
      <c r="I70" s="56"/>
      <c r="J70" s="82">
        <v>233000</v>
      </c>
      <c r="K70" s="83"/>
      <c r="L70" s="59">
        <f t="shared" si="20"/>
        <v>237762.23776223778</v>
      </c>
      <c r="M70" s="60">
        <f t="shared" si="8"/>
        <v>-4762.2377622377826</v>
      </c>
      <c r="N70" s="61">
        <f t="shared" si="9"/>
        <v>0.97997058823529404</v>
      </c>
      <c r="O70" s="80"/>
      <c r="P70" s="59">
        <f>IF(D70=0,0,SUM($L$52:L70))</f>
        <v>3566433.566433568</v>
      </c>
      <c r="Q70" s="59">
        <f>IF(D70=0,0,SUM($J$52:J70))</f>
        <v>3208810</v>
      </c>
      <c r="R70" s="63">
        <f t="shared" si="10"/>
        <v>-357623.56643356802</v>
      </c>
      <c r="S70" s="64">
        <f t="shared" si="16"/>
        <v>0.89972515686274468</v>
      </c>
      <c r="T70" s="73"/>
      <c r="U70" s="59">
        <f>IF(D70=0,0,SUM($L$21:L70))</f>
        <v>9412587.412587408</v>
      </c>
      <c r="V70" s="59">
        <f>IF(D70=0,0,SUM($J$21:J70))</f>
        <v>9214440</v>
      </c>
      <c r="W70" s="66">
        <f t="shared" si="11"/>
        <v>-198147.41258740798</v>
      </c>
      <c r="X70" s="67">
        <f t="shared" si="17"/>
        <v>0.97894867756315052</v>
      </c>
      <c r="Y70" s="68">
        <f t="shared" si="21"/>
        <v>45707</v>
      </c>
      <c r="Z70" s="69">
        <f t="shared" si="21"/>
        <v>45707</v>
      </c>
      <c r="AA70" s="1"/>
      <c r="AB70" s="1"/>
      <c r="AC70" s="1"/>
      <c r="AD70" s="1"/>
      <c r="AE70" s="1"/>
      <c r="AF70" s="1"/>
      <c r="AG70" s="1"/>
    </row>
    <row r="71" spans="1:33" ht="20">
      <c r="A71" s="1"/>
      <c r="B71" s="11"/>
      <c r="C71" s="50">
        <v>51</v>
      </c>
      <c r="D71" s="51">
        <v>1</v>
      </c>
      <c r="E71" s="52">
        <f t="shared" si="12"/>
        <v>2</v>
      </c>
      <c r="F71" s="53">
        <f t="shared" si="13"/>
        <v>45708</v>
      </c>
      <c r="G71" s="54" t="str">
        <f t="shared" si="14"/>
        <v>Thu</v>
      </c>
      <c r="H71" s="55"/>
      <c r="I71" s="56"/>
      <c r="J71" s="82">
        <v>425750</v>
      </c>
      <c r="K71" s="83"/>
      <c r="L71" s="59">
        <f t="shared" si="20"/>
        <v>237762.23776223778</v>
      </c>
      <c r="M71" s="60">
        <f t="shared" si="8"/>
        <v>187987.76223776222</v>
      </c>
      <c r="N71" s="61">
        <f t="shared" si="9"/>
        <v>1.7906544117647056</v>
      </c>
      <c r="O71" s="80"/>
      <c r="P71" s="59">
        <f>IF(D71=0,0,SUM($L$52:L71))</f>
        <v>3804195.8041958059</v>
      </c>
      <c r="Q71" s="59">
        <f>IF(D71=0,0,SUM($J$52:J71))</f>
        <v>3634560</v>
      </c>
      <c r="R71" s="63">
        <f t="shared" si="10"/>
        <v>-169635.80419580592</v>
      </c>
      <c r="S71" s="64">
        <f t="shared" si="16"/>
        <v>0.95540823529411723</v>
      </c>
      <c r="T71" s="73"/>
      <c r="U71" s="59">
        <f>IF(D71=0,0,SUM($L$21:L71))</f>
        <v>9650349.6503496449</v>
      </c>
      <c r="V71" s="59">
        <f>IF(D71=0,0,SUM($J$21:J71))</f>
        <v>9640190</v>
      </c>
      <c r="W71" s="66">
        <f t="shared" si="11"/>
        <v>-10159.650349644944</v>
      </c>
      <c r="X71" s="67">
        <f t="shared" si="17"/>
        <v>0.99894722463768171</v>
      </c>
      <c r="Y71" s="68">
        <f t="shared" ref="Y71:Z86" si="22">Y70+1</f>
        <v>45708</v>
      </c>
      <c r="Z71" s="69">
        <f t="shared" si="22"/>
        <v>45708</v>
      </c>
      <c r="AA71" s="1"/>
      <c r="AB71" s="1"/>
      <c r="AC71" s="1"/>
      <c r="AD71" s="1"/>
      <c r="AE71" s="1"/>
      <c r="AF71" s="1"/>
      <c r="AG71" s="1"/>
    </row>
    <row r="72" spans="1:33" ht="20">
      <c r="A72" s="1"/>
      <c r="B72" s="11"/>
      <c r="C72" s="50">
        <v>52</v>
      </c>
      <c r="D72" s="51">
        <v>1</v>
      </c>
      <c r="E72" s="52">
        <f t="shared" si="12"/>
        <v>2</v>
      </c>
      <c r="F72" s="53">
        <f t="shared" si="13"/>
        <v>45709</v>
      </c>
      <c r="G72" s="54" t="str">
        <f t="shared" si="14"/>
        <v>Fri</v>
      </c>
      <c r="H72" s="55"/>
      <c r="I72" s="56"/>
      <c r="J72" s="82">
        <v>260660</v>
      </c>
      <c r="K72" s="83"/>
      <c r="L72" s="59">
        <f t="shared" si="20"/>
        <v>237762.23776223778</v>
      </c>
      <c r="M72" s="60">
        <f t="shared" si="8"/>
        <v>22897.762237762217</v>
      </c>
      <c r="N72" s="61">
        <f t="shared" si="9"/>
        <v>1.096305294117647</v>
      </c>
      <c r="O72" s="80"/>
      <c r="P72" s="59">
        <f>IF(D72=0,0,SUM($L$52:L72))</f>
        <v>4041958.0419580438</v>
      </c>
      <c r="Q72" s="59">
        <f>IF(D72=0,0,SUM($J$52:J72))</f>
        <v>3895220</v>
      </c>
      <c r="R72" s="63">
        <f t="shared" si="10"/>
        <v>-146738.04195804382</v>
      </c>
      <c r="S72" s="64">
        <f t="shared" si="16"/>
        <v>0.96369629757785424</v>
      </c>
      <c r="T72" s="73"/>
      <c r="U72" s="59">
        <f>IF(D72=0,0,SUM($L$21:L72))</f>
        <v>9888111.8881118819</v>
      </c>
      <c r="V72" s="59">
        <f>IF(D72=0,0,SUM($J$21:J72))</f>
        <v>9900850</v>
      </c>
      <c r="W72" s="66">
        <f t="shared" si="11"/>
        <v>12738.111888118088</v>
      </c>
      <c r="X72" s="67">
        <f t="shared" si="17"/>
        <v>1.0012882248939186</v>
      </c>
      <c r="Y72" s="68">
        <f t="shared" si="22"/>
        <v>45709</v>
      </c>
      <c r="Z72" s="69">
        <f t="shared" si="22"/>
        <v>45709</v>
      </c>
      <c r="AA72" s="1"/>
      <c r="AB72" s="1"/>
      <c r="AC72" s="1"/>
      <c r="AD72" s="1"/>
      <c r="AE72" s="1"/>
      <c r="AF72" s="1"/>
      <c r="AG72" s="1"/>
    </row>
    <row r="73" spans="1:33" ht="20">
      <c r="A73" s="1"/>
      <c r="B73" s="11"/>
      <c r="C73" s="50">
        <v>53</v>
      </c>
      <c r="D73" s="51">
        <v>1</v>
      </c>
      <c r="E73" s="52">
        <f t="shared" si="12"/>
        <v>2</v>
      </c>
      <c r="F73" s="53">
        <f t="shared" si="13"/>
        <v>45710</v>
      </c>
      <c r="G73" s="54" t="str">
        <f t="shared" si="14"/>
        <v>Sat</v>
      </c>
      <c r="H73" s="55"/>
      <c r="I73" s="56"/>
      <c r="J73" s="82">
        <v>173500</v>
      </c>
      <c r="K73" s="83"/>
      <c r="L73" s="59">
        <f t="shared" si="20"/>
        <v>237762.23776223778</v>
      </c>
      <c r="M73" s="60">
        <f t="shared" si="8"/>
        <v>-64262.237762237783</v>
      </c>
      <c r="N73" s="61">
        <f t="shared" si="9"/>
        <v>0.72972058823529407</v>
      </c>
      <c r="O73" s="80"/>
      <c r="P73" s="59">
        <f>IF(D73=0,0,SUM($L$52:L73))</f>
        <v>4279720.2797202813</v>
      </c>
      <c r="Q73" s="59">
        <f>IF(D73=0,0,SUM($J$52:J73))</f>
        <v>4068720</v>
      </c>
      <c r="R73" s="63">
        <f t="shared" si="10"/>
        <v>-211000.27972028125</v>
      </c>
      <c r="S73" s="64">
        <f t="shared" si="16"/>
        <v>0.9506976470588232</v>
      </c>
      <c r="T73" s="73"/>
      <c r="U73" s="59">
        <f>IF(D73=0,0,SUM($L$21:L73))</f>
        <v>10125874.125874119</v>
      </c>
      <c r="V73" s="59">
        <f>IF(D73=0,0,SUM($J$21:J73))</f>
        <v>10074350</v>
      </c>
      <c r="W73" s="66">
        <f t="shared" si="11"/>
        <v>-51524.125874118879</v>
      </c>
      <c r="X73" s="67">
        <f t="shared" si="17"/>
        <v>0.99491163674033223</v>
      </c>
      <c r="Y73" s="68">
        <f t="shared" si="22"/>
        <v>45710</v>
      </c>
      <c r="Z73" s="69">
        <f t="shared" si="22"/>
        <v>45710</v>
      </c>
      <c r="AA73" s="1"/>
      <c r="AB73" s="1"/>
      <c r="AC73" s="1"/>
      <c r="AD73" s="1"/>
      <c r="AE73" s="1"/>
      <c r="AF73" s="1"/>
      <c r="AG73" s="1"/>
    </row>
    <row r="74" spans="1:33" ht="20">
      <c r="A74" s="1"/>
      <c r="B74" s="11"/>
      <c r="C74" s="50">
        <v>54</v>
      </c>
      <c r="D74" s="51">
        <v>0</v>
      </c>
      <c r="E74" s="52">
        <f t="shared" si="12"/>
        <v>2</v>
      </c>
      <c r="F74" s="53">
        <f t="shared" si="13"/>
        <v>45711</v>
      </c>
      <c r="G74" s="54" t="str">
        <f t="shared" si="14"/>
        <v>Sun</v>
      </c>
      <c r="H74" s="55"/>
      <c r="I74" s="56"/>
      <c r="J74" s="82"/>
      <c r="K74" s="83"/>
      <c r="L74" s="59">
        <f t="shared" si="20"/>
        <v>0</v>
      </c>
      <c r="M74" s="60">
        <f t="shared" si="8"/>
        <v>0</v>
      </c>
      <c r="N74" s="61" t="str">
        <f t="shared" si="9"/>
        <v>¥0</v>
      </c>
      <c r="O74" s="81"/>
      <c r="P74" s="59">
        <f>IF(D74=0,0,SUM($L$52:L74))</f>
        <v>0</v>
      </c>
      <c r="Q74" s="59">
        <f>IF(D74=0,0,SUM($J$52:J74))</f>
        <v>0</v>
      </c>
      <c r="R74" s="63">
        <f t="shared" si="10"/>
        <v>0</v>
      </c>
      <c r="S74" s="64">
        <f t="shared" si="16"/>
        <v>0</v>
      </c>
      <c r="T74" s="78"/>
      <c r="U74" s="59">
        <f>IF(D74=0,0,SUM($L$21:L74))</f>
        <v>0</v>
      </c>
      <c r="V74" s="59">
        <f>IF(D74=0,0,SUM($J$21:J74))</f>
        <v>0</v>
      </c>
      <c r="W74" s="66">
        <f t="shared" si="11"/>
        <v>0</v>
      </c>
      <c r="X74" s="67">
        <f t="shared" si="17"/>
        <v>0</v>
      </c>
      <c r="Y74" s="68">
        <f t="shared" si="22"/>
        <v>45711</v>
      </c>
      <c r="Z74" s="69">
        <f t="shared" si="22"/>
        <v>45711</v>
      </c>
      <c r="AA74" s="1"/>
      <c r="AB74" s="1"/>
      <c r="AC74" s="1"/>
      <c r="AD74" s="1"/>
      <c r="AE74" s="1"/>
      <c r="AF74" s="1"/>
      <c r="AG74" s="1"/>
    </row>
    <row r="75" spans="1:33" ht="20">
      <c r="A75" s="1"/>
      <c r="B75" s="11"/>
      <c r="C75" s="50">
        <v>55</v>
      </c>
      <c r="D75" s="51">
        <v>0</v>
      </c>
      <c r="E75" s="52">
        <f t="shared" si="12"/>
        <v>2</v>
      </c>
      <c r="F75" s="53">
        <f t="shared" si="13"/>
        <v>45712</v>
      </c>
      <c r="G75" s="54" t="str">
        <f t="shared" si="14"/>
        <v>Mon</v>
      </c>
      <c r="H75" s="55"/>
      <c r="I75" s="56"/>
      <c r="J75" s="82"/>
      <c r="K75" s="83"/>
      <c r="L75" s="59">
        <f t="shared" si="20"/>
        <v>0</v>
      </c>
      <c r="M75" s="60">
        <f t="shared" si="8"/>
        <v>0</v>
      </c>
      <c r="N75" s="61" t="str">
        <f t="shared" si="9"/>
        <v>¥0</v>
      </c>
      <c r="O75" s="81"/>
      <c r="P75" s="59">
        <f>IF(D75=0,0,SUM($L$52:L75))</f>
        <v>0</v>
      </c>
      <c r="Q75" s="59">
        <f>IF(D75=0,0,SUM($J$52:J75))</f>
        <v>0</v>
      </c>
      <c r="R75" s="63">
        <f t="shared" si="10"/>
        <v>0</v>
      </c>
      <c r="S75" s="64">
        <f t="shared" si="16"/>
        <v>0</v>
      </c>
      <c r="T75" s="78"/>
      <c r="U75" s="59">
        <f>IF(D75=0,0,SUM($L$21:L75))</f>
        <v>0</v>
      </c>
      <c r="V75" s="59">
        <f>IF(D75=0,0,SUM($J$21:J75))</f>
        <v>0</v>
      </c>
      <c r="W75" s="66">
        <f t="shared" si="11"/>
        <v>0</v>
      </c>
      <c r="X75" s="67">
        <f t="shared" si="17"/>
        <v>0</v>
      </c>
      <c r="Y75" s="68">
        <f t="shared" si="22"/>
        <v>45712</v>
      </c>
      <c r="Z75" s="69">
        <f t="shared" si="22"/>
        <v>45712</v>
      </c>
      <c r="AA75" s="1"/>
      <c r="AB75" s="1"/>
      <c r="AC75" s="1"/>
      <c r="AD75" s="1"/>
      <c r="AE75" s="1"/>
      <c r="AF75" s="1"/>
      <c r="AG75" s="1"/>
    </row>
    <row r="76" spans="1:33" ht="20">
      <c r="A76" s="1"/>
      <c r="B76" s="11"/>
      <c r="C76" s="50">
        <v>56</v>
      </c>
      <c r="D76" s="51">
        <v>1</v>
      </c>
      <c r="E76" s="52">
        <f t="shared" si="12"/>
        <v>2</v>
      </c>
      <c r="F76" s="53">
        <f t="shared" si="13"/>
        <v>45713</v>
      </c>
      <c r="G76" s="54" t="str">
        <f t="shared" si="14"/>
        <v>Tue</v>
      </c>
      <c r="H76" s="55"/>
      <c r="I76" s="56"/>
      <c r="J76" s="82">
        <v>317900</v>
      </c>
      <c r="K76" s="83"/>
      <c r="L76" s="59">
        <f t="shared" si="20"/>
        <v>237762.23776223778</v>
      </c>
      <c r="M76" s="60">
        <f t="shared" si="8"/>
        <v>80137.762237762217</v>
      </c>
      <c r="N76" s="61">
        <f t="shared" si="9"/>
        <v>1.3370499999999998</v>
      </c>
      <c r="O76" s="80"/>
      <c r="P76" s="59">
        <f>IF(D76=0,0,SUM($L$52:L76))</f>
        <v>4517482.5174825191</v>
      </c>
      <c r="Q76" s="59">
        <f>IF(D76=0,0,SUM($J$52:J76))</f>
        <v>4386620</v>
      </c>
      <c r="R76" s="63">
        <f t="shared" si="10"/>
        <v>-130862.51748251915</v>
      </c>
      <c r="S76" s="64">
        <f t="shared" si="16"/>
        <v>0.97103198142414826</v>
      </c>
      <c r="T76" s="73"/>
      <c r="U76" s="59">
        <f>IF(D76=0,0,SUM($L$21:L76))</f>
        <v>10363636.363636356</v>
      </c>
      <c r="V76" s="59">
        <f>IF(D76=0,0,SUM($J$21:J76))</f>
        <v>10392250</v>
      </c>
      <c r="W76" s="66">
        <f t="shared" si="11"/>
        <v>28613.636363644153</v>
      </c>
      <c r="X76" s="67">
        <f t="shared" si="17"/>
        <v>1.0027609649122815</v>
      </c>
      <c r="Y76" s="68">
        <f t="shared" si="22"/>
        <v>45713</v>
      </c>
      <c r="Z76" s="69">
        <f t="shared" si="22"/>
        <v>45713</v>
      </c>
      <c r="AA76" s="1"/>
      <c r="AB76" s="1"/>
      <c r="AC76" s="1"/>
      <c r="AD76" s="1"/>
      <c r="AE76" s="1"/>
      <c r="AF76" s="1"/>
      <c r="AG76" s="1"/>
    </row>
    <row r="77" spans="1:33" ht="20">
      <c r="A77" s="1"/>
      <c r="B77" s="11"/>
      <c r="C77" s="50">
        <v>57</v>
      </c>
      <c r="D77" s="51">
        <v>1</v>
      </c>
      <c r="E77" s="52">
        <f t="shared" si="12"/>
        <v>2</v>
      </c>
      <c r="F77" s="53">
        <f t="shared" si="13"/>
        <v>45714</v>
      </c>
      <c r="G77" s="54" t="str">
        <f t="shared" si="14"/>
        <v>Wed</v>
      </c>
      <c r="H77" s="55"/>
      <c r="I77" s="56"/>
      <c r="J77" s="82">
        <v>300760</v>
      </c>
      <c r="K77" s="83"/>
      <c r="L77" s="59">
        <f t="shared" si="20"/>
        <v>237762.23776223778</v>
      </c>
      <c r="M77" s="60">
        <f t="shared" si="8"/>
        <v>62997.762237762217</v>
      </c>
      <c r="N77" s="61">
        <f t="shared" si="9"/>
        <v>1.2649611764705881</v>
      </c>
      <c r="O77" s="80"/>
      <c r="P77" s="59">
        <f>IF(D77=0,0,SUM($L$52:L77))</f>
        <v>4755244.755244757</v>
      </c>
      <c r="Q77" s="59">
        <f>IF(D77=0,0,SUM($J$52:J77))</f>
        <v>4687380</v>
      </c>
      <c r="R77" s="63">
        <f t="shared" si="10"/>
        <v>-67864.755244757049</v>
      </c>
      <c r="S77" s="64">
        <f t="shared" si="16"/>
        <v>0.98572844117647018</v>
      </c>
      <c r="T77" s="73"/>
      <c r="U77" s="59">
        <f>IF(D77=0,0,SUM($L$21:L77))</f>
        <v>10601398.601398593</v>
      </c>
      <c r="V77" s="59">
        <f>IF(D77=0,0,SUM($J$21:J77))</f>
        <v>10693010</v>
      </c>
      <c r="W77" s="66">
        <f t="shared" si="11"/>
        <v>91611.398601407185</v>
      </c>
      <c r="X77" s="67">
        <f t="shared" si="17"/>
        <v>1.0086414445910299</v>
      </c>
      <c r="Y77" s="68">
        <f t="shared" si="22"/>
        <v>45714</v>
      </c>
      <c r="Z77" s="69">
        <f t="shared" si="22"/>
        <v>45714</v>
      </c>
      <c r="AA77" s="1"/>
      <c r="AB77" s="1"/>
      <c r="AC77" s="1"/>
      <c r="AD77" s="1"/>
      <c r="AE77" s="1"/>
      <c r="AF77" s="1"/>
      <c r="AG77" s="1"/>
    </row>
    <row r="78" spans="1:33" ht="20">
      <c r="A78" s="1"/>
      <c r="B78" s="11"/>
      <c r="C78" s="50">
        <v>58</v>
      </c>
      <c r="D78" s="51">
        <v>1</v>
      </c>
      <c r="E78" s="52">
        <f t="shared" si="12"/>
        <v>2</v>
      </c>
      <c r="F78" s="53">
        <f t="shared" si="13"/>
        <v>45715</v>
      </c>
      <c r="G78" s="54" t="str">
        <f t="shared" si="14"/>
        <v>Thu</v>
      </c>
      <c r="H78" s="55"/>
      <c r="I78" s="56"/>
      <c r="J78" s="82">
        <v>365350</v>
      </c>
      <c r="K78" s="83"/>
      <c r="L78" s="59">
        <f t="shared" si="20"/>
        <v>237762.23776223778</v>
      </c>
      <c r="M78" s="60">
        <f t="shared" si="8"/>
        <v>127587.76223776222</v>
      </c>
      <c r="N78" s="61">
        <f t="shared" si="9"/>
        <v>1.5366191176470587</v>
      </c>
      <c r="O78" s="80"/>
      <c r="P78" s="59">
        <f>IF(D78=0,0,SUM($L$52:L78))</f>
        <v>4993006.9930069949</v>
      </c>
      <c r="Q78" s="59">
        <f>IF(D78=0,0,SUM($J$52:J78))</f>
        <v>5052730</v>
      </c>
      <c r="R78" s="63">
        <f t="shared" si="10"/>
        <v>59723.006993005052</v>
      </c>
      <c r="S78" s="64">
        <f t="shared" si="16"/>
        <v>1.0119613305322126</v>
      </c>
      <c r="T78" s="73"/>
      <c r="U78" s="59">
        <f>IF(D78=0,0,SUM($L$21:L78))</f>
        <v>10839160.83916083</v>
      </c>
      <c r="V78" s="59">
        <f>IF(D78=0,0,SUM($J$21:J78))</f>
        <v>11058360</v>
      </c>
      <c r="W78" s="66">
        <f t="shared" si="11"/>
        <v>219199.16083917022</v>
      </c>
      <c r="X78" s="67">
        <f t="shared" si="17"/>
        <v>1.0202228903225816</v>
      </c>
      <c r="Y78" s="68">
        <f t="shared" si="22"/>
        <v>45715</v>
      </c>
      <c r="Z78" s="69">
        <f t="shared" si="22"/>
        <v>45715</v>
      </c>
      <c r="AA78" s="1"/>
      <c r="AB78" s="1"/>
      <c r="AC78" s="1"/>
      <c r="AD78" s="1"/>
      <c r="AE78" s="1"/>
      <c r="AF78" s="1"/>
      <c r="AG78" s="1"/>
    </row>
    <row r="79" spans="1:33" ht="21" thickBot="1">
      <c r="A79" s="1"/>
      <c r="B79" s="11"/>
      <c r="C79" s="84">
        <v>59</v>
      </c>
      <c r="D79" s="85">
        <v>1</v>
      </c>
      <c r="E79" s="501">
        <f t="shared" si="12"/>
        <v>2</v>
      </c>
      <c r="F79" s="86">
        <f t="shared" si="13"/>
        <v>45716</v>
      </c>
      <c r="G79" s="87" t="str">
        <f t="shared" si="14"/>
        <v>Fri</v>
      </c>
      <c r="H79" s="508"/>
      <c r="I79" s="502"/>
      <c r="J79" s="89">
        <v>324940</v>
      </c>
      <c r="K79" s="503"/>
      <c r="L79" s="90">
        <f t="shared" si="20"/>
        <v>237762.23776223778</v>
      </c>
      <c r="M79" s="91">
        <f t="shared" si="8"/>
        <v>87177.762237762217</v>
      </c>
      <c r="N79" s="92">
        <f t="shared" si="9"/>
        <v>1.3666594117647057</v>
      </c>
      <c r="O79" s="504"/>
      <c r="P79" s="93">
        <f>IF(D79=0,0,SUM($L$52:L79))</f>
        <v>5230769.2307692328</v>
      </c>
      <c r="Q79" s="90">
        <f>IF(D79=0,0,SUM($J$52:J79))</f>
        <v>5377670</v>
      </c>
      <c r="R79" s="91">
        <f t="shared" si="10"/>
        <v>146900.76923076715</v>
      </c>
      <c r="S79" s="505">
        <f t="shared" si="16"/>
        <v>1.028083970588235</v>
      </c>
      <c r="T79" s="506"/>
      <c r="U79" s="94">
        <f>IF(D79=0,0,SUM($L$21:L79))</f>
        <v>11076923.076923067</v>
      </c>
      <c r="V79" s="90">
        <f>IF(D79=0,0,SUM($J$21:J79))</f>
        <v>11383300</v>
      </c>
      <c r="W79" s="95">
        <f t="shared" si="11"/>
        <v>306376.92307693325</v>
      </c>
      <c r="X79" s="507">
        <f t="shared" si="17"/>
        <v>1.0276590277777786</v>
      </c>
      <c r="Y79" s="68">
        <f t="shared" si="22"/>
        <v>45716</v>
      </c>
      <c r="Z79" s="69">
        <f t="shared" si="22"/>
        <v>45716</v>
      </c>
      <c r="AA79" s="1"/>
      <c r="AB79" s="1"/>
      <c r="AC79" s="1"/>
      <c r="AD79" s="1"/>
      <c r="AE79" s="1"/>
      <c r="AF79" s="1"/>
      <c r="AG79" s="1"/>
    </row>
    <row r="80" spans="1:33" ht="21" thickTop="1">
      <c r="A80" s="1"/>
      <c r="B80" s="11"/>
      <c r="C80" s="50">
        <v>60</v>
      </c>
      <c r="D80" s="96">
        <v>1</v>
      </c>
      <c r="E80" s="52">
        <f t="shared" si="12"/>
        <v>3</v>
      </c>
      <c r="F80" s="53">
        <f t="shared" si="13"/>
        <v>45717</v>
      </c>
      <c r="G80" s="54" t="str">
        <f t="shared" si="14"/>
        <v>Sat</v>
      </c>
      <c r="H80" s="55"/>
      <c r="I80" s="56"/>
      <c r="J80" s="82">
        <v>123200</v>
      </c>
      <c r="K80" s="83"/>
      <c r="L80" s="59">
        <f t="shared" ref="L80:L110" si="23">IF(D80=0,0,$K$9)</f>
        <v>307692.30769230775</v>
      </c>
      <c r="M80" s="63">
        <f t="shared" si="8"/>
        <v>-184492.30769230775</v>
      </c>
      <c r="N80" s="97">
        <f t="shared" si="9"/>
        <v>0.40039999999999992</v>
      </c>
      <c r="O80" s="80"/>
      <c r="P80" s="59">
        <f>IF(D80=0,0,$L$80)</f>
        <v>307692.30769230775</v>
      </c>
      <c r="Q80" s="59">
        <f>IF(D80=0,0,$J$80)</f>
        <v>123200</v>
      </c>
      <c r="R80" s="63">
        <f t="shared" si="10"/>
        <v>-184492.30769230775</v>
      </c>
      <c r="S80" s="499">
        <f t="shared" si="16"/>
        <v>0.40039999999999992</v>
      </c>
      <c r="T80" s="73"/>
      <c r="U80" s="59">
        <f>IF(D80=0,0,SUM($L$21:L80))</f>
        <v>11384615.384615375</v>
      </c>
      <c r="V80" s="59">
        <f>IF(D80=0,0,SUM($J$21:J80))</f>
        <v>11506500</v>
      </c>
      <c r="W80" s="66">
        <f t="shared" si="11"/>
        <v>121884.61538462527</v>
      </c>
      <c r="X80" s="500">
        <f t="shared" si="17"/>
        <v>1.010706081081082</v>
      </c>
      <c r="Y80" s="68">
        <f t="shared" si="22"/>
        <v>45717</v>
      </c>
      <c r="Z80" s="69">
        <f t="shared" si="22"/>
        <v>45717</v>
      </c>
      <c r="AA80" s="1"/>
      <c r="AB80" s="1"/>
      <c r="AC80" s="1"/>
      <c r="AD80" s="1"/>
      <c r="AE80" s="1"/>
      <c r="AF80" s="1"/>
      <c r="AG80" s="1"/>
    </row>
    <row r="81" spans="1:33" ht="20">
      <c r="A81" s="1"/>
      <c r="B81" s="11"/>
      <c r="C81" s="50">
        <v>61</v>
      </c>
      <c r="D81" s="51">
        <v>0</v>
      </c>
      <c r="E81" s="52">
        <f t="shared" si="12"/>
        <v>3</v>
      </c>
      <c r="F81" s="53">
        <f t="shared" si="13"/>
        <v>45718</v>
      </c>
      <c r="G81" s="54" t="str">
        <f t="shared" si="14"/>
        <v>Sun</v>
      </c>
      <c r="H81" s="55"/>
      <c r="I81" s="56"/>
      <c r="J81" s="82">
        <v>0</v>
      </c>
      <c r="K81" s="83"/>
      <c r="L81" s="59">
        <f t="shared" si="23"/>
        <v>0</v>
      </c>
      <c r="M81" s="60">
        <f t="shared" si="8"/>
        <v>0</v>
      </c>
      <c r="N81" s="61" t="str">
        <f t="shared" si="9"/>
        <v>¥0</v>
      </c>
      <c r="O81" s="81"/>
      <c r="P81" s="59">
        <f>IF(D81=0,0,SUM($L$80:L81))</f>
        <v>0</v>
      </c>
      <c r="Q81" s="59">
        <f>IF(D81=0,0,SUM($J$80:J81))</f>
        <v>0</v>
      </c>
      <c r="R81" s="63">
        <f t="shared" si="10"/>
        <v>0</v>
      </c>
      <c r="S81" s="64">
        <f t="shared" si="16"/>
        <v>0</v>
      </c>
      <c r="T81" s="78"/>
      <c r="U81" s="59">
        <f>IF(D81=0,0,SUM($L$21:L81))</f>
        <v>0</v>
      </c>
      <c r="V81" s="59">
        <f>IF(D81=0,0,SUM($J$21:J81))</f>
        <v>0</v>
      </c>
      <c r="W81" s="66">
        <f t="shared" si="11"/>
        <v>0</v>
      </c>
      <c r="X81" s="67">
        <f t="shared" si="17"/>
        <v>0</v>
      </c>
      <c r="Y81" s="68">
        <f t="shared" si="22"/>
        <v>45718</v>
      </c>
      <c r="Z81" s="69">
        <f t="shared" si="22"/>
        <v>45718</v>
      </c>
      <c r="AA81" s="1"/>
      <c r="AB81" s="1"/>
      <c r="AC81" s="1"/>
      <c r="AD81" s="1"/>
      <c r="AE81" s="1"/>
      <c r="AF81" s="1"/>
      <c r="AG81" s="1"/>
    </row>
    <row r="82" spans="1:33" ht="20">
      <c r="A82" s="1"/>
      <c r="B82" s="11"/>
      <c r="C82" s="50">
        <v>62</v>
      </c>
      <c r="D82" s="51">
        <v>1</v>
      </c>
      <c r="E82" s="52">
        <f t="shared" si="12"/>
        <v>3</v>
      </c>
      <c r="F82" s="53">
        <f t="shared" si="13"/>
        <v>45719</v>
      </c>
      <c r="G82" s="54" t="str">
        <f t="shared" si="14"/>
        <v>Mon</v>
      </c>
      <c r="H82" s="55"/>
      <c r="I82" s="56"/>
      <c r="J82" s="82">
        <v>162400</v>
      </c>
      <c r="K82" s="83"/>
      <c r="L82" s="59">
        <f t="shared" si="23"/>
        <v>307692.30769230775</v>
      </c>
      <c r="M82" s="60">
        <f t="shared" si="8"/>
        <v>-145292.30769230775</v>
      </c>
      <c r="N82" s="61">
        <f t="shared" si="9"/>
        <v>0.52779999999999994</v>
      </c>
      <c r="O82" s="80"/>
      <c r="P82" s="59">
        <f>IF(D82=0,0,SUM($L$80:L82))</f>
        <v>615384.61538461549</v>
      </c>
      <c r="Q82" s="59">
        <f>IF(D82=0,0,SUM($J$80:J82))</f>
        <v>285600</v>
      </c>
      <c r="R82" s="63">
        <f t="shared" si="10"/>
        <v>-329784.61538461549</v>
      </c>
      <c r="S82" s="64">
        <f t="shared" si="16"/>
        <v>0.4640999999999999</v>
      </c>
      <c r="T82" s="73"/>
      <c r="U82" s="59">
        <f>IF(D82=0,0,SUM($L$21:L82))</f>
        <v>11692307.692307683</v>
      </c>
      <c r="V82" s="59">
        <f>IF(D82=0,0,SUM($J$21:J82))</f>
        <v>11668900</v>
      </c>
      <c r="W82" s="66">
        <f t="shared" si="11"/>
        <v>-23407.692307682708</v>
      </c>
      <c r="X82" s="67">
        <f t="shared" si="17"/>
        <v>0.99799802631579027</v>
      </c>
      <c r="Y82" s="68">
        <f t="shared" si="22"/>
        <v>45719</v>
      </c>
      <c r="Z82" s="69">
        <f t="shared" si="22"/>
        <v>45719</v>
      </c>
      <c r="AA82" s="1"/>
      <c r="AB82" s="1"/>
      <c r="AC82" s="1"/>
      <c r="AD82" s="1"/>
      <c r="AE82" s="1"/>
      <c r="AF82" s="1"/>
      <c r="AG82" s="1"/>
    </row>
    <row r="83" spans="1:33" ht="20">
      <c r="A83" s="1"/>
      <c r="B83" s="11"/>
      <c r="C83" s="50">
        <v>63</v>
      </c>
      <c r="D83" s="51">
        <v>1</v>
      </c>
      <c r="E83" s="52">
        <f t="shared" si="12"/>
        <v>3</v>
      </c>
      <c r="F83" s="53">
        <f t="shared" si="13"/>
        <v>45720</v>
      </c>
      <c r="G83" s="54" t="str">
        <f t="shared" si="14"/>
        <v>Tue</v>
      </c>
      <c r="H83" s="55"/>
      <c r="I83" s="56"/>
      <c r="J83" s="82">
        <v>156050</v>
      </c>
      <c r="K83" s="83"/>
      <c r="L83" s="59">
        <f t="shared" si="23"/>
        <v>307692.30769230775</v>
      </c>
      <c r="M83" s="60">
        <f t="shared" si="8"/>
        <v>-151642.30769230775</v>
      </c>
      <c r="N83" s="61">
        <f t="shared" si="9"/>
        <v>0.50716249999999996</v>
      </c>
      <c r="O83" s="80"/>
      <c r="P83" s="59">
        <f>IF(D83=0,0,SUM($L$80:L83))</f>
        <v>923076.92307692324</v>
      </c>
      <c r="Q83" s="59">
        <f>IF(D83=0,0,SUM($J$80:J83))</f>
        <v>441650</v>
      </c>
      <c r="R83" s="63">
        <f t="shared" si="10"/>
        <v>-481426.92307692324</v>
      </c>
      <c r="S83" s="64">
        <f t="shared" si="16"/>
        <v>0.47845416666666657</v>
      </c>
      <c r="T83" s="73"/>
      <c r="U83" s="59">
        <f>IF(D83=0,0,SUM($L$21:L83))</f>
        <v>11999999.999999991</v>
      </c>
      <c r="V83" s="59">
        <f>IF(D83=0,0,SUM($J$21:J83))</f>
        <v>11824950</v>
      </c>
      <c r="W83" s="66">
        <f t="shared" si="11"/>
        <v>-175049.99999999069</v>
      </c>
      <c r="X83" s="67">
        <f t="shared" si="17"/>
        <v>0.9854125000000008</v>
      </c>
      <c r="Y83" s="68">
        <f t="shared" si="22"/>
        <v>45720</v>
      </c>
      <c r="Z83" s="69">
        <f t="shared" si="22"/>
        <v>45720</v>
      </c>
      <c r="AA83" s="1"/>
      <c r="AB83" s="1"/>
      <c r="AC83" s="1"/>
      <c r="AD83" s="1"/>
      <c r="AE83" s="1"/>
      <c r="AF83" s="1"/>
      <c r="AG83" s="1"/>
    </row>
    <row r="84" spans="1:33" ht="20">
      <c r="A84" s="1"/>
      <c r="B84" s="11"/>
      <c r="C84" s="50">
        <v>64</v>
      </c>
      <c r="D84" s="51">
        <v>1</v>
      </c>
      <c r="E84" s="52">
        <f t="shared" si="12"/>
        <v>3</v>
      </c>
      <c r="F84" s="53">
        <f t="shared" si="13"/>
        <v>45721</v>
      </c>
      <c r="G84" s="54" t="str">
        <f t="shared" si="14"/>
        <v>Wed</v>
      </c>
      <c r="H84" s="55"/>
      <c r="I84" s="56"/>
      <c r="J84" s="82">
        <v>269410</v>
      </c>
      <c r="K84" s="83"/>
      <c r="L84" s="59">
        <f t="shared" si="23"/>
        <v>307692.30769230775</v>
      </c>
      <c r="M84" s="60">
        <f t="shared" si="8"/>
        <v>-38282.307692307746</v>
      </c>
      <c r="N84" s="61">
        <f t="shared" si="9"/>
        <v>0.87558249999999982</v>
      </c>
      <c r="O84" s="80"/>
      <c r="P84" s="59">
        <f>IF(D84=0,0,SUM($L$80:L84))</f>
        <v>1230769.230769231</v>
      </c>
      <c r="Q84" s="59">
        <f>IF(D84=0,0,SUM($J$80:J84))</f>
        <v>711060</v>
      </c>
      <c r="R84" s="63">
        <f t="shared" si="10"/>
        <v>-519709.23076923098</v>
      </c>
      <c r="S84" s="64">
        <f t="shared" si="16"/>
        <v>0.57773624999999995</v>
      </c>
      <c r="T84" s="73"/>
      <c r="U84" s="59">
        <f>IF(D84=0,0,SUM($L$21:L84))</f>
        <v>12307692.307692299</v>
      </c>
      <c r="V84" s="59">
        <f>IF(D84=0,0,SUM($J$21:J84))</f>
        <v>12094360</v>
      </c>
      <c r="W84" s="66">
        <f t="shared" si="11"/>
        <v>-213332.30769229867</v>
      </c>
      <c r="X84" s="67">
        <f t="shared" si="17"/>
        <v>0.9826667500000007</v>
      </c>
      <c r="Y84" s="68">
        <f t="shared" si="22"/>
        <v>45721</v>
      </c>
      <c r="Z84" s="69">
        <f t="shared" si="22"/>
        <v>45721</v>
      </c>
      <c r="AA84" s="1"/>
      <c r="AB84" s="1"/>
      <c r="AC84" s="1"/>
      <c r="AD84" s="1"/>
      <c r="AE84" s="1"/>
      <c r="AF84" s="1"/>
      <c r="AG84" s="1"/>
    </row>
    <row r="85" spans="1:33" ht="20">
      <c r="A85" s="1"/>
      <c r="B85" s="11"/>
      <c r="C85" s="50">
        <v>65</v>
      </c>
      <c r="D85" s="51">
        <v>1</v>
      </c>
      <c r="E85" s="52">
        <f t="shared" si="12"/>
        <v>3</v>
      </c>
      <c r="F85" s="53">
        <f t="shared" si="13"/>
        <v>45722</v>
      </c>
      <c r="G85" s="54" t="str">
        <f t="shared" si="14"/>
        <v>Thu</v>
      </c>
      <c r="H85" s="55"/>
      <c r="I85" s="56"/>
      <c r="J85" s="82">
        <v>371500</v>
      </c>
      <c r="K85" s="83"/>
      <c r="L85" s="59">
        <f t="shared" si="23"/>
        <v>307692.30769230775</v>
      </c>
      <c r="M85" s="60">
        <f t="shared" ref="M85:M148" si="24">IF(D85=0,0,J85-L85)</f>
        <v>63807.692307692254</v>
      </c>
      <c r="N85" s="61">
        <f t="shared" si="9"/>
        <v>1.2073749999999999</v>
      </c>
      <c r="O85" s="80"/>
      <c r="P85" s="59">
        <f>IF(D85=0,0,SUM($L$80:L85))</f>
        <v>1538461.5384615387</v>
      </c>
      <c r="Q85" s="59">
        <f>IF(D85=0,0,SUM($J$80:J85))</f>
        <v>1082560</v>
      </c>
      <c r="R85" s="63">
        <f t="shared" ref="R85:R148" si="25">IF(D85=0,0,Q85-P85)</f>
        <v>-455901.53846153873</v>
      </c>
      <c r="S85" s="64">
        <f t="shared" si="16"/>
        <v>0.70366399999999985</v>
      </c>
      <c r="T85" s="73"/>
      <c r="U85" s="59">
        <f>IF(D85=0,0,SUM($L$21:L85))</f>
        <v>12615384.615384607</v>
      </c>
      <c r="V85" s="59">
        <f>IF(D85=0,0,SUM($J$21:J85))</f>
        <v>12465860</v>
      </c>
      <c r="W85" s="66">
        <f t="shared" ref="W85:W148" si="26">IF(D85=0,0,V85-U85)</f>
        <v>-149524.61538460664</v>
      </c>
      <c r="X85" s="67">
        <f t="shared" si="17"/>
        <v>0.98814743902439095</v>
      </c>
      <c r="Y85" s="68">
        <f t="shared" si="22"/>
        <v>45722</v>
      </c>
      <c r="Z85" s="69">
        <f t="shared" si="22"/>
        <v>45722</v>
      </c>
      <c r="AA85" s="1"/>
      <c r="AB85" s="1"/>
      <c r="AC85" s="1"/>
      <c r="AD85" s="1"/>
      <c r="AE85" s="1"/>
      <c r="AF85" s="1"/>
      <c r="AG85" s="1"/>
    </row>
    <row r="86" spans="1:33" ht="20">
      <c r="A86" s="1"/>
      <c r="B86" s="11"/>
      <c r="C86" s="50">
        <v>66</v>
      </c>
      <c r="D86" s="51">
        <v>1</v>
      </c>
      <c r="E86" s="52">
        <f t="shared" ref="E86:E149" si="27">MONTH(Y86)</f>
        <v>3</v>
      </c>
      <c r="F86" s="53">
        <f t="shared" ref="F86:F149" si="28">F85+1</f>
        <v>45723</v>
      </c>
      <c r="G86" s="54" t="str">
        <f t="shared" ref="G86:G149" si="29">TEXT(Z86,"ddd")</f>
        <v>Fri</v>
      </c>
      <c r="H86" s="55"/>
      <c r="I86" s="56"/>
      <c r="J86" s="82">
        <v>493250</v>
      </c>
      <c r="K86" s="83"/>
      <c r="L86" s="59">
        <f t="shared" si="23"/>
        <v>307692.30769230775</v>
      </c>
      <c r="M86" s="60">
        <f t="shared" si="24"/>
        <v>185557.69230769225</v>
      </c>
      <c r="N86" s="61">
        <f t="shared" si="9"/>
        <v>1.6030624999999996</v>
      </c>
      <c r="O86" s="80"/>
      <c r="P86" s="59">
        <f>IF(D86=0,0,SUM($L$80:L86))</f>
        <v>1846153.8461538465</v>
      </c>
      <c r="Q86" s="59">
        <f>IF(D86=0,0,SUM($J$80:J86))</f>
        <v>1575810</v>
      </c>
      <c r="R86" s="63">
        <f t="shared" si="25"/>
        <v>-270343.84615384648</v>
      </c>
      <c r="S86" s="64">
        <f t="shared" ref="S86:S149" si="30">IF(D86=0,0,Q86/P86)</f>
        <v>0.85356374999999984</v>
      </c>
      <c r="T86" s="73"/>
      <c r="U86" s="59">
        <f>IF(D86=0,0,SUM($L$21:L86))</f>
        <v>12923076.923076915</v>
      </c>
      <c r="V86" s="59">
        <f>IF(D86=0,0,SUM($J$21:J86))</f>
        <v>12959110</v>
      </c>
      <c r="W86" s="66">
        <f t="shared" si="26"/>
        <v>36033.076923085377</v>
      </c>
      <c r="X86" s="67">
        <f t="shared" ref="X86:X149" si="31">IF(D86=0,0,V86/U86)</f>
        <v>1.0027882738095244</v>
      </c>
      <c r="Y86" s="68">
        <f t="shared" si="22"/>
        <v>45723</v>
      </c>
      <c r="Z86" s="69">
        <f t="shared" si="22"/>
        <v>45723</v>
      </c>
      <c r="AA86" s="1"/>
      <c r="AB86" s="1"/>
      <c r="AC86" s="1"/>
      <c r="AD86" s="1"/>
      <c r="AE86" s="1"/>
      <c r="AF86" s="1"/>
      <c r="AG86" s="1"/>
    </row>
    <row r="87" spans="1:33" ht="20">
      <c r="A87" s="1"/>
      <c r="B87" s="11"/>
      <c r="C87" s="50">
        <v>67</v>
      </c>
      <c r="D87" s="51">
        <v>1</v>
      </c>
      <c r="E87" s="52">
        <f t="shared" si="27"/>
        <v>3</v>
      </c>
      <c r="F87" s="53">
        <f t="shared" si="28"/>
        <v>45724</v>
      </c>
      <c r="G87" s="54" t="str">
        <f t="shared" si="29"/>
        <v>Sat</v>
      </c>
      <c r="H87" s="55"/>
      <c r="I87" s="56"/>
      <c r="J87" s="82">
        <v>129200</v>
      </c>
      <c r="K87" s="83"/>
      <c r="L87" s="59">
        <f t="shared" si="23"/>
        <v>307692.30769230775</v>
      </c>
      <c r="M87" s="60">
        <f t="shared" si="24"/>
        <v>-178492.30769230775</v>
      </c>
      <c r="N87" s="61">
        <f t="shared" si="9"/>
        <v>0.41989999999999994</v>
      </c>
      <c r="O87" s="80"/>
      <c r="P87" s="59">
        <f>IF(D87=0,0,SUM($L$80:L87))</f>
        <v>2153846.153846154</v>
      </c>
      <c r="Q87" s="59">
        <f>IF(D87=0,0,SUM($J$80:J87))</f>
        <v>1705010</v>
      </c>
      <c r="R87" s="63">
        <f t="shared" si="25"/>
        <v>-448836.15384615399</v>
      </c>
      <c r="S87" s="64">
        <f t="shared" si="30"/>
        <v>0.7916117857142857</v>
      </c>
      <c r="T87" s="73"/>
      <c r="U87" s="59">
        <f>IF(D87=0,0,SUM($L$21:L87))</f>
        <v>13230769.230769223</v>
      </c>
      <c r="V87" s="59">
        <f>IF(D87=0,0,SUM($J$21:J87))</f>
        <v>13088310</v>
      </c>
      <c r="W87" s="66">
        <f t="shared" si="26"/>
        <v>-142459.2307692226</v>
      </c>
      <c r="X87" s="67">
        <f t="shared" si="31"/>
        <v>0.98923273255814015</v>
      </c>
      <c r="Y87" s="68">
        <f t="shared" ref="Y87:Z102" si="32">Y86+1</f>
        <v>45724</v>
      </c>
      <c r="Z87" s="69">
        <f t="shared" si="32"/>
        <v>45724</v>
      </c>
      <c r="AA87" s="1"/>
      <c r="AB87" s="1"/>
      <c r="AC87" s="1"/>
      <c r="AD87" s="1"/>
      <c r="AE87" s="1"/>
      <c r="AF87" s="1"/>
      <c r="AG87" s="1"/>
    </row>
    <row r="88" spans="1:33" ht="20">
      <c r="A88" s="1"/>
      <c r="B88" s="11"/>
      <c r="C88" s="50">
        <v>68</v>
      </c>
      <c r="D88" s="51">
        <v>0</v>
      </c>
      <c r="E88" s="52">
        <f t="shared" si="27"/>
        <v>3</v>
      </c>
      <c r="F88" s="53">
        <f t="shared" si="28"/>
        <v>45725</v>
      </c>
      <c r="G88" s="54" t="str">
        <f t="shared" si="29"/>
        <v>Sun</v>
      </c>
      <c r="H88" s="55"/>
      <c r="I88" s="56"/>
      <c r="J88" s="82"/>
      <c r="K88" s="83"/>
      <c r="L88" s="59">
        <f t="shared" si="23"/>
        <v>0</v>
      </c>
      <c r="M88" s="60">
        <f t="shared" si="24"/>
        <v>0</v>
      </c>
      <c r="N88" s="61" t="str">
        <f t="shared" si="9"/>
        <v>¥0</v>
      </c>
      <c r="O88" s="81"/>
      <c r="P88" s="59">
        <f>IF(D88=0,0,SUM($L$80:L88))</f>
        <v>0</v>
      </c>
      <c r="Q88" s="59">
        <f>IF(D88=0,0,SUM($J$80:J88))</f>
        <v>0</v>
      </c>
      <c r="R88" s="63">
        <f t="shared" si="25"/>
        <v>0</v>
      </c>
      <c r="S88" s="64">
        <f t="shared" si="30"/>
        <v>0</v>
      </c>
      <c r="T88" s="78"/>
      <c r="U88" s="59">
        <f>IF(D88=0,0,SUM($L$21:L88))</f>
        <v>0</v>
      </c>
      <c r="V88" s="59">
        <f>IF(D88=0,0,SUM($J$21:J88))</f>
        <v>0</v>
      </c>
      <c r="W88" s="66">
        <f t="shared" si="26"/>
        <v>0</v>
      </c>
      <c r="X88" s="67">
        <f t="shared" si="31"/>
        <v>0</v>
      </c>
      <c r="Y88" s="68">
        <f t="shared" si="32"/>
        <v>45725</v>
      </c>
      <c r="Z88" s="69">
        <f t="shared" si="32"/>
        <v>45725</v>
      </c>
      <c r="AA88" s="1"/>
      <c r="AB88" s="1"/>
      <c r="AC88" s="1"/>
      <c r="AD88" s="1"/>
      <c r="AE88" s="1"/>
      <c r="AF88" s="1"/>
      <c r="AG88" s="1"/>
    </row>
    <row r="89" spans="1:33" ht="20">
      <c r="A89" s="1"/>
      <c r="B89" s="11"/>
      <c r="C89" s="50">
        <v>69</v>
      </c>
      <c r="D89" s="51">
        <v>1</v>
      </c>
      <c r="E89" s="52">
        <f t="shared" si="27"/>
        <v>3</v>
      </c>
      <c r="F89" s="53">
        <f t="shared" si="28"/>
        <v>45726</v>
      </c>
      <c r="G89" s="54" t="str">
        <f t="shared" si="29"/>
        <v>Mon</v>
      </c>
      <c r="H89" s="55"/>
      <c r="I89" s="56"/>
      <c r="J89" s="82">
        <v>140470</v>
      </c>
      <c r="K89" s="83"/>
      <c r="L89" s="59">
        <f t="shared" si="23"/>
        <v>307692.30769230775</v>
      </c>
      <c r="M89" s="60">
        <f t="shared" si="24"/>
        <v>-167222.30769230775</v>
      </c>
      <c r="N89" s="61">
        <f t="shared" si="9"/>
        <v>0.45652749999999992</v>
      </c>
      <c r="O89" s="80"/>
      <c r="P89" s="59">
        <f>IF(D89=0,0,SUM($L$80:L89))</f>
        <v>2461538.461538462</v>
      </c>
      <c r="Q89" s="59">
        <f>IF(D89=0,0,SUM($J$80:J89))</f>
        <v>1845480</v>
      </c>
      <c r="R89" s="63">
        <f t="shared" si="25"/>
        <v>-616058.46153846197</v>
      </c>
      <c r="S89" s="64">
        <f t="shared" si="30"/>
        <v>0.74972624999999982</v>
      </c>
      <c r="T89" s="73"/>
      <c r="U89" s="59">
        <f>IF(D89=0,0,SUM($L$21:L89))</f>
        <v>13538461.538461531</v>
      </c>
      <c r="V89" s="59">
        <f>IF(D89=0,0,SUM($J$21:J89))</f>
        <v>13228780</v>
      </c>
      <c r="W89" s="66">
        <f t="shared" si="26"/>
        <v>-309681.53846153058</v>
      </c>
      <c r="X89" s="67">
        <f t="shared" si="31"/>
        <v>0.97712579545454603</v>
      </c>
      <c r="Y89" s="68">
        <f t="shared" si="32"/>
        <v>45726</v>
      </c>
      <c r="Z89" s="69">
        <f t="shared" si="32"/>
        <v>45726</v>
      </c>
      <c r="AA89" s="1"/>
      <c r="AB89" s="1"/>
      <c r="AC89" s="1"/>
      <c r="AD89" s="1"/>
      <c r="AE89" s="1"/>
      <c r="AF89" s="1"/>
      <c r="AG89" s="1"/>
    </row>
    <row r="90" spans="1:33" ht="20">
      <c r="A90" s="1"/>
      <c r="B90" s="11"/>
      <c r="C90" s="50">
        <v>70</v>
      </c>
      <c r="D90" s="51">
        <v>1</v>
      </c>
      <c r="E90" s="52">
        <f t="shared" si="27"/>
        <v>3</v>
      </c>
      <c r="F90" s="53">
        <f t="shared" si="28"/>
        <v>45727</v>
      </c>
      <c r="G90" s="54" t="str">
        <f t="shared" si="29"/>
        <v>Tue</v>
      </c>
      <c r="H90" s="55"/>
      <c r="I90" s="56"/>
      <c r="J90" s="82">
        <v>379560</v>
      </c>
      <c r="K90" s="83"/>
      <c r="L90" s="59">
        <f t="shared" si="23"/>
        <v>307692.30769230775</v>
      </c>
      <c r="M90" s="60">
        <f t="shared" si="24"/>
        <v>71867.692307692254</v>
      </c>
      <c r="N90" s="61">
        <f t="shared" si="9"/>
        <v>1.2335699999999998</v>
      </c>
      <c r="O90" s="80"/>
      <c r="P90" s="59">
        <f>IF(D90=0,0,SUM($L$80:L90))</f>
        <v>2769230.7692307699</v>
      </c>
      <c r="Q90" s="59">
        <f>IF(D90=0,0,SUM($J$80:J90))</f>
        <v>2225040</v>
      </c>
      <c r="R90" s="63">
        <f t="shared" si="25"/>
        <v>-544190.76923076995</v>
      </c>
      <c r="S90" s="64">
        <f t="shared" si="30"/>
        <v>0.80348666666666646</v>
      </c>
      <c r="T90" s="73"/>
      <c r="U90" s="59">
        <f>IF(D90=0,0,SUM($L$21:L90))</f>
        <v>13846153.846153839</v>
      </c>
      <c r="V90" s="59">
        <f>IF(D90=0,0,SUM($J$21:J90))</f>
        <v>13608340</v>
      </c>
      <c r="W90" s="66">
        <f t="shared" si="26"/>
        <v>-237813.84615383856</v>
      </c>
      <c r="X90" s="67">
        <f t="shared" si="31"/>
        <v>0.98282455555555615</v>
      </c>
      <c r="Y90" s="68">
        <f t="shared" si="32"/>
        <v>45727</v>
      </c>
      <c r="Z90" s="69">
        <f t="shared" si="32"/>
        <v>45727</v>
      </c>
      <c r="AA90" s="1"/>
      <c r="AB90" s="1"/>
      <c r="AC90" s="1"/>
      <c r="AD90" s="1"/>
      <c r="AE90" s="1"/>
      <c r="AF90" s="1"/>
      <c r="AG90" s="1"/>
    </row>
    <row r="91" spans="1:33" ht="20">
      <c r="A91" s="1"/>
      <c r="B91" s="11"/>
      <c r="C91" s="50">
        <v>71</v>
      </c>
      <c r="D91" s="51">
        <v>1</v>
      </c>
      <c r="E91" s="52">
        <f t="shared" si="27"/>
        <v>3</v>
      </c>
      <c r="F91" s="53">
        <f t="shared" si="28"/>
        <v>45728</v>
      </c>
      <c r="G91" s="54" t="str">
        <f t="shared" si="29"/>
        <v>Wed</v>
      </c>
      <c r="H91" s="55"/>
      <c r="I91" s="56"/>
      <c r="J91" s="82">
        <v>320100</v>
      </c>
      <c r="K91" s="83"/>
      <c r="L91" s="59">
        <f t="shared" si="23"/>
        <v>307692.30769230775</v>
      </c>
      <c r="M91" s="60">
        <f t="shared" si="24"/>
        <v>12407.692307692254</v>
      </c>
      <c r="N91" s="61">
        <f t="shared" si="9"/>
        <v>1.0403249999999997</v>
      </c>
      <c r="O91" s="80"/>
      <c r="P91" s="59">
        <f>IF(D91=0,0,SUM($L$80:L91))</f>
        <v>3076923.0769230779</v>
      </c>
      <c r="Q91" s="59">
        <f>IF(D91=0,0,SUM($J$80:J91))</f>
        <v>2545140</v>
      </c>
      <c r="R91" s="63">
        <f t="shared" si="25"/>
        <v>-531783.07692307793</v>
      </c>
      <c r="S91" s="64">
        <f t="shared" si="30"/>
        <v>0.8271704999999997</v>
      </c>
      <c r="T91" s="73"/>
      <c r="U91" s="59">
        <f>IF(D91=0,0,SUM($L$21:L91))</f>
        <v>14153846.153846147</v>
      </c>
      <c r="V91" s="59">
        <f>IF(D91=0,0,SUM($J$21:J91))</f>
        <v>13928440</v>
      </c>
      <c r="W91" s="66">
        <f t="shared" si="26"/>
        <v>-225406.15384614654</v>
      </c>
      <c r="X91" s="67">
        <f t="shared" si="31"/>
        <v>0.98407456521739178</v>
      </c>
      <c r="Y91" s="68">
        <f t="shared" si="32"/>
        <v>45728</v>
      </c>
      <c r="Z91" s="69">
        <f t="shared" si="32"/>
        <v>45728</v>
      </c>
      <c r="AA91" s="1"/>
      <c r="AB91" s="1"/>
      <c r="AC91" s="1"/>
      <c r="AD91" s="1"/>
      <c r="AE91" s="1"/>
      <c r="AF91" s="1"/>
      <c r="AG91" s="1"/>
    </row>
    <row r="92" spans="1:33" ht="20">
      <c r="A92" s="1"/>
      <c r="B92" s="11"/>
      <c r="C92" s="50">
        <v>72</v>
      </c>
      <c r="D92" s="51">
        <v>1</v>
      </c>
      <c r="E92" s="52">
        <f t="shared" si="27"/>
        <v>3</v>
      </c>
      <c r="F92" s="53">
        <f t="shared" si="28"/>
        <v>45729</v>
      </c>
      <c r="G92" s="54" t="str">
        <f t="shared" si="29"/>
        <v>Thu</v>
      </c>
      <c r="H92" s="55"/>
      <c r="I92" s="56"/>
      <c r="J92" s="82">
        <v>327800</v>
      </c>
      <c r="K92" s="83"/>
      <c r="L92" s="59">
        <f t="shared" si="23"/>
        <v>307692.30769230775</v>
      </c>
      <c r="M92" s="60">
        <f t="shared" si="24"/>
        <v>20107.692307692254</v>
      </c>
      <c r="N92" s="61">
        <f t="shared" si="9"/>
        <v>1.0653499999999998</v>
      </c>
      <c r="O92" s="80"/>
      <c r="P92" s="59">
        <f>IF(D92=0,0,SUM($L$80:L92))</f>
        <v>3384615.3846153859</v>
      </c>
      <c r="Q92" s="59">
        <f>IF(D92=0,0,SUM($J$80:J92))</f>
        <v>2872940</v>
      </c>
      <c r="R92" s="63">
        <f t="shared" si="25"/>
        <v>-511675.3846153859</v>
      </c>
      <c r="S92" s="64">
        <f t="shared" si="30"/>
        <v>0.8488231818181815</v>
      </c>
      <c r="T92" s="73"/>
      <c r="U92" s="59">
        <f>IF(D92=0,0,SUM($L$21:L92))</f>
        <v>14461538.461538455</v>
      </c>
      <c r="V92" s="59">
        <f>IF(D92=0,0,SUM($J$21:J92))</f>
        <v>14256240</v>
      </c>
      <c r="W92" s="66">
        <f t="shared" si="26"/>
        <v>-205298.46153845452</v>
      </c>
      <c r="X92" s="67">
        <f t="shared" si="31"/>
        <v>0.98580382978723458</v>
      </c>
      <c r="Y92" s="68">
        <f t="shared" si="32"/>
        <v>45729</v>
      </c>
      <c r="Z92" s="69">
        <f t="shared" si="32"/>
        <v>45729</v>
      </c>
      <c r="AA92" s="1"/>
      <c r="AB92" s="1"/>
      <c r="AC92" s="1"/>
      <c r="AD92" s="1"/>
      <c r="AE92" s="1"/>
      <c r="AF92" s="1"/>
      <c r="AG92" s="1"/>
    </row>
    <row r="93" spans="1:33" ht="20">
      <c r="A93" s="1"/>
      <c r="B93" s="11"/>
      <c r="C93" s="50">
        <v>73</v>
      </c>
      <c r="D93" s="51">
        <v>1</v>
      </c>
      <c r="E93" s="52">
        <f t="shared" si="27"/>
        <v>3</v>
      </c>
      <c r="F93" s="53">
        <f t="shared" si="28"/>
        <v>45730</v>
      </c>
      <c r="G93" s="54" t="str">
        <f t="shared" si="29"/>
        <v>Fri</v>
      </c>
      <c r="H93" s="55"/>
      <c r="I93" s="56"/>
      <c r="J93" s="82">
        <v>409660</v>
      </c>
      <c r="K93" s="83"/>
      <c r="L93" s="59">
        <f t="shared" si="23"/>
        <v>307692.30769230775</v>
      </c>
      <c r="M93" s="60">
        <f t="shared" si="24"/>
        <v>101967.69230769225</v>
      </c>
      <c r="N93" s="61">
        <f t="shared" si="9"/>
        <v>1.3313949999999997</v>
      </c>
      <c r="O93" s="80"/>
      <c r="P93" s="59">
        <f>IF(D93=0,0,SUM($L$80:L93))</f>
        <v>3692307.6923076939</v>
      </c>
      <c r="Q93" s="59">
        <f>IF(D93=0,0,SUM($J$80:J93))</f>
        <v>3282600</v>
      </c>
      <c r="R93" s="63">
        <f t="shared" si="25"/>
        <v>-409707.69230769388</v>
      </c>
      <c r="S93" s="64">
        <f t="shared" si="30"/>
        <v>0.88903749999999959</v>
      </c>
      <c r="T93" s="73"/>
      <c r="U93" s="59">
        <f>IF(D93=0,0,SUM($L$21:L93))</f>
        <v>14769230.769230762</v>
      </c>
      <c r="V93" s="59">
        <f>IF(D93=0,0,SUM($J$21:J93))</f>
        <v>14665900</v>
      </c>
      <c r="W93" s="66">
        <f t="shared" si="26"/>
        <v>-103330.7692307625</v>
      </c>
      <c r="X93" s="67">
        <f t="shared" si="31"/>
        <v>0.99300364583333378</v>
      </c>
      <c r="Y93" s="68">
        <f t="shared" si="32"/>
        <v>45730</v>
      </c>
      <c r="Z93" s="69">
        <f t="shared" si="32"/>
        <v>45730</v>
      </c>
      <c r="AA93" s="1"/>
      <c r="AB93" s="1"/>
      <c r="AC93" s="1"/>
      <c r="AD93" s="1"/>
      <c r="AE93" s="1"/>
      <c r="AF93" s="1"/>
      <c r="AG93" s="1"/>
    </row>
    <row r="94" spans="1:33" ht="20">
      <c r="A94" s="1"/>
      <c r="B94" s="11"/>
      <c r="C94" s="50">
        <v>74</v>
      </c>
      <c r="D94" s="51">
        <v>1</v>
      </c>
      <c r="E94" s="52">
        <f t="shared" si="27"/>
        <v>3</v>
      </c>
      <c r="F94" s="53">
        <f t="shared" si="28"/>
        <v>45731</v>
      </c>
      <c r="G94" s="54" t="str">
        <f t="shared" si="29"/>
        <v>Sat</v>
      </c>
      <c r="H94" s="55"/>
      <c r="I94" s="56"/>
      <c r="J94" s="82">
        <v>139390</v>
      </c>
      <c r="K94" s="83"/>
      <c r="L94" s="59">
        <f t="shared" si="23"/>
        <v>307692.30769230775</v>
      </c>
      <c r="M94" s="60">
        <f t="shared" si="24"/>
        <v>-168302.30769230775</v>
      </c>
      <c r="N94" s="61">
        <f t="shared" si="9"/>
        <v>0.45301749999999991</v>
      </c>
      <c r="O94" s="80"/>
      <c r="P94" s="59">
        <f>IF(D94=0,0,SUM($L$80:L94))</f>
        <v>4000000.0000000019</v>
      </c>
      <c r="Q94" s="59">
        <f>IF(D94=0,0,SUM($J$80:J94))</f>
        <v>3421990</v>
      </c>
      <c r="R94" s="63">
        <f t="shared" si="25"/>
        <v>-578010.00000000186</v>
      </c>
      <c r="S94" s="64">
        <f t="shared" si="30"/>
        <v>0.85549749999999958</v>
      </c>
      <c r="T94" s="73"/>
      <c r="U94" s="59">
        <f>IF(D94=0,0,SUM($L$21:L94))</f>
        <v>15076923.07692307</v>
      </c>
      <c r="V94" s="59">
        <f>IF(D94=0,0,SUM($J$21:J94))</f>
        <v>14805290</v>
      </c>
      <c r="W94" s="66">
        <f t="shared" si="26"/>
        <v>-271633.07692307048</v>
      </c>
      <c r="X94" s="67">
        <f t="shared" si="31"/>
        <v>0.98198352040816372</v>
      </c>
      <c r="Y94" s="68">
        <f t="shared" si="32"/>
        <v>45731</v>
      </c>
      <c r="Z94" s="69">
        <f t="shared" si="32"/>
        <v>45731</v>
      </c>
      <c r="AA94" s="1"/>
      <c r="AB94" s="1"/>
      <c r="AC94" s="1"/>
      <c r="AD94" s="1"/>
      <c r="AE94" s="1"/>
      <c r="AF94" s="1"/>
      <c r="AG94" s="1"/>
    </row>
    <row r="95" spans="1:33" ht="20">
      <c r="A95" s="1"/>
      <c r="B95" s="11"/>
      <c r="C95" s="50">
        <v>75</v>
      </c>
      <c r="D95" s="51">
        <v>0</v>
      </c>
      <c r="E95" s="52">
        <f t="shared" si="27"/>
        <v>3</v>
      </c>
      <c r="F95" s="53">
        <f t="shared" si="28"/>
        <v>45732</v>
      </c>
      <c r="G95" s="54" t="str">
        <f t="shared" si="29"/>
        <v>Sun</v>
      </c>
      <c r="H95" s="55"/>
      <c r="I95" s="56"/>
      <c r="J95" s="82"/>
      <c r="K95" s="83"/>
      <c r="L95" s="59">
        <f t="shared" si="23"/>
        <v>0</v>
      </c>
      <c r="M95" s="60">
        <f t="shared" si="24"/>
        <v>0</v>
      </c>
      <c r="N95" s="61" t="str">
        <f t="shared" si="9"/>
        <v>¥0</v>
      </c>
      <c r="O95" s="81"/>
      <c r="P95" s="59">
        <f>IF(D95=0,0,SUM($L$80:L95))</f>
        <v>0</v>
      </c>
      <c r="Q95" s="59">
        <f>IF(D95=0,0,SUM($J$80:J95))</f>
        <v>0</v>
      </c>
      <c r="R95" s="63">
        <f t="shared" si="25"/>
        <v>0</v>
      </c>
      <c r="S95" s="64">
        <f t="shared" si="30"/>
        <v>0</v>
      </c>
      <c r="T95" s="78"/>
      <c r="U95" s="59">
        <f>IF(D95=0,0,SUM($L$21:L95))</f>
        <v>0</v>
      </c>
      <c r="V95" s="59">
        <f>IF(D95=0,0,SUM($J$21:J95))</f>
        <v>0</v>
      </c>
      <c r="W95" s="66">
        <f t="shared" si="26"/>
        <v>0</v>
      </c>
      <c r="X95" s="67">
        <f t="shared" si="31"/>
        <v>0</v>
      </c>
      <c r="Y95" s="68">
        <f t="shared" si="32"/>
        <v>45732</v>
      </c>
      <c r="Z95" s="69">
        <f t="shared" si="32"/>
        <v>45732</v>
      </c>
      <c r="AA95" s="1"/>
      <c r="AB95" s="1"/>
      <c r="AC95" s="1"/>
      <c r="AD95" s="1"/>
      <c r="AE95" s="1"/>
      <c r="AF95" s="1"/>
      <c r="AG95" s="1"/>
    </row>
    <row r="96" spans="1:33" ht="20">
      <c r="A96" s="1"/>
      <c r="B96" s="11"/>
      <c r="C96" s="50">
        <v>76</v>
      </c>
      <c r="D96" s="51">
        <v>1</v>
      </c>
      <c r="E96" s="52">
        <f t="shared" si="27"/>
        <v>3</v>
      </c>
      <c r="F96" s="53">
        <f t="shared" si="28"/>
        <v>45733</v>
      </c>
      <c r="G96" s="54" t="str">
        <f t="shared" si="29"/>
        <v>Mon</v>
      </c>
      <c r="H96" s="55"/>
      <c r="I96" s="56"/>
      <c r="J96" s="82">
        <v>329600</v>
      </c>
      <c r="K96" s="83"/>
      <c r="L96" s="59">
        <f t="shared" si="23"/>
        <v>307692.30769230775</v>
      </c>
      <c r="M96" s="60">
        <f t="shared" si="24"/>
        <v>21907.692307692254</v>
      </c>
      <c r="N96" s="61">
        <f t="shared" si="9"/>
        <v>1.0711999999999997</v>
      </c>
      <c r="O96" s="80"/>
      <c r="P96" s="59">
        <f>IF(D96=0,0,SUM($L$80:L96))</f>
        <v>4307692.3076923098</v>
      </c>
      <c r="Q96" s="59">
        <f>IF(D96=0,0,SUM($J$80:J96))</f>
        <v>3751590</v>
      </c>
      <c r="R96" s="63">
        <f t="shared" si="25"/>
        <v>-556102.30769230984</v>
      </c>
      <c r="S96" s="64">
        <f t="shared" si="30"/>
        <v>0.87090482142857095</v>
      </c>
      <c r="T96" s="73"/>
      <c r="U96" s="59">
        <f>IF(D96=0,0,SUM($L$21:L96))</f>
        <v>15384615.384615378</v>
      </c>
      <c r="V96" s="59">
        <f>IF(D96=0,0,SUM($J$21:J96))</f>
        <v>15134890</v>
      </c>
      <c r="W96" s="66">
        <f t="shared" si="26"/>
        <v>-249725.38461537845</v>
      </c>
      <c r="X96" s="67">
        <f t="shared" si="31"/>
        <v>0.98376785000000044</v>
      </c>
      <c r="Y96" s="68">
        <f t="shared" si="32"/>
        <v>45733</v>
      </c>
      <c r="Z96" s="69">
        <f t="shared" si="32"/>
        <v>45733</v>
      </c>
      <c r="AA96" s="1"/>
      <c r="AB96" s="1"/>
      <c r="AC96" s="1"/>
      <c r="AD96" s="1"/>
      <c r="AE96" s="1"/>
      <c r="AF96" s="1"/>
      <c r="AG96" s="1"/>
    </row>
    <row r="97" spans="1:33" ht="20">
      <c r="A97" s="1"/>
      <c r="B97" s="11"/>
      <c r="C97" s="50">
        <v>77</v>
      </c>
      <c r="D97" s="51">
        <v>1</v>
      </c>
      <c r="E97" s="52">
        <f t="shared" si="27"/>
        <v>3</v>
      </c>
      <c r="F97" s="53">
        <f t="shared" si="28"/>
        <v>45734</v>
      </c>
      <c r="G97" s="54" t="str">
        <f t="shared" si="29"/>
        <v>Tue</v>
      </c>
      <c r="H97" s="55"/>
      <c r="I97" s="56"/>
      <c r="J97" s="82">
        <v>373470</v>
      </c>
      <c r="K97" s="83"/>
      <c r="L97" s="59">
        <f t="shared" si="23"/>
        <v>307692.30769230775</v>
      </c>
      <c r="M97" s="60">
        <f t="shared" si="24"/>
        <v>65777.692307692254</v>
      </c>
      <c r="N97" s="61">
        <f t="shared" si="9"/>
        <v>1.2137774999999997</v>
      </c>
      <c r="O97" s="80"/>
      <c r="P97" s="59">
        <f>IF(D97=0,0,SUM($L$80:L97))</f>
        <v>4615384.6153846178</v>
      </c>
      <c r="Q97" s="59">
        <f>IF(D97=0,0,SUM($J$80:J97))</f>
        <v>4125060</v>
      </c>
      <c r="R97" s="63">
        <f t="shared" si="25"/>
        <v>-490324.61538461782</v>
      </c>
      <c r="S97" s="64">
        <f t="shared" si="30"/>
        <v>0.89376299999999953</v>
      </c>
      <c r="T97" s="73"/>
      <c r="U97" s="59">
        <f>IF(D97=0,0,SUM($L$21:L97))</f>
        <v>15692307.692307686</v>
      </c>
      <c r="V97" s="59">
        <f>IF(D97=0,0,SUM($J$21:J97))</f>
        <v>15508360</v>
      </c>
      <c r="W97" s="66">
        <f t="shared" si="26"/>
        <v>-183947.69230768643</v>
      </c>
      <c r="X97" s="67">
        <f t="shared" si="31"/>
        <v>0.98827784313725531</v>
      </c>
      <c r="Y97" s="68">
        <f t="shared" si="32"/>
        <v>45734</v>
      </c>
      <c r="Z97" s="69">
        <f t="shared" si="32"/>
        <v>45734</v>
      </c>
      <c r="AA97" s="1"/>
      <c r="AB97" s="1"/>
      <c r="AC97" s="1"/>
      <c r="AD97" s="1"/>
      <c r="AE97" s="1"/>
      <c r="AF97" s="1"/>
      <c r="AG97" s="1"/>
    </row>
    <row r="98" spans="1:33" ht="20">
      <c r="A98" s="1"/>
      <c r="B98" s="11"/>
      <c r="C98" s="50">
        <v>78</v>
      </c>
      <c r="D98" s="51">
        <v>1</v>
      </c>
      <c r="E98" s="52">
        <f t="shared" si="27"/>
        <v>3</v>
      </c>
      <c r="F98" s="53">
        <f t="shared" si="28"/>
        <v>45735</v>
      </c>
      <c r="G98" s="54" t="str">
        <f t="shared" si="29"/>
        <v>Wed</v>
      </c>
      <c r="H98" s="55"/>
      <c r="I98" s="56"/>
      <c r="J98" s="82">
        <v>389950</v>
      </c>
      <c r="K98" s="83"/>
      <c r="L98" s="59">
        <f t="shared" si="23"/>
        <v>307692.30769230775</v>
      </c>
      <c r="M98" s="60">
        <f t="shared" si="24"/>
        <v>82257.692307692254</v>
      </c>
      <c r="N98" s="61">
        <f t="shared" si="9"/>
        <v>1.2673374999999998</v>
      </c>
      <c r="O98" s="80"/>
      <c r="P98" s="59">
        <f>IF(D98=0,0,SUM($L$80:L98))</f>
        <v>4923076.9230769258</v>
      </c>
      <c r="Q98" s="59">
        <f>IF(D98=0,0,SUM($J$80:J98))</f>
        <v>4515010</v>
      </c>
      <c r="R98" s="63">
        <f t="shared" si="25"/>
        <v>-408066.9230769258</v>
      </c>
      <c r="S98" s="64">
        <f t="shared" si="30"/>
        <v>0.91711140624999954</v>
      </c>
      <c r="T98" s="73"/>
      <c r="U98" s="59">
        <f>IF(D98=0,0,SUM($L$21:L98))</f>
        <v>15999999.999999994</v>
      </c>
      <c r="V98" s="59">
        <f>IF(D98=0,0,SUM($J$21:J98))</f>
        <v>15898310</v>
      </c>
      <c r="W98" s="66">
        <f t="shared" si="26"/>
        <v>-101689.99999999441</v>
      </c>
      <c r="X98" s="67">
        <f t="shared" si="31"/>
        <v>0.99364437500000036</v>
      </c>
      <c r="Y98" s="68">
        <f t="shared" si="32"/>
        <v>45735</v>
      </c>
      <c r="Z98" s="69">
        <f t="shared" si="32"/>
        <v>45735</v>
      </c>
      <c r="AA98" s="1"/>
      <c r="AB98" s="1"/>
      <c r="AC98" s="1"/>
      <c r="AD98" s="1"/>
      <c r="AE98" s="1"/>
      <c r="AF98" s="1"/>
      <c r="AG98" s="1"/>
    </row>
    <row r="99" spans="1:33" ht="20">
      <c r="A99" s="1"/>
      <c r="B99" s="11"/>
      <c r="C99" s="50">
        <v>79</v>
      </c>
      <c r="D99" s="51">
        <v>0</v>
      </c>
      <c r="E99" s="52">
        <f t="shared" si="27"/>
        <v>3</v>
      </c>
      <c r="F99" s="53">
        <f t="shared" si="28"/>
        <v>45736</v>
      </c>
      <c r="G99" s="54" t="str">
        <f t="shared" si="29"/>
        <v>Thu</v>
      </c>
      <c r="H99" s="55"/>
      <c r="I99" s="56"/>
      <c r="J99" s="82"/>
      <c r="K99" s="83"/>
      <c r="L99" s="59">
        <f t="shared" si="23"/>
        <v>0</v>
      </c>
      <c r="M99" s="60">
        <f t="shared" si="24"/>
        <v>0</v>
      </c>
      <c r="N99" s="61" t="str">
        <f t="shared" si="9"/>
        <v>¥0</v>
      </c>
      <c r="O99" s="81"/>
      <c r="P99" s="59">
        <f>IF(D99=0,0,SUM($L$80:L99))</f>
        <v>0</v>
      </c>
      <c r="Q99" s="59">
        <f>IF(D99=0,0,SUM($J$80:J99))</f>
        <v>0</v>
      </c>
      <c r="R99" s="63">
        <f t="shared" si="25"/>
        <v>0</v>
      </c>
      <c r="S99" s="64">
        <f t="shared" si="30"/>
        <v>0</v>
      </c>
      <c r="T99" s="78"/>
      <c r="U99" s="59">
        <f>IF(D99=0,0,SUM($L$21:L99))</f>
        <v>0</v>
      </c>
      <c r="V99" s="59">
        <f>IF(D99=0,0,SUM($J$21:J99))</f>
        <v>0</v>
      </c>
      <c r="W99" s="66">
        <f t="shared" si="26"/>
        <v>0</v>
      </c>
      <c r="X99" s="67">
        <f t="shared" si="31"/>
        <v>0</v>
      </c>
      <c r="Y99" s="68">
        <f t="shared" si="32"/>
        <v>45736</v>
      </c>
      <c r="Z99" s="69">
        <f t="shared" si="32"/>
        <v>45736</v>
      </c>
      <c r="AA99" s="1"/>
      <c r="AB99" s="1"/>
      <c r="AC99" s="1"/>
      <c r="AD99" s="1"/>
      <c r="AE99" s="1"/>
      <c r="AF99" s="1"/>
      <c r="AG99" s="1"/>
    </row>
    <row r="100" spans="1:33" ht="20">
      <c r="A100" s="1"/>
      <c r="B100" s="11"/>
      <c r="C100" s="50">
        <v>80</v>
      </c>
      <c r="D100" s="51">
        <v>1</v>
      </c>
      <c r="E100" s="52">
        <f t="shared" si="27"/>
        <v>3</v>
      </c>
      <c r="F100" s="53">
        <f t="shared" si="28"/>
        <v>45737</v>
      </c>
      <c r="G100" s="54" t="str">
        <f t="shared" si="29"/>
        <v>Fri</v>
      </c>
      <c r="H100" s="55"/>
      <c r="I100" s="56"/>
      <c r="J100" s="82">
        <v>283190</v>
      </c>
      <c r="K100" s="83"/>
      <c r="L100" s="59">
        <f t="shared" si="23"/>
        <v>307692.30769230775</v>
      </c>
      <c r="M100" s="60">
        <f t="shared" si="24"/>
        <v>-24502.307692307746</v>
      </c>
      <c r="N100" s="61">
        <f t="shared" si="9"/>
        <v>0.92036749999999989</v>
      </c>
      <c r="O100" s="80"/>
      <c r="P100" s="59">
        <f>IF(D100=0,0,SUM($L$80:L100))</f>
        <v>5230769.2307692338</v>
      </c>
      <c r="Q100" s="59">
        <f>IF(D100=0,0,SUM($J$80:J100))</f>
        <v>4798200</v>
      </c>
      <c r="R100" s="63">
        <f t="shared" si="25"/>
        <v>-432569.23076923378</v>
      </c>
      <c r="S100" s="64">
        <f t="shared" si="30"/>
        <v>0.91730294117647004</v>
      </c>
      <c r="T100" s="73"/>
      <c r="U100" s="59">
        <f>IF(D100=0,0,SUM($L$21:L100))</f>
        <v>16307692.307692302</v>
      </c>
      <c r="V100" s="59">
        <f>IF(D100=0,0,SUM($J$21:J100))</f>
        <v>16181500</v>
      </c>
      <c r="W100" s="66">
        <f t="shared" si="26"/>
        <v>-126192.30769230239</v>
      </c>
      <c r="X100" s="67">
        <f t="shared" si="31"/>
        <v>0.99226179245283053</v>
      </c>
      <c r="Y100" s="68">
        <f t="shared" si="32"/>
        <v>45737</v>
      </c>
      <c r="Z100" s="69">
        <f t="shared" si="32"/>
        <v>45737</v>
      </c>
      <c r="AA100" s="1"/>
      <c r="AB100" s="1"/>
      <c r="AC100" s="1"/>
      <c r="AD100" s="1"/>
      <c r="AE100" s="1"/>
      <c r="AF100" s="1"/>
      <c r="AG100" s="1"/>
    </row>
    <row r="101" spans="1:33" ht="20">
      <c r="A101" s="1"/>
      <c r="B101" s="11"/>
      <c r="C101" s="50">
        <v>81</v>
      </c>
      <c r="D101" s="51">
        <v>1</v>
      </c>
      <c r="E101" s="52">
        <f t="shared" si="27"/>
        <v>3</v>
      </c>
      <c r="F101" s="53">
        <f t="shared" si="28"/>
        <v>45738</v>
      </c>
      <c r="G101" s="54" t="str">
        <f t="shared" si="29"/>
        <v>Sat</v>
      </c>
      <c r="H101" s="55"/>
      <c r="I101" s="56"/>
      <c r="J101" s="82">
        <v>300980</v>
      </c>
      <c r="K101" s="83"/>
      <c r="L101" s="59">
        <f t="shared" si="23"/>
        <v>307692.30769230775</v>
      </c>
      <c r="M101" s="60">
        <f t="shared" si="24"/>
        <v>-6712.307692307746</v>
      </c>
      <c r="N101" s="61">
        <f t="shared" si="9"/>
        <v>0.97818499999999986</v>
      </c>
      <c r="O101" s="80"/>
      <c r="P101" s="59">
        <f>IF(D101=0,0,SUM($L$80:L101))</f>
        <v>5538461.5384615418</v>
      </c>
      <c r="Q101" s="59">
        <f>IF(D101=0,0,SUM($J$80:J101))</f>
        <v>5099180</v>
      </c>
      <c r="R101" s="63">
        <f t="shared" si="25"/>
        <v>-439281.53846154176</v>
      </c>
      <c r="S101" s="64">
        <f t="shared" si="30"/>
        <v>0.9206852777777772</v>
      </c>
      <c r="T101" s="73"/>
      <c r="U101" s="59">
        <f>IF(D101=0,0,SUM($L$21:L101))</f>
        <v>16615384.61538461</v>
      </c>
      <c r="V101" s="59">
        <f>IF(D101=0,0,SUM($J$21:J101))</f>
        <v>16482480</v>
      </c>
      <c r="W101" s="66">
        <f t="shared" si="26"/>
        <v>-132904.61538461037</v>
      </c>
      <c r="X101" s="67">
        <f t="shared" si="31"/>
        <v>0.99200111111111144</v>
      </c>
      <c r="Y101" s="68">
        <f t="shared" si="32"/>
        <v>45738</v>
      </c>
      <c r="Z101" s="69">
        <f t="shared" si="32"/>
        <v>45738</v>
      </c>
      <c r="AA101" s="1"/>
      <c r="AB101" s="1"/>
      <c r="AC101" s="1"/>
      <c r="AD101" s="1"/>
      <c r="AE101" s="1"/>
      <c r="AF101" s="1"/>
      <c r="AG101" s="1"/>
    </row>
    <row r="102" spans="1:33" ht="20">
      <c r="A102" s="1"/>
      <c r="B102" s="11"/>
      <c r="C102" s="50">
        <v>82</v>
      </c>
      <c r="D102" s="51">
        <v>0</v>
      </c>
      <c r="E102" s="52">
        <f t="shared" si="27"/>
        <v>3</v>
      </c>
      <c r="F102" s="53">
        <f t="shared" si="28"/>
        <v>45739</v>
      </c>
      <c r="G102" s="54" t="str">
        <f t="shared" si="29"/>
        <v>Sun</v>
      </c>
      <c r="H102" s="55"/>
      <c r="I102" s="56"/>
      <c r="J102" s="82"/>
      <c r="K102" s="83"/>
      <c r="L102" s="59">
        <f t="shared" si="23"/>
        <v>0</v>
      </c>
      <c r="M102" s="60">
        <f t="shared" si="24"/>
        <v>0</v>
      </c>
      <c r="N102" s="61" t="str">
        <f t="shared" si="9"/>
        <v>¥0</v>
      </c>
      <c r="O102" s="81"/>
      <c r="P102" s="59">
        <f>IF(D102=0,0,SUM($L$80:L102))</f>
        <v>0</v>
      </c>
      <c r="Q102" s="59">
        <f>IF(D102=0,0,SUM($J$80:J102))</f>
        <v>0</v>
      </c>
      <c r="R102" s="63">
        <f t="shared" si="25"/>
        <v>0</v>
      </c>
      <c r="S102" s="64">
        <f t="shared" si="30"/>
        <v>0</v>
      </c>
      <c r="T102" s="78"/>
      <c r="U102" s="59">
        <f>IF(D102=0,0,SUM($L$21:L102))</f>
        <v>0</v>
      </c>
      <c r="V102" s="59">
        <f>IF(D102=0,0,SUM($J$21:J102))</f>
        <v>0</v>
      </c>
      <c r="W102" s="66">
        <f t="shared" si="26"/>
        <v>0</v>
      </c>
      <c r="X102" s="67">
        <f t="shared" si="31"/>
        <v>0</v>
      </c>
      <c r="Y102" s="68">
        <f t="shared" si="32"/>
        <v>45739</v>
      </c>
      <c r="Z102" s="69">
        <f t="shared" si="32"/>
        <v>45739</v>
      </c>
      <c r="AA102" s="1"/>
      <c r="AB102" s="1"/>
      <c r="AC102" s="1"/>
      <c r="AD102" s="1"/>
      <c r="AE102" s="1"/>
      <c r="AF102" s="1"/>
      <c r="AG102" s="1"/>
    </row>
    <row r="103" spans="1:33" ht="20">
      <c r="A103" s="1"/>
      <c r="B103" s="11"/>
      <c r="C103" s="50">
        <v>83</v>
      </c>
      <c r="D103" s="51">
        <v>1</v>
      </c>
      <c r="E103" s="52">
        <f t="shared" si="27"/>
        <v>3</v>
      </c>
      <c r="F103" s="53">
        <f t="shared" si="28"/>
        <v>45740</v>
      </c>
      <c r="G103" s="54" t="str">
        <f t="shared" si="29"/>
        <v>Mon</v>
      </c>
      <c r="H103" s="55"/>
      <c r="I103" s="56"/>
      <c r="J103" s="82">
        <v>204700</v>
      </c>
      <c r="K103" s="83"/>
      <c r="L103" s="59">
        <f t="shared" si="23"/>
        <v>307692.30769230775</v>
      </c>
      <c r="M103" s="60">
        <f t="shared" si="24"/>
        <v>-102992.30769230775</v>
      </c>
      <c r="N103" s="61">
        <f t="shared" si="9"/>
        <v>0.66527499999999984</v>
      </c>
      <c r="O103" s="80"/>
      <c r="P103" s="59">
        <f>IF(D103=0,0,SUM($L$80:L103))</f>
        <v>5846153.8461538497</v>
      </c>
      <c r="Q103" s="59">
        <f>IF(D103=0,0,SUM($J$80:J103))</f>
        <v>5303880</v>
      </c>
      <c r="R103" s="63">
        <f t="shared" si="25"/>
        <v>-542273.84615384974</v>
      </c>
      <c r="S103" s="64">
        <f t="shared" si="30"/>
        <v>0.9072426315789468</v>
      </c>
      <c r="T103" s="73"/>
      <c r="U103" s="59">
        <f>IF(D103=0,0,SUM($L$21:L103))</f>
        <v>16923076.923076916</v>
      </c>
      <c r="V103" s="59">
        <f>IF(D103=0,0,SUM($J$21:J103))</f>
        <v>16687180</v>
      </c>
      <c r="W103" s="66">
        <f t="shared" si="26"/>
        <v>-235896.92307691649</v>
      </c>
      <c r="X103" s="67">
        <f t="shared" si="31"/>
        <v>0.98606063636363672</v>
      </c>
      <c r="Y103" s="68">
        <f t="shared" ref="Y103:Z118" si="33">Y102+1</f>
        <v>45740</v>
      </c>
      <c r="Z103" s="69">
        <f t="shared" si="33"/>
        <v>45740</v>
      </c>
      <c r="AA103" s="1"/>
      <c r="AB103" s="1"/>
      <c r="AC103" s="1"/>
      <c r="AD103" s="1"/>
      <c r="AE103" s="1"/>
      <c r="AF103" s="1"/>
      <c r="AG103" s="1"/>
    </row>
    <row r="104" spans="1:33" ht="20">
      <c r="A104" s="1"/>
      <c r="B104" s="11"/>
      <c r="C104" s="50">
        <v>84</v>
      </c>
      <c r="D104" s="51">
        <v>1</v>
      </c>
      <c r="E104" s="52">
        <f t="shared" si="27"/>
        <v>3</v>
      </c>
      <c r="F104" s="53">
        <f t="shared" si="28"/>
        <v>45741</v>
      </c>
      <c r="G104" s="54" t="str">
        <f t="shared" si="29"/>
        <v>Tue</v>
      </c>
      <c r="H104" s="55"/>
      <c r="I104" s="56"/>
      <c r="J104" s="82">
        <v>349250</v>
      </c>
      <c r="K104" s="83"/>
      <c r="L104" s="59">
        <f t="shared" si="23"/>
        <v>307692.30769230775</v>
      </c>
      <c r="M104" s="60">
        <f t="shared" si="24"/>
        <v>41557.692307692254</v>
      </c>
      <c r="N104" s="61">
        <f t="shared" si="9"/>
        <v>1.1350624999999999</v>
      </c>
      <c r="O104" s="80"/>
      <c r="P104" s="59">
        <f>IF(D104=0,0,SUM($L$80:L104))</f>
        <v>6153846.1538461577</v>
      </c>
      <c r="Q104" s="59">
        <f>IF(D104=0,0,SUM($J$80:J104))</f>
        <v>5653130</v>
      </c>
      <c r="R104" s="63">
        <f t="shared" si="25"/>
        <v>-500716.15384615771</v>
      </c>
      <c r="S104" s="64">
        <f t="shared" si="30"/>
        <v>0.91863362499999945</v>
      </c>
      <c r="T104" s="73"/>
      <c r="U104" s="59">
        <f>IF(D104=0,0,SUM($L$21:L104))</f>
        <v>17230769.230769224</v>
      </c>
      <c r="V104" s="59">
        <f>IF(D104=0,0,SUM($J$21:J104))</f>
        <v>17036430</v>
      </c>
      <c r="W104" s="66">
        <f t="shared" si="26"/>
        <v>-194339.23076922446</v>
      </c>
      <c r="X104" s="67">
        <f t="shared" si="31"/>
        <v>0.98872138392857178</v>
      </c>
      <c r="Y104" s="68">
        <f t="shared" si="33"/>
        <v>45741</v>
      </c>
      <c r="Z104" s="69">
        <f t="shared" si="33"/>
        <v>45741</v>
      </c>
      <c r="AA104" s="1"/>
      <c r="AB104" s="1"/>
      <c r="AC104" s="1"/>
      <c r="AD104" s="1"/>
      <c r="AE104" s="1"/>
      <c r="AF104" s="1"/>
      <c r="AG104" s="1"/>
    </row>
    <row r="105" spans="1:33" ht="20">
      <c r="A105" s="1"/>
      <c r="B105" s="11"/>
      <c r="C105" s="50">
        <v>85</v>
      </c>
      <c r="D105" s="51">
        <v>1</v>
      </c>
      <c r="E105" s="52">
        <f t="shared" si="27"/>
        <v>3</v>
      </c>
      <c r="F105" s="53">
        <f t="shared" si="28"/>
        <v>45742</v>
      </c>
      <c r="G105" s="54" t="str">
        <f t="shared" si="29"/>
        <v>Wed</v>
      </c>
      <c r="H105" s="55"/>
      <c r="I105" s="56"/>
      <c r="J105" s="82">
        <v>446680</v>
      </c>
      <c r="K105" s="83"/>
      <c r="L105" s="59">
        <f t="shared" si="23"/>
        <v>307692.30769230775</v>
      </c>
      <c r="M105" s="60">
        <f t="shared" si="24"/>
        <v>138987.69230769225</v>
      </c>
      <c r="N105" s="61">
        <f t="shared" si="9"/>
        <v>1.4517099999999998</v>
      </c>
      <c r="O105" s="80"/>
      <c r="P105" s="59">
        <f>IF(D105=0,0,SUM($L$80:L105))</f>
        <v>6461538.4615384657</v>
      </c>
      <c r="Q105" s="59">
        <f>IF(D105=0,0,SUM($J$80:J105))</f>
        <v>6099810</v>
      </c>
      <c r="R105" s="63">
        <f t="shared" si="25"/>
        <v>-361728.46153846569</v>
      </c>
      <c r="S105" s="64">
        <f t="shared" si="30"/>
        <v>0.94401821428571364</v>
      </c>
      <c r="T105" s="73"/>
      <c r="U105" s="59">
        <f>IF(D105=0,0,SUM($L$21:L105))</f>
        <v>17538461.538461532</v>
      </c>
      <c r="V105" s="59">
        <f>IF(D105=0,0,SUM($J$21:J105))</f>
        <v>17483110</v>
      </c>
      <c r="W105" s="66">
        <f t="shared" si="26"/>
        <v>-55351.538461532444</v>
      </c>
      <c r="X105" s="67">
        <f t="shared" si="31"/>
        <v>0.99684399122807055</v>
      </c>
      <c r="Y105" s="68">
        <f t="shared" si="33"/>
        <v>45742</v>
      </c>
      <c r="Z105" s="69">
        <f t="shared" si="33"/>
        <v>45742</v>
      </c>
      <c r="AA105" s="1"/>
      <c r="AB105" s="1"/>
      <c r="AC105" s="1"/>
      <c r="AD105" s="1"/>
      <c r="AE105" s="1"/>
      <c r="AF105" s="1"/>
      <c r="AG105" s="1"/>
    </row>
    <row r="106" spans="1:33" ht="20">
      <c r="A106" s="1"/>
      <c r="B106" s="11"/>
      <c r="C106" s="50">
        <v>86</v>
      </c>
      <c r="D106" s="51">
        <v>1</v>
      </c>
      <c r="E106" s="52">
        <f t="shared" si="27"/>
        <v>3</v>
      </c>
      <c r="F106" s="53">
        <f t="shared" si="28"/>
        <v>45743</v>
      </c>
      <c r="G106" s="54" t="str">
        <f t="shared" si="29"/>
        <v>Thu</v>
      </c>
      <c r="H106" s="55"/>
      <c r="I106" s="56"/>
      <c r="J106" s="82">
        <v>367730</v>
      </c>
      <c r="K106" s="83"/>
      <c r="L106" s="59">
        <f t="shared" si="23"/>
        <v>307692.30769230775</v>
      </c>
      <c r="M106" s="60">
        <f t="shared" si="24"/>
        <v>60037.692307692254</v>
      </c>
      <c r="N106" s="61">
        <f t="shared" si="9"/>
        <v>1.1951224999999999</v>
      </c>
      <c r="O106" s="80"/>
      <c r="P106" s="59">
        <f>IF(D106=0,0,SUM($L$80:L106))</f>
        <v>6769230.7692307737</v>
      </c>
      <c r="Q106" s="59">
        <f>IF(D106=0,0,SUM($J$80:J106))</f>
        <v>6467540</v>
      </c>
      <c r="R106" s="63">
        <f t="shared" si="25"/>
        <v>-301690.76923077367</v>
      </c>
      <c r="S106" s="64">
        <f t="shared" si="30"/>
        <v>0.95543204545454485</v>
      </c>
      <c r="T106" s="73"/>
      <c r="U106" s="59">
        <f>IF(D106=0,0,SUM($L$21:L106))</f>
        <v>17846153.84615384</v>
      </c>
      <c r="V106" s="59">
        <f>IF(D106=0,0,SUM($J$21:J106))</f>
        <v>17850840</v>
      </c>
      <c r="W106" s="66">
        <f t="shared" si="26"/>
        <v>4686.1538461595774</v>
      </c>
      <c r="X106" s="67">
        <f t="shared" si="31"/>
        <v>1.0002625862068968</v>
      </c>
      <c r="Y106" s="68">
        <f t="shared" si="33"/>
        <v>45743</v>
      </c>
      <c r="Z106" s="69">
        <f t="shared" si="33"/>
        <v>45743</v>
      </c>
      <c r="AA106" s="1"/>
      <c r="AB106" s="1"/>
      <c r="AC106" s="1"/>
      <c r="AD106" s="1"/>
      <c r="AE106" s="1"/>
      <c r="AF106" s="1"/>
      <c r="AG106" s="1"/>
    </row>
    <row r="107" spans="1:33" ht="20">
      <c r="A107" s="1"/>
      <c r="B107" s="11"/>
      <c r="C107" s="50">
        <v>87</v>
      </c>
      <c r="D107" s="51">
        <v>1</v>
      </c>
      <c r="E107" s="52">
        <f t="shared" si="27"/>
        <v>3</v>
      </c>
      <c r="F107" s="53">
        <f t="shared" si="28"/>
        <v>45744</v>
      </c>
      <c r="G107" s="54" t="str">
        <f t="shared" si="29"/>
        <v>Fri</v>
      </c>
      <c r="H107" s="55"/>
      <c r="I107" s="56"/>
      <c r="J107" s="82">
        <v>441460</v>
      </c>
      <c r="K107" s="83"/>
      <c r="L107" s="59">
        <f t="shared" si="23"/>
        <v>307692.30769230775</v>
      </c>
      <c r="M107" s="60">
        <f t="shared" si="24"/>
        <v>133767.69230769225</v>
      </c>
      <c r="N107" s="61">
        <f t="shared" si="9"/>
        <v>1.4347449999999997</v>
      </c>
      <c r="O107" s="80"/>
      <c r="P107" s="59">
        <f>IF(D107=0,0,SUM($L$80:L107))</f>
        <v>7076923.0769230817</v>
      </c>
      <c r="Q107" s="59">
        <f>IF(D107=0,0,SUM($J$80:J107))</f>
        <v>6909000</v>
      </c>
      <c r="R107" s="63">
        <f t="shared" si="25"/>
        <v>-167923.07692308165</v>
      </c>
      <c r="S107" s="64">
        <f t="shared" si="30"/>
        <v>0.97627173913043408</v>
      </c>
      <c r="T107" s="73"/>
      <c r="U107" s="59">
        <f>IF(D107=0,0,SUM($L$21:L107))</f>
        <v>18153846.153846148</v>
      </c>
      <c r="V107" s="59">
        <f>IF(D107=0,0,SUM($J$21:J107))</f>
        <v>18292300</v>
      </c>
      <c r="W107" s="66">
        <f t="shared" si="26"/>
        <v>138453.8461538516</v>
      </c>
      <c r="X107" s="67">
        <f t="shared" si="31"/>
        <v>1.0076266949152546</v>
      </c>
      <c r="Y107" s="68">
        <f t="shared" si="33"/>
        <v>45744</v>
      </c>
      <c r="Z107" s="69">
        <f t="shared" si="33"/>
        <v>45744</v>
      </c>
      <c r="AA107" s="1"/>
      <c r="AB107" s="1"/>
      <c r="AC107" s="1"/>
      <c r="AD107" s="1"/>
      <c r="AE107" s="1"/>
      <c r="AF107" s="1"/>
      <c r="AG107" s="1"/>
    </row>
    <row r="108" spans="1:33" ht="20">
      <c r="A108" s="1"/>
      <c r="B108" s="11"/>
      <c r="C108" s="50">
        <v>88</v>
      </c>
      <c r="D108" s="51">
        <v>1</v>
      </c>
      <c r="E108" s="52">
        <f t="shared" si="27"/>
        <v>3</v>
      </c>
      <c r="F108" s="53">
        <f t="shared" si="28"/>
        <v>45745</v>
      </c>
      <c r="G108" s="54" t="str">
        <f t="shared" si="29"/>
        <v>Sat</v>
      </c>
      <c r="H108" s="55"/>
      <c r="I108" s="56"/>
      <c r="J108" s="82">
        <v>123790</v>
      </c>
      <c r="K108" s="83"/>
      <c r="L108" s="59">
        <f t="shared" si="23"/>
        <v>307692.30769230775</v>
      </c>
      <c r="M108" s="60">
        <f t="shared" si="24"/>
        <v>-183902.30769230775</v>
      </c>
      <c r="N108" s="61">
        <f t="shared" si="9"/>
        <v>0.40231749999999994</v>
      </c>
      <c r="O108" s="80"/>
      <c r="P108" s="59">
        <f>IF(D108=0,0,SUM($L$80:L108))</f>
        <v>7384615.3846153896</v>
      </c>
      <c r="Q108" s="59">
        <f>IF(D108=0,0,SUM($J$80:J108))</f>
        <v>7032790</v>
      </c>
      <c r="R108" s="63">
        <f t="shared" si="25"/>
        <v>-351825.38461538963</v>
      </c>
      <c r="S108" s="64">
        <f t="shared" si="30"/>
        <v>0.95235697916666606</v>
      </c>
      <c r="T108" s="73"/>
      <c r="U108" s="59">
        <f>IF(D108=0,0,SUM($L$21:L108))</f>
        <v>18461538.461538456</v>
      </c>
      <c r="V108" s="59">
        <f>IF(D108=0,0,SUM($J$21:J108))</f>
        <v>18416090</v>
      </c>
      <c r="W108" s="66">
        <f t="shared" si="26"/>
        <v>-45448.46153845638</v>
      </c>
      <c r="X108" s="67">
        <f t="shared" si="31"/>
        <v>0.99753820833333362</v>
      </c>
      <c r="Y108" s="68">
        <f t="shared" si="33"/>
        <v>45745</v>
      </c>
      <c r="Z108" s="69">
        <f t="shared" si="33"/>
        <v>45745</v>
      </c>
      <c r="AA108" s="1"/>
      <c r="AB108" s="1"/>
      <c r="AC108" s="1"/>
      <c r="AD108" s="1"/>
      <c r="AE108" s="1"/>
      <c r="AF108" s="1"/>
      <c r="AG108" s="1"/>
    </row>
    <row r="109" spans="1:33" ht="20">
      <c r="A109" s="1"/>
      <c r="B109" s="11"/>
      <c r="C109" s="50">
        <v>89</v>
      </c>
      <c r="D109" s="51">
        <v>0</v>
      </c>
      <c r="E109" s="52">
        <f t="shared" si="27"/>
        <v>3</v>
      </c>
      <c r="F109" s="53">
        <f t="shared" si="28"/>
        <v>45746</v>
      </c>
      <c r="G109" s="54" t="str">
        <f t="shared" si="29"/>
        <v>Sun</v>
      </c>
      <c r="H109" s="55"/>
      <c r="I109" s="56"/>
      <c r="J109" s="82"/>
      <c r="K109" s="83"/>
      <c r="L109" s="59">
        <f t="shared" si="23"/>
        <v>0</v>
      </c>
      <c r="M109" s="60">
        <f t="shared" si="24"/>
        <v>0</v>
      </c>
      <c r="N109" s="61" t="str">
        <f t="shared" si="9"/>
        <v>¥0</v>
      </c>
      <c r="O109" s="81"/>
      <c r="P109" s="59">
        <f>IF(D109=0,0,SUM($L$80:L109))</f>
        <v>0</v>
      </c>
      <c r="Q109" s="59">
        <f>IF(D109=0,0,SUM($J$80:J109))</f>
        <v>0</v>
      </c>
      <c r="R109" s="63">
        <f t="shared" si="25"/>
        <v>0</v>
      </c>
      <c r="S109" s="64">
        <f t="shared" si="30"/>
        <v>0</v>
      </c>
      <c r="T109" s="78"/>
      <c r="U109" s="59">
        <f>IF(D109=0,0,SUM($L$21:L109))</f>
        <v>0</v>
      </c>
      <c r="V109" s="59">
        <f>IF(D109=0,0,SUM($J$21:J109))</f>
        <v>0</v>
      </c>
      <c r="W109" s="66">
        <f t="shared" si="26"/>
        <v>0</v>
      </c>
      <c r="X109" s="67">
        <f t="shared" si="31"/>
        <v>0</v>
      </c>
      <c r="Y109" s="68">
        <f t="shared" si="33"/>
        <v>45746</v>
      </c>
      <c r="Z109" s="69">
        <f t="shared" si="33"/>
        <v>45746</v>
      </c>
      <c r="AA109" s="1"/>
      <c r="AB109" s="1"/>
      <c r="AC109" s="1"/>
      <c r="AD109" s="1"/>
      <c r="AE109" s="1"/>
      <c r="AF109" s="1"/>
      <c r="AG109" s="1"/>
    </row>
    <row r="110" spans="1:33" ht="21" thickBot="1">
      <c r="A110" s="1"/>
      <c r="B110" s="11"/>
      <c r="C110" s="100">
        <v>90</v>
      </c>
      <c r="D110" s="85">
        <v>1</v>
      </c>
      <c r="E110" s="501">
        <f t="shared" si="27"/>
        <v>3</v>
      </c>
      <c r="F110" s="86">
        <f t="shared" si="28"/>
        <v>45747</v>
      </c>
      <c r="G110" s="87" t="str">
        <f t="shared" si="29"/>
        <v>Mon</v>
      </c>
      <c r="H110" s="508"/>
      <c r="I110" s="502"/>
      <c r="J110" s="89">
        <v>162500</v>
      </c>
      <c r="K110" s="503"/>
      <c r="L110" s="90">
        <f t="shared" si="23"/>
        <v>307692.30769230775</v>
      </c>
      <c r="M110" s="91">
        <f t="shared" si="24"/>
        <v>-145192.30769230775</v>
      </c>
      <c r="N110" s="98">
        <f t="shared" si="9"/>
        <v>0.52812499999999996</v>
      </c>
      <c r="O110" s="504"/>
      <c r="P110" s="93">
        <f>IF(D110=0,0,SUM($L$80:L110))</f>
        <v>7692307.6923076976</v>
      </c>
      <c r="Q110" s="90">
        <f>IF(D110=0,0,SUM($J$80:J110))</f>
        <v>7195290</v>
      </c>
      <c r="R110" s="91">
        <f t="shared" si="25"/>
        <v>-497017.69230769761</v>
      </c>
      <c r="S110" s="505">
        <f t="shared" si="30"/>
        <v>0.93538769999999938</v>
      </c>
      <c r="T110" s="506"/>
      <c r="U110" s="94">
        <f>IF(D110=0,0,SUM($L$21:L110))</f>
        <v>18769230.769230764</v>
      </c>
      <c r="V110" s="90">
        <f>IF(D110=0,0,SUM($J$21:J110))</f>
        <v>18578590</v>
      </c>
      <c r="W110" s="95">
        <f t="shared" si="26"/>
        <v>-190640.76923076436</v>
      </c>
      <c r="X110" s="507">
        <f t="shared" si="31"/>
        <v>0.98984290983606582</v>
      </c>
      <c r="Y110" s="68">
        <f t="shared" si="33"/>
        <v>45747</v>
      </c>
      <c r="Z110" s="69">
        <f t="shared" si="33"/>
        <v>45747</v>
      </c>
      <c r="AA110" s="1"/>
      <c r="AB110" s="1"/>
      <c r="AC110" s="1"/>
      <c r="AD110" s="1"/>
      <c r="AE110" s="1"/>
      <c r="AF110" s="1"/>
      <c r="AG110" s="1"/>
    </row>
    <row r="111" spans="1:33" ht="21" thickTop="1">
      <c r="A111" s="1"/>
      <c r="B111" s="11"/>
      <c r="C111" s="50">
        <v>91</v>
      </c>
      <c r="D111" s="96">
        <v>1</v>
      </c>
      <c r="E111" s="52">
        <f t="shared" si="27"/>
        <v>4</v>
      </c>
      <c r="F111" s="53">
        <f t="shared" si="28"/>
        <v>45748</v>
      </c>
      <c r="G111" s="54" t="str">
        <f t="shared" si="29"/>
        <v>Tue</v>
      </c>
      <c r="H111" s="55"/>
      <c r="I111" s="56"/>
      <c r="J111" s="82">
        <v>429950</v>
      </c>
      <c r="K111" s="83"/>
      <c r="L111" s="59">
        <f t="shared" ref="L111:L140" si="34">IF(D111=0,0,$K$10)</f>
        <v>307692.30769230775</v>
      </c>
      <c r="M111" s="63">
        <f t="shared" si="24"/>
        <v>122257.69230769225</v>
      </c>
      <c r="N111" s="97">
        <f t="shared" si="9"/>
        <v>1.3973374999999997</v>
      </c>
      <c r="O111" s="80"/>
      <c r="P111" s="59">
        <f>IF(D111=0,0,$L$111)</f>
        <v>307692.30769230775</v>
      </c>
      <c r="Q111" s="59">
        <f>IF(D111=0,0,$J$111)</f>
        <v>429950</v>
      </c>
      <c r="R111" s="63">
        <f t="shared" si="25"/>
        <v>122257.69230769225</v>
      </c>
      <c r="S111" s="499">
        <f t="shared" si="30"/>
        <v>1.3973374999999997</v>
      </c>
      <c r="T111" s="73"/>
      <c r="U111" s="59">
        <f>IF(D111=0,0,SUM($L$21:L111))</f>
        <v>19076923.076923072</v>
      </c>
      <c r="V111" s="59">
        <f>IF(D111=0,0,SUM($J$21:J111))</f>
        <v>19008540</v>
      </c>
      <c r="W111" s="66">
        <f t="shared" si="26"/>
        <v>-68383.076923072338</v>
      </c>
      <c r="X111" s="500">
        <f t="shared" si="31"/>
        <v>0.99641540322580668</v>
      </c>
      <c r="Y111" s="68">
        <f t="shared" si="33"/>
        <v>45748</v>
      </c>
      <c r="Z111" s="69">
        <f t="shared" si="33"/>
        <v>45748</v>
      </c>
      <c r="AA111" s="1"/>
      <c r="AB111" s="1"/>
      <c r="AC111" s="1"/>
      <c r="AD111" s="1"/>
      <c r="AE111" s="1"/>
      <c r="AF111" s="1"/>
      <c r="AG111" s="1"/>
    </row>
    <row r="112" spans="1:33" ht="20">
      <c r="A112" s="1"/>
      <c r="B112" s="11"/>
      <c r="C112" s="50">
        <v>92</v>
      </c>
      <c r="D112" s="51">
        <v>1</v>
      </c>
      <c r="E112" s="52">
        <f t="shared" si="27"/>
        <v>4</v>
      </c>
      <c r="F112" s="53">
        <f t="shared" si="28"/>
        <v>45749</v>
      </c>
      <c r="G112" s="54" t="str">
        <f t="shared" si="29"/>
        <v>Wed</v>
      </c>
      <c r="H112" s="55"/>
      <c r="I112" s="56"/>
      <c r="J112" s="82">
        <v>283410</v>
      </c>
      <c r="K112" s="83"/>
      <c r="L112" s="59">
        <f t="shared" si="34"/>
        <v>307692.30769230775</v>
      </c>
      <c r="M112" s="60">
        <f t="shared" si="24"/>
        <v>-24282.307692307746</v>
      </c>
      <c r="N112" s="61">
        <f t="shared" si="9"/>
        <v>0.9210824999999998</v>
      </c>
      <c r="O112" s="80"/>
      <c r="P112" s="59">
        <f>IF(D112=0,0,SUM($L$111:L112))</f>
        <v>615384.61538461549</v>
      </c>
      <c r="Q112" s="59">
        <f>IF(D112=0,0,SUM($J$111:J112))</f>
        <v>713360</v>
      </c>
      <c r="R112" s="63">
        <f t="shared" si="25"/>
        <v>97975.384615384508</v>
      </c>
      <c r="S112" s="64">
        <f t="shared" si="30"/>
        <v>1.1592099999999999</v>
      </c>
      <c r="T112" s="73"/>
      <c r="U112" s="59">
        <f>IF(D112=0,0,SUM($L$21:L112))</f>
        <v>19384615.38461538</v>
      </c>
      <c r="V112" s="59">
        <f>IF(D112=0,0,SUM($J$21:J112))</f>
        <v>19291950</v>
      </c>
      <c r="W112" s="66">
        <f t="shared" si="26"/>
        <v>-92665.384615380317</v>
      </c>
      <c r="X112" s="67">
        <f t="shared" si="31"/>
        <v>0.99521964285714304</v>
      </c>
      <c r="Y112" s="68">
        <f t="shared" si="33"/>
        <v>45749</v>
      </c>
      <c r="Z112" s="69">
        <f t="shared" si="33"/>
        <v>45749</v>
      </c>
      <c r="AA112" s="1"/>
      <c r="AB112" s="1"/>
      <c r="AC112" s="1"/>
      <c r="AD112" s="1"/>
      <c r="AE112" s="1"/>
      <c r="AF112" s="1"/>
      <c r="AG112" s="1"/>
    </row>
    <row r="113" spans="1:33" ht="20">
      <c r="A113" s="1"/>
      <c r="B113" s="11"/>
      <c r="C113" s="50">
        <v>93</v>
      </c>
      <c r="D113" s="51">
        <v>1</v>
      </c>
      <c r="E113" s="52">
        <f t="shared" si="27"/>
        <v>4</v>
      </c>
      <c r="F113" s="53">
        <f t="shared" si="28"/>
        <v>45750</v>
      </c>
      <c r="G113" s="54" t="str">
        <f t="shared" si="29"/>
        <v>Thu</v>
      </c>
      <c r="H113" s="55"/>
      <c r="I113" s="56"/>
      <c r="J113" s="82">
        <v>393710</v>
      </c>
      <c r="K113" s="83"/>
      <c r="L113" s="59">
        <f t="shared" si="34"/>
        <v>307692.30769230775</v>
      </c>
      <c r="M113" s="60">
        <f t="shared" si="24"/>
        <v>86017.692307692254</v>
      </c>
      <c r="N113" s="61">
        <f t="shared" si="9"/>
        <v>1.2795574999999997</v>
      </c>
      <c r="O113" s="80"/>
      <c r="P113" s="59">
        <f>IF(D113=0,0,SUM($L$111:L113))</f>
        <v>923076.92307692324</v>
      </c>
      <c r="Q113" s="59">
        <f>IF(D113=0,0,SUM($J$111:J113))</f>
        <v>1107070</v>
      </c>
      <c r="R113" s="63">
        <f t="shared" si="25"/>
        <v>183993.07692307676</v>
      </c>
      <c r="S113" s="64">
        <f t="shared" si="30"/>
        <v>1.1993258333333332</v>
      </c>
      <c r="T113" s="73"/>
      <c r="U113" s="59">
        <f>IF(D113=0,0,SUM($L$21:L113))</f>
        <v>19692307.692307688</v>
      </c>
      <c r="V113" s="59">
        <f>IF(D113=0,0,SUM($J$21:J113))</f>
        <v>19685660</v>
      </c>
      <c r="W113" s="66">
        <f t="shared" si="26"/>
        <v>-6647.6923076882958</v>
      </c>
      <c r="X113" s="67">
        <f t="shared" si="31"/>
        <v>0.99966242187500021</v>
      </c>
      <c r="Y113" s="68">
        <f t="shared" si="33"/>
        <v>45750</v>
      </c>
      <c r="Z113" s="69">
        <f t="shared" si="33"/>
        <v>45750</v>
      </c>
      <c r="AA113" s="1"/>
      <c r="AB113" s="1"/>
      <c r="AC113" s="1"/>
      <c r="AD113" s="1"/>
      <c r="AE113" s="1"/>
      <c r="AF113" s="1"/>
      <c r="AG113" s="1"/>
    </row>
    <row r="114" spans="1:33" ht="20">
      <c r="A114" s="1"/>
      <c r="B114" s="11"/>
      <c r="C114" s="50">
        <v>94</v>
      </c>
      <c r="D114" s="51">
        <v>1</v>
      </c>
      <c r="E114" s="52">
        <f t="shared" si="27"/>
        <v>4</v>
      </c>
      <c r="F114" s="53">
        <f t="shared" si="28"/>
        <v>45751</v>
      </c>
      <c r="G114" s="54" t="str">
        <f t="shared" si="29"/>
        <v>Fri</v>
      </c>
      <c r="H114" s="55"/>
      <c r="I114" s="56"/>
      <c r="J114" s="82">
        <v>305950</v>
      </c>
      <c r="K114" s="83"/>
      <c r="L114" s="59">
        <f t="shared" si="34"/>
        <v>307692.30769230775</v>
      </c>
      <c r="M114" s="60">
        <f t="shared" si="24"/>
        <v>-1742.307692307746</v>
      </c>
      <c r="N114" s="61">
        <f t="shared" si="9"/>
        <v>0.99433749999999987</v>
      </c>
      <c r="O114" s="80"/>
      <c r="P114" s="59">
        <f>IF(D114=0,0,SUM($L$111:L114))</f>
        <v>1230769.230769231</v>
      </c>
      <c r="Q114" s="59">
        <f>IF(D114=0,0,SUM($J$111:J114))</f>
        <v>1413020</v>
      </c>
      <c r="R114" s="63">
        <f t="shared" si="25"/>
        <v>182250.76923076902</v>
      </c>
      <c r="S114" s="64">
        <f t="shared" si="30"/>
        <v>1.1480787499999998</v>
      </c>
      <c r="T114" s="73"/>
      <c r="U114" s="59">
        <f>IF(D114=0,0,SUM($L$21:L114))</f>
        <v>19999999.999999996</v>
      </c>
      <c r="V114" s="59">
        <f>IF(D114=0,0,SUM($J$21:J114))</f>
        <v>19991610</v>
      </c>
      <c r="W114" s="66">
        <f t="shared" si="26"/>
        <v>-8389.9999999962747</v>
      </c>
      <c r="X114" s="67">
        <f t="shared" si="31"/>
        <v>0.9995805000000002</v>
      </c>
      <c r="Y114" s="68">
        <f t="shared" si="33"/>
        <v>45751</v>
      </c>
      <c r="Z114" s="69">
        <f t="shared" si="33"/>
        <v>45751</v>
      </c>
      <c r="AA114" s="1"/>
      <c r="AB114" s="1"/>
      <c r="AC114" s="1"/>
      <c r="AD114" s="1"/>
      <c r="AE114" s="1"/>
      <c r="AF114" s="1"/>
      <c r="AG114" s="1"/>
    </row>
    <row r="115" spans="1:33" ht="20">
      <c r="A115" s="1"/>
      <c r="B115" s="11"/>
      <c r="C115" s="50">
        <v>95</v>
      </c>
      <c r="D115" s="51">
        <v>1</v>
      </c>
      <c r="E115" s="52">
        <f t="shared" si="27"/>
        <v>4</v>
      </c>
      <c r="F115" s="53">
        <f t="shared" si="28"/>
        <v>45752</v>
      </c>
      <c r="G115" s="54" t="str">
        <f t="shared" si="29"/>
        <v>Sat</v>
      </c>
      <c r="H115" s="55"/>
      <c r="I115" s="56"/>
      <c r="J115" s="82">
        <v>144770</v>
      </c>
      <c r="K115" s="83"/>
      <c r="L115" s="59">
        <f t="shared" si="34"/>
        <v>307692.30769230775</v>
      </c>
      <c r="M115" s="60">
        <f t="shared" si="24"/>
        <v>-162922.30769230775</v>
      </c>
      <c r="N115" s="61">
        <f t="shared" si="9"/>
        <v>0.47050249999999993</v>
      </c>
      <c r="O115" s="80"/>
      <c r="P115" s="59">
        <f>IF(D115=0,0,SUM($L$111:L115))</f>
        <v>1538461.5384615387</v>
      </c>
      <c r="Q115" s="59">
        <f>IF(D115=0,0,SUM($J$111:J115))</f>
        <v>1557790</v>
      </c>
      <c r="R115" s="63">
        <f t="shared" si="25"/>
        <v>19328.46153846127</v>
      </c>
      <c r="S115" s="64">
        <f t="shared" si="30"/>
        <v>1.0125634999999997</v>
      </c>
      <c r="T115" s="73"/>
      <c r="U115" s="59">
        <f>IF(D115=0,0,SUM($L$21:L115))</f>
        <v>20307692.307692304</v>
      </c>
      <c r="V115" s="59">
        <f>IF(D115=0,0,SUM($J$21:J115))</f>
        <v>20136380</v>
      </c>
      <c r="W115" s="66">
        <f t="shared" si="26"/>
        <v>-171312.30769230425</v>
      </c>
      <c r="X115" s="67">
        <f t="shared" si="31"/>
        <v>0.9915641666666668</v>
      </c>
      <c r="Y115" s="68">
        <f t="shared" si="33"/>
        <v>45752</v>
      </c>
      <c r="Z115" s="69">
        <f t="shared" si="33"/>
        <v>45752</v>
      </c>
      <c r="AA115" s="1"/>
      <c r="AB115" s="1"/>
      <c r="AC115" s="1"/>
      <c r="AD115" s="1"/>
      <c r="AE115" s="1"/>
      <c r="AF115" s="1"/>
      <c r="AG115" s="1"/>
    </row>
    <row r="116" spans="1:33" ht="20">
      <c r="A116" s="1"/>
      <c r="B116" s="11"/>
      <c r="C116" s="50">
        <v>96</v>
      </c>
      <c r="D116" s="51">
        <v>0</v>
      </c>
      <c r="E116" s="52">
        <f t="shared" si="27"/>
        <v>4</v>
      </c>
      <c r="F116" s="53">
        <f t="shared" si="28"/>
        <v>45753</v>
      </c>
      <c r="G116" s="54" t="str">
        <f t="shared" si="29"/>
        <v>Sun</v>
      </c>
      <c r="H116" s="55"/>
      <c r="I116" s="56"/>
      <c r="J116" s="82"/>
      <c r="K116" s="83"/>
      <c r="L116" s="59">
        <f t="shared" si="34"/>
        <v>0</v>
      </c>
      <c r="M116" s="60">
        <f t="shared" si="24"/>
        <v>0</v>
      </c>
      <c r="N116" s="61" t="str">
        <f t="shared" si="9"/>
        <v>¥0</v>
      </c>
      <c r="O116" s="81"/>
      <c r="P116" s="59">
        <f>IF(D116=0,0,SUM($L$111:L116))</f>
        <v>0</v>
      </c>
      <c r="Q116" s="59">
        <f>IF(D116=0,0,SUM($J$111:J116))</f>
        <v>0</v>
      </c>
      <c r="R116" s="63">
        <f t="shared" si="25"/>
        <v>0</v>
      </c>
      <c r="S116" s="64">
        <f t="shared" si="30"/>
        <v>0</v>
      </c>
      <c r="T116" s="78"/>
      <c r="U116" s="59">
        <f>IF(D116=0,0,SUM($L$21:L116))</f>
        <v>0</v>
      </c>
      <c r="V116" s="59">
        <f>IF(D116=0,0,SUM($J$21:J116))</f>
        <v>0</v>
      </c>
      <c r="W116" s="66">
        <f t="shared" si="26"/>
        <v>0</v>
      </c>
      <c r="X116" s="67">
        <f t="shared" si="31"/>
        <v>0</v>
      </c>
      <c r="Y116" s="68">
        <f t="shared" si="33"/>
        <v>45753</v>
      </c>
      <c r="Z116" s="69">
        <f t="shared" si="33"/>
        <v>45753</v>
      </c>
      <c r="AA116" s="1"/>
      <c r="AB116" s="1"/>
      <c r="AC116" s="1"/>
      <c r="AD116" s="1"/>
      <c r="AE116" s="1"/>
      <c r="AF116" s="1"/>
      <c r="AG116" s="1"/>
    </row>
    <row r="117" spans="1:33" ht="20">
      <c r="A117" s="1"/>
      <c r="B117" s="11"/>
      <c r="C117" s="50">
        <v>97</v>
      </c>
      <c r="D117" s="51">
        <v>1</v>
      </c>
      <c r="E117" s="52">
        <f t="shared" si="27"/>
        <v>4</v>
      </c>
      <c r="F117" s="53">
        <f t="shared" si="28"/>
        <v>45754</v>
      </c>
      <c r="G117" s="54" t="str">
        <f t="shared" si="29"/>
        <v>Mon</v>
      </c>
      <c r="H117" s="55"/>
      <c r="I117" s="56"/>
      <c r="J117" s="82">
        <v>152630</v>
      </c>
      <c r="K117" s="83"/>
      <c r="L117" s="59">
        <f t="shared" si="34"/>
        <v>307692.30769230775</v>
      </c>
      <c r="M117" s="60">
        <f t="shared" si="24"/>
        <v>-155062.30769230775</v>
      </c>
      <c r="N117" s="61">
        <f t="shared" si="9"/>
        <v>0.49604749999999992</v>
      </c>
      <c r="O117" s="80"/>
      <c r="P117" s="59">
        <f>IF(D117=0,0,SUM($L$111:L117))</f>
        <v>1846153.8461538465</v>
      </c>
      <c r="Q117" s="59">
        <f>IF(D117=0,0,SUM($J$111:J117))</f>
        <v>1710420</v>
      </c>
      <c r="R117" s="63">
        <f t="shared" si="25"/>
        <v>-135733.84615384648</v>
      </c>
      <c r="S117" s="64">
        <f t="shared" si="30"/>
        <v>0.92647749999999984</v>
      </c>
      <c r="T117" s="73"/>
      <c r="U117" s="59">
        <f>IF(D117=0,0,SUM($L$21:L117))</f>
        <v>20615384.615384612</v>
      </c>
      <c r="V117" s="59">
        <f>IF(D117=0,0,SUM($J$21:J117))</f>
        <v>20289010</v>
      </c>
      <c r="W117" s="66">
        <f t="shared" si="26"/>
        <v>-326374.61538461223</v>
      </c>
      <c r="X117" s="67">
        <f t="shared" si="31"/>
        <v>0.98416839552238822</v>
      </c>
      <c r="Y117" s="68">
        <f t="shared" si="33"/>
        <v>45754</v>
      </c>
      <c r="Z117" s="69">
        <f t="shared" si="33"/>
        <v>45754</v>
      </c>
      <c r="AA117" s="1"/>
      <c r="AB117" s="1"/>
      <c r="AC117" s="1"/>
      <c r="AD117" s="1"/>
      <c r="AE117" s="1"/>
      <c r="AF117" s="1"/>
      <c r="AG117" s="1"/>
    </row>
    <row r="118" spans="1:33" ht="20">
      <c r="A118" s="1"/>
      <c r="B118" s="11"/>
      <c r="C118" s="50">
        <v>98</v>
      </c>
      <c r="D118" s="51">
        <v>1</v>
      </c>
      <c r="E118" s="52">
        <f t="shared" si="27"/>
        <v>4</v>
      </c>
      <c r="F118" s="53">
        <f t="shared" si="28"/>
        <v>45755</v>
      </c>
      <c r="G118" s="54" t="str">
        <f t="shared" si="29"/>
        <v>Tue</v>
      </c>
      <c r="H118" s="55"/>
      <c r="I118" s="56"/>
      <c r="J118" s="82">
        <v>195950</v>
      </c>
      <c r="K118" s="83"/>
      <c r="L118" s="59">
        <f t="shared" si="34"/>
        <v>307692.30769230775</v>
      </c>
      <c r="M118" s="60">
        <f t="shared" si="24"/>
        <v>-111742.30769230775</v>
      </c>
      <c r="N118" s="61">
        <f t="shared" si="9"/>
        <v>0.63683749999999983</v>
      </c>
      <c r="O118" s="80"/>
      <c r="P118" s="59">
        <f>IF(D118=0,0,SUM($L$111:L118))</f>
        <v>2153846.153846154</v>
      </c>
      <c r="Q118" s="59">
        <f>IF(D118=0,0,SUM($J$111:J118))</f>
        <v>1906370</v>
      </c>
      <c r="R118" s="63">
        <f t="shared" si="25"/>
        <v>-247476.15384615399</v>
      </c>
      <c r="S118" s="64">
        <f t="shared" si="30"/>
        <v>0.88510035714285706</v>
      </c>
      <c r="T118" s="73"/>
      <c r="U118" s="59">
        <f>IF(D118=0,0,SUM($L$21:L118))</f>
        <v>20923076.92307692</v>
      </c>
      <c r="V118" s="59">
        <f>IF(D118=0,0,SUM($J$21:J118))</f>
        <v>20484960</v>
      </c>
      <c r="W118" s="66">
        <f t="shared" si="26"/>
        <v>-438116.92307692021</v>
      </c>
      <c r="X118" s="67">
        <f t="shared" si="31"/>
        <v>0.97906058823529429</v>
      </c>
      <c r="Y118" s="68">
        <f t="shared" si="33"/>
        <v>45755</v>
      </c>
      <c r="Z118" s="69">
        <f t="shared" si="33"/>
        <v>45755</v>
      </c>
      <c r="AA118" s="1"/>
      <c r="AB118" s="1"/>
      <c r="AC118" s="1"/>
      <c r="AD118" s="1"/>
      <c r="AE118" s="1"/>
      <c r="AF118" s="1"/>
      <c r="AG118" s="1"/>
    </row>
    <row r="119" spans="1:33" ht="20">
      <c r="A119" s="1"/>
      <c r="B119" s="11"/>
      <c r="C119" s="50">
        <v>99</v>
      </c>
      <c r="D119" s="51">
        <v>1</v>
      </c>
      <c r="E119" s="52">
        <f t="shared" si="27"/>
        <v>4</v>
      </c>
      <c r="F119" s="53">
        <f t="shared" si="28"/>
        <v>45756</v>
      </c>
      <c r="G119" s="54" t="str">
        <f t="shared" si="29"/>
        <v>Wed</v>
      </c>
      <c r="H119" s="55"/>
      <c r="I119" s="56"/>
      <c r="J119" s="82">
        <v>304550</v>
      </c>
      <c r="K119" s="83"/>
      <c r="L119" s="59">
        <f t="shared" si="34"/>
        <v>307692.30769230775</v>
      </c>
      <c r="M119" s="60">
        <f t="shared" si="24"/>
        <v>-3142.307692307746</v>
      </c>
      <c r="N119" s="61">
        <f t="shared" si="9"/>
        <v>0.98978749999999982</v>
      </c>
      <c r="O119" s="80"/>
      <c r="P119" s="59">
        <f>IF(D119=0,0,SUM($L$111:L119))</f>
        <v>2461538.461538462</v>
      </c>
      <c r="Q119" s="59">
        <f>IF(D119=0,0,SUM($J$111:J119))</f>
        <v>2210920</v>
      </c>
      <c r="R119" s="63">
        <f t="shared" si="25"/>
        <v>-250618.46153846197</v>
      </c>
      <c r="S119" s="64">
        <f t="shared" si="30"/>
        <v>0.89818624999999985</v>
      </c>
      <c r="T119" s="73"/>
      <c r="U119" s="59">
        <f>IF(D119=0,0,SUM($L$21:L119))</f>
        <v>21230769.230769228</v>
      </c>
      <c r="V119" s="59">
        <f>IF(D119=0,0,SUM($J$21:J119))</f>
        <v>20789510</v>
      </c>
      <c r="W119" s="66">
        <f t="shared" si="26"/>
        <v>-441259.23076922819</v>
      </c>
      <c r="X119" s="67">
        <f t="shared" si="31"/>
        <v>0.9792160507246378</v>
      </c>
      <c r="Y119" s="68">
        <f t="shared" ref="Y119:Z134" si="35">Y118+1</f>
        <v>45756</v>
      </c>
      <c r="Z119" s="69">
        <f t="shared" si="35"/>
        <v>45756</v>
      </c>
      <c r="AA119" s="1"/>
      <c r="AB119" s="1"/>
      <c r="AC119" s="1"/>
      <c r="AD119" s="1"/>
      <c r="AE119" s="1"/>
      <c r="AF119" s="1"/>
      <c r="AG119" s="1"/>
    </row>
    <row r="120" spans="1:33" ht="20">
      <c r="A120" s="1"/>
      <c r="B120" s="11"/>
      <c r="C120" s="50">
        <v>100</v>
      </c>
      <c r="D120" s="51">
        <v>1</v>
      </c>
      <c r="E120" s="52">
        <f t="shared" si="27"/>
        <v>4</v>
      </c>
      <c r="F120" s="53">
        <f t="shared" si="28"/>
        <v>45757</v>
      </c>
      <c r="G120" s="54" t="str">
        <f t="shared" si="29"/>
        <v>Thu</v>
      </c>
      <c r="H120" s="55"/>
      <c r="I120" s="56"/>
      <c r="J120" s="82">
        <v>387170</v>
      </c>
      <c r="K120" s="83"/>
      <c r="L120" s="59">
        <f t="shared" si="34"/>
        <v>307692.30769230775</v>
      </c>
      <c r="M120" s="60">
        <f t="shared" si="24"/>
        <v>79477.692307692254</v>
      </c>
      <c r="N120" s="61">
        <f t="shared" si="9"/>
        <v>1.2583024999999999</v>
      </c>
      <c r="O120" s="80"/>
      <c r="P120" s="59">
        <f>IF(D120=0,0,SUM($L$111:L120))</f>
        <v>2769230.7692307699</v>
      </c>
      <c r="Q120" s="59">
        <f>IF(D120=0,0,SUM($J$111:J120))</f>
        <v>2598090</v>
      </c>
      <c r="R120" s="63">
        <f t="shared" si="25"/>
        <v>-171140.76923076995</v>
      </c>
      <c r="S120" s="64">
        <f t="shared" si="30"/>
        <v>0.93819916666666647</v>
      </c>
      <c r="T120" s="73"/>
      <c r="U120" s="59">
        <f>IF(D120=0,0,SUM($L$21:L120))</f>
        <v>21538461.538461536</v>
      </c>
      <c r="V120" s="59">
        <f>IF(D120=0,0,SUM($J$21:J120))</f>
        <v>21176680</v>
      </c>
      <c r="W120" s="66">
        <f t="shared" si="26"/>
        <v>-361781.53846153617</v>
      </c>
      <c r="X120" s="67">
        <f t="shared" si="31"/>
        <v>0.98320300000000005</v>
      </c>
      <c r="Y120" s="68">
        <f t="shared" si="35"/>
        <v>45757</v>
      </c>
      <c r="Z120" s="69">
        <f t="shared" si="35"/>
        <v>45757</v>
      </c>
      <c r="AA120" s="1"/>
      <c r="AB120" s="1"/>
      <c r="AC120" s="1"/>
      <c r="AD120" s="1"/>
      <c r="AE120" s="1"/>
      <c r="AF120" s="1"/>
      <c r="AG120" s="1"/>
    </row>
    <row r="121" spans="1:33" ht="20">
      <c r="A121" s="1"/>
      <c r="B121" s="11"/>
      <c r="C121" s="50">
        <v>101</v>
      </c>
      <c r="D121" s="51">
        <v>1</v>
      </c>
      <c r="E121" s="52">
        <f t="shared" si="27"/>
        <v>4</v>
      </c>
      <c r="F121" s="53">
        <f t="shared" si="28"/>
        <v>45758</v>
      </c>
      <c r="G121" s="54" t="str">
        <f t="shared" si="29"/>
        <v>Fri</v>
      </c>
      <c r="H121" s="55"/>
      <c r="I121" s="56"/>
      <c r="J121" s="82">
        <v>528790</v>
      </c>
      <c r="K121" s="83"/>
      <c r="L121" s="59">
        <f t="shared" si="34"/>
        <v>307692.30769230775</v>
      </c>
      <c r="M121" s="60">
        <f t="shared" si="24"/>
        <v>221097.69230769225</v>
      </c>
      <c r="N121" s="61">
        <f t="shared" si="9"/>
        <v>1.7185674999999998</v>
      </c>
      <c r="O121" s="80"/>
      <c r="P121" s="59">
        <f>IF(D121=0,0,SUM($L$111:L121))</f>
        <v>3076923.0769230779</v>
      </c>
      <c r="Q121" s="59">
        <f>IF(D121=0,0,SUM($J$111:J121))</f>
        <v>3126880</v>
      </c>
      <c r="R121" s="63">
        <f t="shared" si="25"/>
        <v>49956.923076922074</v>
      </c>
      <c r="S121" s="64">
        <f t="shared" si="30"/>
        <v>1.0162359999999997</v>
      </c>
      <c r="T121" s="73"/>
      <c r="U121" s="59">
        <f>IF(D121=0,0,SUM($L$21:L121))</f>
        <v>21846153.846153844</v>
      </c>
      <c r="V121" s="59">
        <f>IF(D121=0,0,SUM($J$21:J121))</f>
        <v>21705470</v>
      </c>
      <c r="W121" s="66">
        <f t="shared" si="26"/>
        <v>-140683.84615384415</v>
      </c>
      <c r="X121" s="67">
        <f t="shared" si="31"/>
        <v>0.99356024647887331</v>
      </c>
      <c r="Y121" s="68">
        <f t="shared" si="35"/>
        <v>45758</v>
      </c>
      <c r="Z121" s="69">
        <f t="shared" si="35"/>
        <v>45758</v>
      </c>
      <c r="AA121" s="1"/>
      <c r="AB121" s="1"/>
      <c r="AC121" s="1"/>
      <c r="AD121" s="1"/>
      <c r="AE121" s="1"/>
      <c r="AF121" s="1"/>
      <c r="AG121" s="1"/>
    </row>
    <row r="122" spans="1:33" ht="20">
      <c r="A122" s="1"/>
      <c r="B122" s="11"/>
      <c r="C122" s="50">
        <v>102</v>
      </c>
      <c r="D122" s="51">
        <v>1</v>
      </c>
      <c r="E122" s="52">
        <f t="shared" si="27"/>
        <v>4</v>
      </c>
      <c r="F122" s="53">
        <f t="shared" si="28"/>
        <v>45759</v>
      </c>
      <c r="G122" s="54" t="str">
        <f t="shared" si="29"/>
        <v>Sat</v>
      </c>
      <c r="H122" s="55"/>
      <c r="I122" s="56"/>
      <c r="J122" s="82">
        <v>89880</v>
      </c>
      <c r="K122" s="83"/>
      <c r="L122" s="59">
        <f t="shared" si="34"/>
        <v>307692.30769230775</v>
      </c>
      <c r="M122" s="60">
        <f t="shared" si="24"/>
        <v>-217812.30769230775</v>
      </c>
      <c r="N122" s="61">
        <f t="shared" si="9"/>
        <v>0.29210999999999993</v>
      </c>
      <c r="O122" s="80"/>
      <c r="P122" s="59">
        <f>IF(D122=0,0,SUM($L$111:L122))</f>
        <v>3384615.3846153859</v>
      </c>
      <c r="Q122" s="59">
        <f>IF(D122=0,0,SUM($J$111:J122))</f>
        <v>3216760</v>
      </c>
      <c r="R122" s="63">
        <f t="shared" si="25"/>
        <v>-167855.3846153859</v>
      </c>
      <c r="S122" s="64">
        <f t="shared" si="30"/>
        <v>0.95040636363636333</v>
      </c>
      <c r="T122" s="73"/>
      <c r="U122" s="59">
        <f>IF(D122=0,0,SUM($L$21:L122))</f>
        <v>22153846.153846152</v>
      </c>
      <c r="V122" s="59">
        <f>IF(D122=0,0,SUM($J$21:J122))</f>
        <v>21795350</v>
      </c>
      <c r="W122" s="66">
        <f t="shared" si="26"/>
        <v>-358496.15384615213</v>
      </c>
      <c r="X122" s="67">
        <f t="shared" si="31"/>
        <v>0.98381788194444453</v>
      </c>
      <c r="Y122" s="68">
        <f t="shared" si="35"/>
        <v>45759</v>
      </c>
      <c r="Z122" s="69">
        <f t="shared" si="35"/>
        <v>45759</v>
      </c>
      <c r="AA122" s="1"/>
      <c r="AB122" s="1"/>
      <c r="AC122" s="1"/>
      <c r="AD122" s="1"/>
      <c r="AE122" s="1"/>
      <c r="AF122" s="1"/>
      <c r="AG122" s="1"/>
    </row>
    <row r="123" spans="1:33" ht="20">
      <c r="A123" s="1"/>
      <c r="B123" s="11"/>
      <c r="C123" s="50">
        <v>103</v>
      </c>
      <c r="D123" s="51">
        <v>0</v>
      </c>
      <c r="E123" s="52">
        <f t="shared" si="27"/>
        <v>4</v>
      </c>
      <c r="F123" s="53">
        <f t="shared" si="28"/>
        <v>45760</v>
      </c>
      <c r="G123" s="54" t="str">
        <f t="shared" si="29"/>
        <v>Sun</v>
      </c>
      <c r="H123" s="55"/>
      <c r="I123" s="56"/>
      <c r="J123" s="82"/>
      <c r="K123" s="83"/>
      <c r="L123" s="59">
        <f t="shared" si="34"/>
        <v>0</v>
      </c>
      <c r="M123" s="60">
        <f t="shared" si="24"/>
        <v>0</v>
      </c>
      <c r="N123" s="61" t="str">
        <f t="shared" si="9"/>
        <v>¥0</v>
      </c>
      <c r="O123" s="81"/>
      <c r="P123" s="59">
        <f>IF(D123=0,0,SUM($L$111:L123))</f>
        <v>0</v>
      </c>
      <c r="Q123" s="59">
        <f>IF(D123=0,0,SUM($J$111:J123))</f>
        <v>0</v>
      </c>
      <c r="R123" s="63">
        <f t="shared" si="25"/>
        <v>0</v>
      </c>
      <c r="S123" s="64">
        <f t="shared" si="30"/>
        <v>0</v>
      </c>
      <c r="T123" s="78"/>
      <c r="U123" s="59">
        <f>IF(D123=0,0,SUM($L$21:L123))</f>
        <v>0</v>
      </c>
      <c r="V123" s="59">
        <f>IF(D123=0,0,SUM($J$21:J123))</f>
        <v>0</v>
      </c>
      <c r="W123" s="66">
        <f t="shared" si="26"/>
        <v>0</v>
      </c>
      <c r="X123" s="67">
        <f t="shared" si="31"/>
        <v>0</v>
      </c>
      <c r="Y123" s="68">
        <f t="shared" si="35"/>
        <v>45760</v>
      </c>
      <c r="Z123" s="69">
        <f t="shared" si="35"/>
        <v>45760</v>
      </c>
      <c r="AA123" s="1"/>
      <c r="AB123" s="1"/>
      <c r="AC123" s="1"/>
      <c r="AD123" s="1"/>
      <c r="AE123" s="1"/>
      <c r="AF123" s="1"/>
      <c r="AG123" s="1"/>
    </row>
    <row r="124" spans="1:33" ht="20">
      <c r="A124" s="1"/>
      <c r="B124" s="11"/>
      <c r="C124" s="50">
        <v>104</v>
      </c>
      <c r="D124" s="51">
        <v>1</v>
      </c>
      <c r="E124" s="52">
        <f t="shared" si="27"/>
        <v>4</v>
      </c>
      <c r="F124" s="53">
        <f t="shared" si="28"/>
        <v>45761</v>
      </c>
      <c r="G124" s="54" t="str">
        <f t="shared" si="29"/>
        <v>Mon</v>
      </c>
      <c r="H124" s="55"/>
      <c r="I124" s="56"/>
      <c r="J124" s="82">
        <v>160150</v>
      </c>
      <c r="K124" s="83"/>
      <c r="L124" s="59">
        <f t="shared" si="34"/>
        <v>307692.30769230775</v>
      </c>
      <c r="M124" s="60">
        <f t="shared" si="24"/>
        <v>-147542.30769230775</v>
      </c>
      <c r="N124" s="61">
        <f t="shared" si="9"/>
        <v>0.52048749999999988</v>
      </c>
      <c r="O124" s="80"/>
      <c r="P124" s="59">
        <f>IF(D124=0,0,SUM($L$111:L124))</f>
        <v>3692307.6923076939</v>
      </c>
      <c r="Q124" s="59">
        <f>IF(D124=0,0,SUM($J$111:J124))</f>
        <v>3376910</v>
      </c>
      <c r="R124" s="63">
        <f t="shared" si="25"/>
        <v>-315397.69230769388</v>
      </c>
      <c r="S124" s="64">
        <f t="shared" si="30"/>
        <v>0.91457979166666625</v>
      </c>
      <c r="T124" s="73"/>
      <c r="U124" s="59">
        <f>IF(D124=0,0,SUM($L$21:L124))</f>
        <v>22461538.46153846</v>
      </c>
      <c r="V124" s="59">
        <f>IF(D124=0,0,SUM($J$21:J124))</f>
        <v>21955500</v>
      </c>
      <c r="W124" s="66">
        <f t="shared" si="26"/>
        <v>-506038.46153846011</v>
      </c>
      <c r="X124" s="67">
        <f t="shared" si="31"/>
        <v>0.97747089041095891</v>
      </c>
      <c r="Y124" s="68">
        <f t="shared" si="35"/>
        <v>45761</v>
      </c>
      <c r="Z124" s="69">
        <f t="shared" si="35"/>
        <v>45761</v>
      </c>
      <c r="AA124" s="1"/>
      <c r="AB124" s="1"/>
      <c r="AC124" s="1"/>
      <c r="AD124" s="1"/>
      <c r="AE124" s="1"/>
      <c r="AF124" s="1"/>
      <c r="AG124" s="1"/>
    </row>
    <row r="125" spans="1:33" ht="20">
      <c r="A125" s="1"/>
      <c r="B125" s="11"/>
      <c r="C125" s="50">
        <v>105</v>
      </c>
      <c r="D125" s="51">
        <v>1</v>
      </c>
      <c r="E125" s="52">
        <f t="shared" si="27"/>
        <v>4</v>
      </c>
      <c r="F125" s="53">
        <f t="shared" si="28"/>
        <v>45762</v>
      </c>
      <c r="G125" s="54" t="str">
        <f t="shared" si="29"/>
        <v>Tue</v>
      </c>
      <c r="H125" s="55"/>
      <c r="I125" s="56"/>
      <c r="J125" s="82">
        <v>169010</v>
      </c>
      <c r="K125" s="83"/>
      <c r="L125" s="59">
        <f t="shared" si="34"/>
        <v>307692.30769230775</v>
      </c>
      <c r="M125" s="60">
        <f t="shared" si="24"/>
        <v>-138682.30769230775</v>
      </c>
      <c r="N125" s="61">
        <f t="shared" si="9"/>
        <v>0.5492824999999999</v>
      </c>
      <c r="O125" s="80"/>
      <c r="P125" s="59">
        <f>IF(D125=0,0,SUM($L$111:L125))</f>
        <v>4000000.0000000019</v>
      </c>
      <c r="Q125" s="59">
        <f>IF(D125=0,0,SUM($J$111:J125))</f>
        <v>3545920</v>
      </c>
      <c r="R125" s="63">
        <f t="shared" si="25"/>
        <v>-454080.00000000186</v>
      </c>
      <c r="S125" s="64">
        <f t="shared" si="30"/>
        <v>0.8864799999999996</v>
      </c>
      <c r="T125" s="73"/>
      <c r="U125" s="59">
        <f>IF(D125=0,0,SUM($L$21:L125))</f>
        <v>22769230.769230768</v>
      </c>
      <c r="V125" s="59">
        <f>IF(D125=0,0,SUM($J$21:J125))</f>
        <v>22124510</v>
      </c>
      <c r="W125" s="66">
        <f t="shared" si="26"/>
        <v>-644720.76923076808</v>
      </c>
      <c r="X125" s="67">
        <f t="shared" si="31"/>
        <v>0.97168456081081089</v>
      </c>
      <c r="Y125" s="68">
        <f t="shared" si="35"/>
        <v>45762</v>
      </c>
      <c r="Z125" s="69">
        <f t="shared" si="35"/>
        <v>45762</v>
      </c>
      <c r="AA125" s="1"/>
      <c r="AB125" s="1"/>
      <c r="AC125" s="1"/>
      <c r="AD125" s="1"/>
      <c r="AE125" s="1"/>
      <c r="AF125" s="1"/>
      <c r="AG125" s="1"/>
    </row>
    <row r="126" spans="1:33" ht="20">
      <c r="A126" s="1"/>
      <c r="B126" s="11"/>
      <c r="C126" s="50">
        <v>106</v>
      </c>
      <c r="D126" s="51">
        <v>1</v>
      </c>
      <c r="E126" s="52">
        <f t="shared" si="27"/>
        <v>4</v>
      </c>
      <c r="F126" s="53">
        <f t="shared" si="28"/>
        <v>45763</v>
      </c>
      <c r="G126" s="54" t="str">
        <f t="shared" si="29"/>
        <v>Wed</v>
      </c>
      <c r="H126" s="55"/>
      <c r="I126" s="56"/>
      <c r="J126" s="82">
        <v>334900</v>
      </c>
      <c r="K126" s="83"/>
      <c r="L126" s="59">
        <f t="shared" si="34"/>
        <v>307692.30769230775</v>
      </c>
      <c r="M126" s="60">
        <f t="shared" si="24"/>
        <v>27207.692307692254</v>
      </c>
      <c r="N126" s="61">
        <f t="shared" si="9"/>
        <v>1.0884249999999998</v>
      </c>
      <c r="O126" s="80"/>
      <c r="P126" s="59">
        <f>IF(D126=0,0,SUM($L$111:L126))</f>
        <v>4307692.3076923098</v>
      </c>
      <c r="Q126" s="59">
        <f>IF(D126=0,0,SUM($J$111:J126))</f>
        <v>3880820</v>
      </c>
      <c r="R126" s="63">
        <f t="shared" si="25"/>
        <v>-426872.30769230984</v>
      </c>
      <c r="S126" s="64">
        <f t="shared" si="30"/>
        <v>0.90090464285714245</v>
      </c>
      <c r="T126" s="73"/>
      <c r="U126" s="59">
        <f>IF(D126=0,0,SUM($L$21:L126))</f>
        <v>23076923.076923076</v>
      </c>
      <c r="V126" s="59">
        <f>IF(D126=0,0,SUM($J$21:J126))</f>
        <v>22459410</v>
      </c>
      <c r="W126" s="66">
        <f t="shared" si="26"/>
        <v>-617513.07692307606</v>
      </c>
      <c r="X126" s="67">
        <f t="shared" si="31"/>
        <v>0.97324110000000008</v>
      </c>
      <c r="Y126" s="68">
        <f t="shared" si="35"/>
        <v>45763</v>
      </c>
      <c r="Z126" s="69">
        <f t="shared" si="35"/>
        <v>45763</v>
      </c>
      <c r="AA126" s="1"/>
      <c r="AB126" s="1"/>
      <c r="AC126" s="1"/>
      <c r="AD126" s="1"/>
      <c r="AE126" s="1"/>
      <c r="AF126" s="1"/>
      <c r="AG126" s="1"/>
    </row>
    <row r="127" spans="1:33" ht="20">
      <c r="A127" s="1"/>
      <c r="B127" s="11"/>
      <c r="C127" s="50">
        <v>107</v>
      </c>
      <c r="D127" s="51">
        <v>1</v>
      </c>
      <c r="E127" s="52">
        <f t="shared" si="27"/>
        <v>4</v>
      </c>
      <c r="F127" s="53">
        <f t="shared" si="28"/>
        <v>45764</v>
      </c>
      <c r="G127" s="54" t="str">
        <f t="shared" si="29"/>
        <v>Thu</v>
      </c>
      <c r="H127" s="55"/>
      <c r="I127" s="56"/>
      <c r="J127" s="82">
        <v>178350</v>
      </c>
      <c r="K127" s="83"/>
      <c r="L127" s="59">
        <f t="shared" si="34"/>
        <v>307692.30769230775</v>
      </c>
      <c r="M127" s="60">
        <f t="shared" si="24"/>
        <v>-129342.30769230775</v>
      </c>
      <c r="N127" s="61">
        <f t="shared" si="9"/>
        <v>0.57963749999999992</v>
      </c>
      <c r="O127" s="80"/>
      <c r="P127" s="59">
        <f>IF(D127=0,0,SUM($L$111:L127))</f>
        <v>4615384.6153846178</v>
      </c>
      <c r="Q127" s="59">
        <f>IF(D127=0,0,SUM($J$111:J127))</f>
        <v>4059170</v>
      </c>
      <c r="R127" s="63">
        <f t="shared" si="25"/>
        <v>-556214.61538461782</v>
      </c>
      <c r="S127" s="64">
        <f t="shared" si="30"/>
        <v>0.87948683333333288</v>
      </c>
      <c r="T127" s="73"/>
      <c r="U127" s="59">
        <f>IF(D127=0,0,SUM($L$21:L127))</f>
        <v>23384615.384615384</v>
      </c>
      <c r="V127" s="59">
        <f>IF(D127=0,0,SUM($J$21:J127))</f>
        <v>22637760</v>
      </c>
      <c r="W127" s="66">
        <f t="shared" si="26"/>
        <v>-746855.38461538404</v>
      </c>
      <c r="X127" s="67">
        <f t="shared" si="31"/>
        <v>0.96806210526315795</v>
      </c>
      <c r="Y127" s="68">
        <f t="shared" si="35"/>
        <v>45764</v>
      </c>
      <c r="Z127" s="69">
        <f t="shared" si="35"/>
        <v>45764</v>
      </c>
      <c r="AA127" s="1"/>
      <c r="AB127" s="1"/>
      <c r="AC127" s="1"/>
      <c r="AD127" s="1"/>
      <c r="AE127" s="1"/>
      <c r="AF127" s="1"/>
      <c r="AG127" s="1"/>
    </row>
    <row r="128" spans="1:33" ht="20">
      <c r="A128" s="1"/>
      <c r="B128" s="11"/>
      <c r="C128" s="50">
        <v>108</v>
      </c>
      <c r="D128" s="51">
        <v>1</v>
      </c>
      <c r="E128" s="52">
        <f t="shared" si="27"/>
        <v>4</v>
      </c>
      <c r="F128" s="53">
        <f t="shared" si="28"/>
        <v>45765</v>
      </c>
      <c r="G128" s="54" t="str">
        <f t="shared" si="29"/>
        <v>Fri</v>
      </c>
      <c r="H128" s="55"/>
      <c r="I128" s="56"/>
      <c r="J128" s="82">
        <v>379670</v>
      </c>
      <c r="K128" s="83"/>
      <c r="L128" s="59">
        <f t="shared" si="34"/>
        <v>307692.30769230775</v>
      </c>
      <c r="M128" s="60">
        <f t="shared" si="24"/>
        <v>71977.692307692254</v>
      </c>
      <c r="N128" s="61">
        <f t="shared" si="9"/>
        <v>1.2339274999999998</v>
      </c>
      <c r="O128" s="80"/>
      <c r="P128" s="59">
        <f>IF(D128=0,0,SUM($L$111:L128))</f>
        <v>4923076.9230769258</v>
      </c>
      <c r="Q128" s="59">
        <f>IF(D128=0,0,SUM($J$111:J128))</f>
        <v>4438840</v>
      </c>
      <c r="R128" s="63">
        <f t="shared" si="25"/>
        <v>-484236.9230769258</v>
      </c>
      <c r="S128" s="64">
        <f t="shared" si="30"/>
        <v>0.90163937499999947</v>
      </c>
      <c r="T128" s="73"/>
      <c r="U128" s="59">
        <f>IF(D128=0,0,SUM($L$21:L128))</f>
        <v>23692307.692307692</v>
      </c>
      <c r="V128" s="59">
        <f>IF(D128=0,0,SUM($J$21:J128))</f>
        <v>23017430</v>
      </c>
      <c r="W128" s="66">
        <f t="shared" si="26"/>
        <v>-674877.69230769202</v>
      </c>
      <c r="X128" s="67">
        <f t="shared" si="31"/>
        <v>0.97151490259740259</v>
      </c>
      <c r="Y128" s="68">
        <f t="shared" si="35"/>
        <v>45765</v>
      </c>
      <c r="Z128" s="69">
        <f t="shared" si="35"/>
        <v>45765</v>
      </c>
      <c r="AA128" s="1"/>
      <c r="AB128" s="1"/>
      <c r="AC128" s="1"/>
      <c r="AD128" s="1"/>
      <c r="AE128" s="1"/>
      <c r="AF128" s="1"/>
      <c r="AG128" s="1"/>
    </row>
    <row r="129" spans="1:33" ht="20">
      <c r="A129" s="1"/>
      <c r="B129" s="11"/>
      <c r="C129" s="50">
        <v>109</v>
      </c>
      <c r="D129" s="51">
        <v>1</v>
      </c>
      <c r="E129" s="52">
        <f t="shared" si="27"/>
        <v>4</v>
      </c>
      <c r="F129" s="53">
        <f t="shared" si="28"/>
        <v>45766</v>
      </c>
      <c r="G129" s="54" t="str">
        <f t="shared" si="29"/>
        <v>Sat</v>
      </c>
      <c r="H129" s="55"/>
      <c r="I129" s="56"/>
      <c r="J129" s="82">
        <v>191600</v>
      </c>
      <c r="K129" s="83"/>
      <c r="L129" s="59">
        <f t="shared" si="34"/>
        <v>307692.30769230775</v>
      </c>
      <c r="M129" s="60">
        <f t="shared" si="24"/>
        <v>-116092.30769230775</v>
      </c>
      <c r="N129" s="61">
        <f t="shared" si="9"/>
        <v>0.62269999999999992</v>
      </c>
      <c r="O129" s="80"/>
      <c r="P129" s="59">
        <f>IF(D129=0,0,SUM($L$111:L129))</f>
        <v>5230769.2307692338</v>
      </c>
      <c r="Q129" s="59">
        <f>IF(D129=0,0,SUM($J$111:J129))</f>
        <v>4630440</v>
      </c>
      <c r="R129" s="63">
        <f t="shared" si="25"/>
        <v>-600329.23076923378</v>
      </c>
      <c r="S129" s="64">
        <f t="shared" si="30"/>
        <v>0.88523117647058769</v>
      </c>
      <c r="T129" s="73"/>
      <c r="U129" s="59">
        <f>IF(D129=0,0,SUM($L$21:L129))</f>
        <v>24000000</v>
      </c>
      <c r="V129" s="59">
        <f>IF(D129=0,0,SUM($J$21:J129))</f>
        <v>23209030</v>
      </c>
      <c r="W129" s="66">
        <f t="shared" si="26"/>
        <v>-790970</v>
      </c>
      <c r="X129" s="67">
        <f t="shared" si="31"/>
        <v>0.96704291666666664</v>
      </c>
      <c r="Y129" s="68">
        <f t="shared" si="35"/>
        <v>45766</v>
      </c>
      <c r="Z129" s="69">
        <f t="shared" si="35"/>
        <v>45766</v>
      </c>
      <c r="AA129" s="1"/>
      <c r="AB129" s="1"/>
      <c r="AC129" s="1"/>
      <c r="AD129" s="1"/>
      <c r="AE129" s="1"/>
      <c r="AF129" s="1"/>
      <c r="AG129" s="1"/>
    </row>
    <row r="130" spans="1:33" ht="20">
      <c r="A130" s="1"/>
      <c r="B130" s="11"/>
      <c r="C130" s="50">
        <v>110</v>
      </c>
      <c r="D130" s="51">
        <v>0</v>
      </c>
      <c r="E130" s="52">
        <f t="shared" si="27"/>
        <v>4</v>
      </c>
      <c r="F130" s="53">
        <f t="shared" si="28"/>
        <v>45767</v>
      </c>
      <c r="G130" s="54" t="str">
        <f t="shared" si="29"/>
        <v>Sun</v>
      </c>
      <c r="H130" s="55"/>
      <c r="I130" s="56"/>
      <c r="J130" s="82"/>
      <c r="K130" s="83"/>
      <c r="L130" s="59">
        <f t="shared" si="34"/>
        <v>0</v>
      </c>
      <c r="M130" s="60">
        <f t="shared" si="24"/>
        <v>0</v>
      </c>
      <c r="N130" s="61" t="str">
        <f t="shared" si="9"/>
        <v>¥0</v>
      </c>
      <c r="O130" s="81"/>
      <c r="P130" s="59">
        <f>IF(D130=0,0,SUM($L$111:L130))</f>
        <v>0</v>
      </c>
      <c r="Q130" s="59">
        <f>IF(D130=0,0,SUM($J$111:J130))</f>
        <v>0</v>
      </c>
      <c r="R130" s="63">
        <f t="shared" si="25"/>
        <v>0</v>
      </c>
      <c r="S130" s="64">
        <f t="shared" si="30"/>
        <v>0</v>
      </c>
      <c r="T130" s="78"/>
      <c r="U130" s="59">
        <f>IF(D130=0,0,SUM($L$21:L130))</f>
        <v>0</v>
      </c>
      <c r="V130" s="59">
        <f>IF(D130=0,0,SUM($J$21:J130))</f>
        <v>0</v>
      </c>
      <c r="W130" s="66">
        <f t="shared" si="26"/>
        <v>0</v>
      </c>
      <c r="X130" s="67">
        <f t="shared" si="31"/>
        <v>0</v>
      </c>
      <c r="Y130" s="68">
        <f t="shared" si="35"/>
        <v>45767</v>
      </c>
      <c r="Z130" s="69">
        <f t="shared" si="35"/>
        <v>45767</v>
      </c>
      <c r="AA130" s="1"/>
      <c r="AB130" s="1"/>
      <c r="AC130" s="1"/>
      <c r="AD130" s="1"/>
      <c r="AE130" s="1"/>
      <c r="AF130" s="1"/>
      <c r="AG130" s="1"/>
    </row>
    <row r="131" spans="1:33" ht="20">
      <c r="A131" s="1"/>
      <c r="B131" s="11"/>
      <c r="C131" s="50">
        <v>111</v>
      </c>
      <c r="D131" s="51">
        <v>1</v>
      </c>
      <c r="E131" s="52">
        <f t="shared" si="27"/>
        <v>4</v>
      </c>
      <c r="F131" s="53">
        <f t="shared" si="28"/>
        <v>45768</v>
      </c>
      <c r="G131" s="54" t="str">
        <f t="shared" si="29"/>
        <v>Mon</v>
      </c>
      <c r="H131" s="55"/>
      <c r="I131" s="56"/>
      <c r="J131" s="82">
        <v>308210</v>
      </c>
      <c r="K131" s="83"/>
      <c r="L131" s="59">
        <f t="shared" si="34"/>
        <v>307692.30769230775</v>
      </c>
      <c r="M131" s="60">
        <f t="shared" si="24"/>
        <v>517.69230769225396</v>
      </c>
      <c r="N131" s="61">
        <f t="shared" si="9"/>
        <v>1.0016824999999998</v>
      </c>
      <c r="O131" s="80"/>
      <c r="P131" s="59">
        <f>IF(D131=0,0,SUM($L$111:L131))</f>
        <v>5538461.5384615418</v>
      </c>
      <c r="Q131" s="59">
        <f>IF(D131=0,0,SUM($J$111:J131))</f>
        <v>4938650</v>
      </c>
      <c r="R131" s="63">
        <f t="shared" si="25"/>
        <v>-599811.53846154176</v>
      </c>
      <c r="S131" s="64">
        <f t="shared" si="30"/>
        <v>0.89170069444444389</v>
      </c>
      <c r="T131" s="73"/>
      <c r="U131" s="59">
        <f>IF(D131=0,0,SUM($L$21:L131))</f>
        <v>24307692.307692308</v>
      </c>
      <c r="V131" s="59">
        <f>IF(D131=0,0,SUM($J$21:J131))</f>
        <v>23517240</v>
      </c>
      <c r="W131" s="66">
        <f t="shared" si="26"/>
        <v>-790452.30769230798</v>
      </c>
      <c r="X131" s="67">
        <f t="shared" si="31"/>
        <v>0.96748139240506326</v>
      </c>
      <c r="Y131" s="68">
        <f t="shared" si="35"/>
        <v>45768</v>
      </c>
      <c r="Z131" s="69">
        <f t="shared" si="35"/>
        <v>45768</v>
      </c>
      <c r="AA131" s="1"/>
      <c r="AB131" s="1"/>
      <c r="AC131" s="1"/>
      <c r="AD131" s="1"/>
      <c r="AE131" s="1"/>
      <c r="AF131" s="1"/>
      <c r="AG131" s="1"/>
    </row>
    <row r="132" spans="1:33" ht="20">
      <c r="A132" s="1"/>
      <c r="B132" s="11"/>
      <c r="C132" s="50">
        <v>112</v>
      </c>
      <c r="D132" s="51">
        <v>1</v>
      </c>
      <c r="E132" s="52">
        <f t="shared" si="27"/>
        <v>4</v>
      </c>
      <c r="F132" s="53">
        <f t="shared" si="28"/>
        <v>45769</v>
      </c>
      <c r="G132" s="54" t="str">
        <f t="shared" si="29"/>
        <v>Tue</v>
      </c>
      <c r="H132" s="55"/>
      <c r="I132" s="56"/>
      <c r="J132" s="82">
        <v>290850</v>
      </c>
      <c r="K132" s="83"/>
      <c r="L132" s="59">
        <f t="shared" si="34"/>
        <v>307692.30769230775</v>
      </c>
      <c r="M132" s="60">
        <f>IF(D132=0,0,J132-L132)</f>
        <v>-16842.307692307746</v>
      </c>
      <c r="N132" s="61">
        <f>IFERROR(J132/L132,"¥0")</f>
        <v>0.94526249999999978</v>
      </c>
      <c r="O132" s="80"/>
      <c r="P132" s="59">
        <f>IF(D132=0,0,SUM($L$111:L132))</f>
        <v>5846153.8461538497</v>
      </c>
      <c r="Q132" s="59">
        <f>IF(D132=0,0,SUM($J$111:J132))</f>
        <v>5229500</v>
      </c>
      <c r="R132" s="63">
        <f t="shared" si="25"/>
        <v>-616653.84615384974</v>
      </c>
      <c r="S132" s="64">
        <f t="shared" si="30"/>
        <v>0.89451973684210473</v>
      </c>
      <c r="T132" s="73"/>
      <c r="U132" s="59">
        <f>IF(D132=0,0,SUM($L$21:L132))</f>
        <v>24615384.615384616</v>
      </c>
      <c r="V132" s="59">
        <f>IF(D132=0,0,SUM($J$21:J132))</f>
        <v>23808090</v>
      </c>
      <c r="W132" s="66">
        <f t="shared" si="26"/>
        <v>-807294.61538461596</v>
      </c>
      <c r="X132" s="67">
        <f t="shared" si="31"/>
        <v>0.96720365624999993</v>
      </c>
      <c r="Y132" s="68">
        <f t="shared" si="35"/>
        <v>45769</v>
      </c>
      <c r="Z132" s="69">
        <f t="shared" si="35"/>
        <v>45769</v>
      </c>
      <c r="AA132" s="1"/>
      <c r="AB132" s="1"/>
      <c r="AC132" s="1"/>
      <c r="AD132" s="1"/>
      <c r="AE132" s="1"/>
      <c r="AF132" s="1"/>
      <c r="AG132" s="1"/>
    </row>
    <row r="133" spans="1:33" ht="20">
      <c r="A133" s="1"/>
      <c r="B133" s="11"/>
      <c r="C133" s="50">
        <v>113</v>
      </c>
      <c r="D133" s="51">
        <v>1</v>
      </c>
      <c r="E133" s="52">
        <f t="shared" si="27"/>
        <v>4</v>
      </c>
      <c r="F133" s="53">
        <f t="shared" si="28"/>
        <v>45770</v>
      </c>
      <c r="G133" s="54" t="str">
        <f t="shared" si="29"/>
        <v>Wed</v>
      </c>
      <c r="H133" s="55"/>
      <c r="I133" s="56"/>
      <c r="J133" s="82">
        <v>322750</v>
      </c>
      <c r="K133" s="83"/>
      <c r="L133" s="59">
        <f t="shared" si="34"/>
        <v>307692.30769230775</v>
      </c>
      <c r="M133" s="60">
        <f>IF(D133=0,0,J133-L133)</f>
        <v>15057.692307692254</v>
      </c>
      <c r="N133" s="61">
        <f>IFERROR(J133/L133,"¥0")</f>
        <v>1.0489374999999999</v>
      </c>
      <c r="O133" s="80"/>
      <c r="P133" s="59">
        <f>IF(D133=0,0,SUM($L$111:L133))</f>
        <v>6153846.1538461577</v>
      </c>
      <c r="Q133" s="59">
        <f>IF(D133=0,0,SUM($J$111:J133))</f>
        <v>5552250</v>
      </c>
      <c r="R133" s="63">
        <f t="shared" si="25"/>
        <v>-601596.15384615771</v>
      </c>
      <c r="S133" s="64">
        <f t="shared" si="30"/>
        <v>0.90224062499999946</v>
      </c>
      <c r="T133" s="73"/>
      <c r="U133" s="59">
        <f>IF(D133=0,0,SUM($L$21:L133))</f>
        <v>24923076.923076924</v>
      </c>
      <c r="V133" s="59">
        <f>IF(D133=0,0,SUM($J$21:J133))</f>
        <v>24130840</v>
      </c>
      <c r="W133" s="66">
        <f t="shared" si="26"/>
        <v>-792236.92307692394</v>
      </c>
      <c r="X133" s="67">
        <f t="shared" si="31"/>
        <v>0.96821271604938264</v>
      </c>
      <c r="Y133" s="68">
        <f t="shared" si="35"/>
        <v>45770</v>
      </c>
      <c r="Z133" s="69">
        <f t="shared" si="35"/>
        <v>45770</v>
      </c>
      <c r="AA133" s="1"/>
      <c r="AB133" s="1"/>
      <c r="AC133" s="1"/>
      <c r="AD133" s="1"/>
      <c r="AE133" s="1"/>
      <c r="AF133" s="1"/>
      <c r="AG133" s="1"/>
    </row>
    <row r="134" spans="1:33" ht="20">
      <c r="A134" s="1"/>
      <c r="B134" s="11"/>
      <c r="C134" s="50">
        <v>114</v>
      </c>
      <c r="D134" s="51">
        <v>1</v>
      </c>
      <c r="E134" s="52">
        <f t="shared" si="27"/>
        <v>4</v>
      </c>
      <c r="F134" s="53">
        <f t="shared" si="28"/>
        <v>45771</v>
      </c>
      <c r="G134" s="54" t="str">
        <f t="shared" si="29"/>
        <v>Thu</v>
      </c>
      <c r="H134" s="55"/>
      <c r="I134" s="56"/>
      <c r="J134" s="82">
        <v>384160</v>
      </c>
      <c r="K134" s="83"/>
      <c r="L134" s="59">
        <f t="shared" si="34"/>
        <v>307692.30769230775</v>
      </c>
      <c r="M134" s="60">
        <f t="shared" si="24"/>
        <v>76467.692307692254</v>
      </c>
      <c r="N134" s="61">
        <f t="shared" si="9"/>
        <v>1.2485199999999999</v>
      </c>
      <c r="O134" s="80"/>
      <c r="P134" s="59">
        <f>IF(D134=0,0,SUM($L$111:L134))</f>
        <v>6461538.4615384657</v>
      </c>
      <c r="Q134" s="59">
        <f>IF(D134=0,0,SUM($J$111:J134))</f>
        <v>5936410</v>
      </c>
      <c r="R134" s="63">
        <f t="shared" si="25"/>
        <v>-525128.46153846569</v>
      </c>
      <c r="S134" s="64">
        <f t="shared" si="30"/>
        <v>0.91873011904761848</v>
      </c>
      <c r="T134" s="73"/>
      <c r="U134" s="59">
        <f>IF(D134=0,0,SUM($L$21:L134))</f>
        <v>25230769.230769232</v>
      </c>
      <c r="V134" s="59">
        <f>IF(D134=0,0,SUM($J$21:J134))</f>
        <v>24515000</v>
      </c>
      <c r="W134" s="66">
        <f t="shared" si="26"/>
        <v>-715769.23076923192</v>
      </c>
      <c r="X134" s="67">
        <f t="shared" si="31"/>
        <v>0.97163109756097554</v>
      </c>
      <c r="Y134" s="68">
        <f t="shared" si="35"/>
        <v>45771</v>
      </c>
      <c r="Z134" s="69">
        <f t="shared" si="35"/>
        <v>45771</v>
      </c>
      <c r="AA134" s="1"/>
      <c r="AB134" s="1"/>
      <c r="AC134" s="1"/>
      <c r="AD134" s="1"/>
      <c r="AE134" s="1"/>
      <c r="AF134" s="1"/>
      <c r="AG134" s="1"/>
    </row>
    <row r="135" spans="1:33" ht="20">
      <c r="A135" s="1"/>
      <c r="B135" s="11"/>
      <c r="C135" s="50">
        <v>115</v>
      </c>
      <c r="D135" s="51">
        <v>1</v>
      </c>
      <c r="E135" s="52">
        <f t="shared" si="27"/>
        <v>4</v>
      </c>
      <c r="F135" s="53">
        <f t="shared" si="28"/>
        <v>45772</v>
      </c>
      <c r="G135" s="54" t="str">
        <f t="shared" si="29"/>
        <v>Fri</v>
      </c>
      <c r="H135" s="55"/>
      <c r="I135" s="56"/>
      <c r="J135" s="82">
        <v>463090</v>
      </c>
      <c r="K135" s="83"/>
      <c r="L135" s="59">
        <f t="shared" si="34"/>
        <v>307692.30769230775</v>
      </c>
      <c r="M135" s="60">
        <f t="shared" si="24"/>
        <v>155397.69230769225</v>
      </c>
      <c r="N135" s="61">
        <f t="shared" si="9"/>
        <v>1.5050424999999998</v>
      </c>
      <c r="O135" s="80"/>
      <c r="P135" s="59">
        <f>IF(D135=0,0,SUM($L$111:L135))</f>
        <v>6769230.7692307737</v>
      </c>
      <c r="Q135" s="59">
        <f>IF(D135=0,0,SUM($J$111:J135))</f>
        <v>6399500</v>
      </c>
      <c r="R135" s="63">
        <f t="shared" si="25"/>
        <v>-369730.76923077367</v>
      </c>
      <c r="S135" s="64">
        <f t="shared" si="30"/>
        <v>0.94538068181818125</v>
      </c>
      <c r="T135" s="73"/>
      <c r="U135" s="59">
        <f>IF(D135=0,0,SUM($L$21:L135))</f>
        <v>25538461.53846154</v>
      </c>
      <c r="V135" s="59">
        <f>IF(D135=0,0,SUM($J$21:J135))</f>
        <v>24978090</v>
      </c>
      <c r="W135" s="66">
        <f t="shared" si="26"/>
        <v>-560371.53846153989</v>
      </c>
      <c r="X135" s="67">
        <f t="shared" si="31"/>
        <v>0.97805774096385534</v>
      </c>
      <c r="Y135" s="68">
        <f t="shared" ref="Y135:Z150" si="36">Y134+1</f>
        <v>45772</v>
      </c>
      <c r="Z135" s="69">
        <f t="shared" si="36"/>
        <v>45772</v>
      </c>
      <c r="AA135" s="1"/>
      <c r="AB135" s="1"/>
      <c r="AC135" s="1"/>
      <c r="AD135" s="1"/>
      <c r="AE135" s="1"/>
      <c r="AF135" s="1"/>
      <c r="AG135" s="1"/>
    </row>
    <row r="136" spans="1:33" ht="20">
      <c r="A136" s="1"/>
      <c r="B136" s="11"/>
      <c r="C136" s="50">
        <v>116</v>
      </c>
      <c r="D136" s="51">
        <v>1</v>
      </c>
      <c r="E136" s="52">
        <f t="shared" si="27"/>
        <v>4</v>
      </c>
      <c r="F136" s="53">
        <f t="shared" si="28"/>
        <v>45773</v>
      </c>
      <c r="G136" s="54" t="str">
        <f t="shared" si="29"/>
        <v>Sat</v>
      </c>
      <c r="H136" s="55"/>
      <c r="I136" s="56"/>
      <c r="J136" s="82">
        <v>216490</v>
      </c>
      <c r="K136" s="83"/>
      <c r="L136" s="59">
        <f t="shared" si="34"/>
        <v>307692.30769230775</v>
      </c>
      <c r="M136" s="60">
        <f t="shared" si="24"/>
        <v>-91202.307692307746</v>
      </c>
      <c r="N136" s="61">
        <f t="shared" si="9"/>
        <v>0.70359249999999984</v>
      </c>
      <c r="O136" s="80"/>
      <c r="P136" s="59">
        <f>IF(D136=0,0,SUM($L$111:L136))</f>
        <v>7076923.0769230817</v>
      </c>
      <c r="Q136" s="59">
        <f>IF(D136=0,0,SUM($J$111:J136))</f>
        <v>6615990</v>
      </c>
      <c r="R136" s="63">
        <f t="shared" si="25"/>
        <v>-460933.07692308165</v>
      </c>
      <c r="S136" s="64">
        <f t="shared" si="30"/>
        <v>0.93486815217391239</v>
      </c>
      <c r="T136" s="73"/>
      <c r="U136" s="59">
        <f>IF(D136=0,0,SUM($L$21:L136))</f>
        <v>25846153.846153848</v>
      </c>
      <c r="V136" s="59">
        <f>IF(D136=0,0,SUM($J$21:J136))</f>
        <v>25194580</v>
      </c>
      <c r="W136" s="66">
        <f t="shared" si="26"/>
        <v>-651573.84615384787</v>
      </c>
      <c r="X136" s="67">
        <f t="shared" si="31"/>
        <v>0.97479029761904756</v>
      </c>
      <c r="Y136" s="68">
        <f t="shared" si="36"/>
        <v>45773</v>
      </c>
      <c r="Z136" s="69">
        <f t="shared" si="36"/>
        <v>45773</v>
      </c>
      <c r="AA136" s="1"/>
      <c r="AB136" s="1"/>
      <c r="AC136" s="1"/>
      <c r="AD136" s="1"/>
      <c r="AE136" s="1"/>
      <c r="AF136" s="1"/>
      <c r="AG136" s="1"/>
    </row>
    <row r="137" spans="1:33" ht="20">
      <c r="A137" s="1"/>
      <c r="B137" s="11"/>
      <c r="C137" s="50">
        <v>117</v>
      </c>
      <c r="D137" s="51">
        <v>0</v>
      </c>
      <c r="E137" s="52">
        <f t="shared" si="27"/>
        <v>4</v>
      </c>
      <c r="F137" s="53">
        <f t="shared" si="28"/>
        <v>45774</v>
      </c>
      <c r="G137" s="54" t="str">
        <f t="shared" si="29"/>
        <v>Sun</v>
      </c>
      <c r="H137" s="55"/>
      <c r="I137" s="56"/>
      <c r="J137" s="82"/>
      <c r="K137" s="83"/>
      <c r="L137" s="59">
        <f t="shared" si="34"/>
        <v>0</v>
      </c>
      <c r="M137" s="60">
        <f t="shared" si="24"/>
        <v>0</v>
      </c>
      <c r="N137" s="61" t="str">
        <f t="shared" si="9"/>
        <v>¥0</v>
      </c>
      <c r="O137" s="81"/>
      <c r="P137" s="59">
        <f>IF(D137=0,0,SUM($L$111:L137))</f>
        <v>0</v>
      </c>
      <c r="Q137" s="59">
        <f>IF(D137=0,0,SUM($J$111:J137))</f>
        <v>0</v>
      </c>
      <c r="R137" s="63">
        <f t="shared" si="25"/>
        <v>0</v>
      </c>
      <c r="S137" s="64">
        <f t="shared" si="30"/>
        <v>0</v>
      </c>
      <c r="T137" s="78"/>
      <c r="U137" s="59">
        <f>IF(D137=0,0,SUM($L$21:L137))</f>
        <v>0</v>
      </c>
      <c r="V137" s="59">
        <f>IF(D137=0,0,SUM($J$21:J137))</f>
        <v>0</v>
      </c>
      <c r="W137" s="66">
        <f t="shared" si="26"/>
        <v>0</v>
      </c>
      <c r="X137" s="67">
        <f t="shared" si="31"/>
        <v>0</v>
      </c>
      <c r="Y137" s="68">
        <f t="shared" si="36"/>
        <v>45774</v>
      </c>
      <c r="Z137" s="69">
        <f t="shared" si="36"/>
        <v>45774</v>
      </c>
      <c r="AA137" s="1"/>
      <c r="AB137" s="1"/>
      <c r="AC137" s="1"/>
      <c r="AD137" s="1"/>
      <c r="AE137" s="1"/>
      <c r="AF137" s="1"/>
      <c r="AG137" s="1"/>
    </row>
    <row r="138" spans="1:33" ht="20">
      <c r="A138" s="1"/>
      <c r="B138" s="11"/>
      <c r="C138" s="50">
        <v>118</v>
      </c>
      <c r="D138" s="51">
        <v>1</v>
      </c>
      <c r="E138" s="52">
        <f t="shared" si="27"/>
        <v>4</v>
      </c>
      <c r="F138" s="53">
        <f t="shared" si="28"/>
        <v>45775</v>
      </c>
      <c r="G138" s="54" t="str">
        <f t="shared" si="29"/>
        <v>Mon</v>
      </c>
      <c r="H138" s="55"/>
      <c r="I138" s="56"/>
      <c r="J138" s="82">
        <v>358350</v>
      </c>
      <c r="K138" s="83"/>
      <c r="L138" s="59">
        <f t="shared" si="34"/>
        <v>307692.30769230775</v>
      </c>
      <c r="M138" s="60">
        <f t="shared" si="24"/>
        <v>50657.692307692254</v>
      </c>
      <c r="N138" s="61">
        <f t="shared" si="9"/>
        <v>1.1646374999999998</v>
      </c>
      <c r="O138" s="80"/>
      <c r="P138" s="59">
        <f>IF(D138=0,0,SUM($L$111:L138))</f>
        <v>7384615.3846153896</v>
      </c>
      <c r="Q138" s="59">
        <f>IF(D138=0,0,SUM($J$111:J138))</f>
        <v>6974340</v>
      </c>
      <c r="R138" s="63">
        <f t="shared" si="25"/>
        <v>-410275.38461538963</v>
      </c>
      <c r="S138" s="64">
        <f t="shared" si="30"/>
        <v>0.94444187499999932</v>
      </c>
      <c r="T138" s="73"/>
      <c r="U138" s="59">
        <f>IF(D138=0,0,SUM($L$21:L138))</f>
        <v>26153846.153846156</v>
      </c>
      <c r="V138" s="59">
        <f>IF(D138=0,0,SUM($J$21:J138))</f>
        <v>25552930</v>
      </c>
      <c r="W138" s="66">
        <f t="shared" si="26"/>
        <v>-600916.15384615585</v>
      </c>
      <c r="X138" s="67">
        <f t="shared" si="31"/>
        <v>0.97702379411764695</v>
      </c>
      <c r="Y138" s="68">
        <f t="shared" si="36"/>
        <v>45775</v>
      </c>
      <c r="Z138" s="69">
        <f t="shared" si="36"/>
        <v>45775</v>
      </c>
      <c r="AA138" s="1"/>
      <c r="AB138" s="1"/>
      <c r="AC138" s="1"/>
      <c r="AD138" s="1"/>
      <c r="AE138" s="1"/>
      <c r="AF138" s="1"/>
      <c r="AG138" s="1"/>
    </row>
    <row r="139" spans="1:33" ht="20">
      <c r="A139" s="1"/>
      <c r="B139" s="11"/>
      <c r="C139" s="50">
        <v>119</v>
      </c>
      <c r="D139" s="51">
        <v>0</v>
      </c>
      <c r="E139" s="52">
        <f t="shared" si="27"/>
        <v>4</v>
      </c>
      <c r="F139" s="53">
        <f t="shared" si="28"/>
        <v>45776</v>
      </c>
      <c r="G139" s="54" t="str">
        <f t="shared" si="29"/>
        <v>Tue</v>
      </c>
      <c r="H139" s="55"/>
      <c r="I139" s="56"/>
      <c r="J139" s="82"/>
      <c r="K139" s="83"/>
      <c r="L139" s="59">
        <f t="shared" si="34"/>
        <v>0</v>
      </c>
      <c r="M139" s="60">
        <f t="shared" si="24"/>
        <v>0</v>
      </c>
      <c r="N139" s="61" t="str">
        <f t="shared" si="9"/>
        <v>¥0</v>
      </c>
      <c r="O139" s="81"/>
      <c r="P139" s="59">
        <f>IF(D139=0,0,SUM($L$111:L139))</f>
        <v>0</v>
      </c>
      <c r="Q139" s="59">
        <f>IF(D139=0,0,SUM($J$111:J139))</f>
        <v>0</v>
      </c>
      <c r="R139" s="63">
        <f t="shared" si="25"/>
        <v>0</v>
      </c>
      <c r="S139" s="64">
        <f t="shared" si="30"/>
        <v>0</v>
      </c>
      <c r="T139" s="78"/>
      <c r="U139" s="59">
        <f>IF(D139=0,0,SUM($L$21:L139))</f>
        <v>0</v>
      </c>
      <c r="V139" s="59">
        <f>IF(D139=0,0,SUM($J$21:J139))</f>
        <v>0</v>
      </c>
      <c r="W139" s="66">
        <f t="shared" si="26"/>
        <v>0</v>
      </c>
      <c r="X139" s="67">
        <f t="shared" si="31"/>
        <v>0</v>
      </c>
      <c r="Y139" s="68">
        <f t="shared" si="36"/>
        <v>45776</v>
      </c>
      <c r="Z139" s="69">
        <f t="shared" si="36"/>
        <v>45776</v>
      </c>
      <c r="AA139" s="1"/>
      <c r="AB139" s="1"/>
      <c r="AC139" s="1"/>
      <c r="AD139" s="1"/>
      <c r="AE139" s="1"/>
      <c r="AF139" s="1"/>
      <c r="AG139" s="1"/>
    </row>
    <row r="140" spans="1:33" ht="21" thickBot="1">
      <c r="A140" s="1"/>
      <c r="B140" s="11"/>
      <c r="C140" s="84">
        <v>120</v>
      </c>
      <c r="D140" s="85">
        <v>1</v>
      </c>
      <c r="E140" s="501">
        <f t="shared" si="27"/>
        <v>4</v>
      </c>
      <c r="F140" s="86">
        <f t="shared" si="28"/>
        <v>45777</v>
      </c>
      <c r="G140" s="87" t="str">
        <f t="shared" si="29"/>
        <v>Wed</v>
      </c>
      <c r="H140" s="508"/>
      <c r="I140" s="502"/>
      <c r="J140" s="89">
        <v>264600</v>
      </c>
      <c r="K140" s="503"/>
      <c r="L140" s="90">
        <f t="shared" si="34"/>
        <v>307692.30769230775</v>
      </c>
      <c r="M140" s="91">
        <f t="shared" si="24"/>
        <v>-43092.307692307746</v>
      </c>
      <c r="N140" s="98">
        <f t="shared" si="9"/>
        <v>0.85994999999999988</v>
      </c>
      <c r="O140" s="504"/>
      <c r="P140" s="534">
        <f>IF(D140=0,0,SUM($L$111:L140))</f>
        <v>7692307.6923076976</v>
      </c>
      <c r="Q140" s="90">
        <f>IF(D140=0,0,SUM($J$111:J140))</f>
        <v>7238940</v>
      </c>
      <c r="R140" s="91">
        <f t="shared" si="25"/>
        <v>-453367.69230769761</v>
      </c>
      <c r="S140" s="505">
        <f t="shared" si="30"/>
        <v>0.9410621999999994</v>
      </c>
      <c r="T140" s="506"/>
      <c r="U140" s="94">
        <f>IF(D140=0,0,SUM($L$21:L140))</f>
        <v>26461538.461538464</v>
      </c>
      <c r="V140" s="90">
        <f>IF(D140=0,0,SUM($J$21:J140))</f>
        <v>25817530</v>
      </c>
      <c r="W140" s="95">
        <f t="shared" si="26"/>
        <v>-644008.46153846383</v>
      </c>
      <c r="X140" s="507">
        <f t="shared" si="31"/>
        <v>0.97566247093023251</v>
      </c>
      <c r="Y140" s="68">
        <f t="shared" si="36"/>
        <v>45777</v>
      </c>
      <c r="Z140" s="69">
        <f t="shared" si="36"/>
        <v>45777</v>
      </c>
      <c r="AA140" s="1"/>
      <c r="AB140" s="1"/>
      <c r="AC140" s="1"/>
      <c r="AD140" s="1"/>
      <c r="AE140" s="1"/>
      <c r="AF140" s="1"/>
      <c r="AG140" s="1"/>
    </row>
    <row r="141" spans="1:33" ht="21" thickTop="1">
      <c r="A141" s="1"/>
      <c r="B141" s="11"/>
      <c r="C141" s="50">
        <v>121</v>
      </c>
      <c r="D141" s="96">
        <v>1</v>
      </c>
      <c r="E141" s="52">
        <f t="shared" si="27"/>
        <v>5</v>
      </c>
      <c r="F141" s="53">
        <f t="shared" si="28"/>
        <v>45778</v>
      </c>
      <c r="G141" s="54" t="str">
        <f t="shared" si="29"/>
        <v>Thu</v>
      </c>
      <c r="H141" s="55"/>
      <c r="I141" s="56"/>
      <c r="J141" s="82">
        <v>153420</v>
      </c>
      <c r="K141" s="83"/>
      <c r="L141" s="59">
        <f t="shared" ref="L141:L171" si="37">IF(D141=0,0,$K$11)</f>
        <v>237762.23776223778</v>
      </c>
      <c r="M141" s="63">
        <f t="shared" si="24"/>
        <v>-84342.237762237783</v>
      </c>
      <c r="N141" s="97">
        <f t="shared" si="9"/>
        <v>0.64526647058823527</v>
      </c>
      <c r="O141" s="80"/>
      <c r="P141" s="59">
        <f>IF(D141=0,0,$L$141)</f>
        <v>237762.23776223778</v>
      </c>
      <c r="Q141" s="59">
        <f>IF(D141=0,0,$J$141)</f>
        <v>153420</v>
      </c>
      <c r="R141" s="63">
        <f t="shared" si="25"/>
        <v>-84342.237762237783</v>
      </c>
      <c r="S141" s="499">
        <f t="shared" si="30"/>
        <v>0.64526647058823527</v>
      </c>
      <c r="T141" s="73"/>
      <c r="U141" s="59">
        <f>IF(D141=0,0,SUM($L$21:L141))</f>
        <v>26699300.699300703</v>
      </c>
      <c r="V141" s="59">
        <f>IF(D141=0,0,SUM($J$21:J141))</f>
        <v>25970950</v>
      </c>
      <c r="W141" s="66">
        <f t="shared" si="26"/>
        <v>-728350.69930070266</v>
      </c>
      <c r="X141" s="500">
        <f t="shared" si="31"/>
        <v>0.97272023310633826</v>
      </c>
      <c r="Y141" s="68">
        <f t="shared" si="36"/>
        <v>45778</v>
      </c>
      <c r="Z141" s="69">
        <f t="shared" si="36"/>
        <v>45778</v>
      </c>
      <c r="AA141" s="1"/>
      <c r="AB141" s="1"/>
      <c r="AC141" s="1"/>
      <c r="AD141" s="1"/>
      <c r="AE141" s="1"/>
      <c r="AF141" s="1"/>
      <c r="AG141" s="1"/>
    </row>
    <row r="142" spans="1:33" ht="20">
      <c r="A142" s="1"/>
      <c r="B142" s="11"/>
      <c r="C142" s="50">
        <v>122</v>
      </c>
      <c r="D142" s="51">
        <v>1</v>
      </c>
      <c r="E142" s="52">
        <f t="shared" si="27"/>
        <v>5</v>
      </c>
      <c r="F142" s="53">
        <f t="shared" si="28"/>
        <v>45779</v>
      </c>
      <c r="G142" s="54" t="str">
        <f t="shared" si="29"/>
        <v>Fri</v>
      </c>
      <c r="H142" s="55"/>
      <c r="I142" s="56"/>
      <c r="J142" s="82">
        <v>143350</v>
      </c>
      <c r="K142" s="83"/>
      <c r="L142" s="59">
        <f t="shared" si="37"/>
        <v>237762.23776223778</v>
      </c>
      <c r="M142" s="60">
        <f t="shared" si="24"/>
        <v>-94412.237762237783</v>
      </c>
      <c r="N142" s="61">
        <f t="shared" si="9"/>
        <v>0.60291323529411756</v>
      </c>
      <c r="O142" s="80"/>
      <c r="P142" s="59">
        <f>IF(D142=0,0,SUM($L$141:L142))</f>
        <v>475524.47552447557</v>
      </c>
      <c r="Q142" s="59">
        <f>IF(D142=0,0,SUM($J$141:J142))</f>
        <v>296770</v>
      </c>
      <c r="R142" s="63">
        <f t="shared" si="25"/>
        <v>-178754.47552447557</v>
      </c>
      <c r="S142" s="64">
        <f t="shared" si="30"/>
        <v>0.62408985294117647</v>
      </c>
      <c r="T142" s="73"/>
      <c r="U142" s="59">
        <f>IF(D142=0,0,SUM($L$21:L142))</f>
        <v>26937062.937062941</v>
      </c>
      <c r="V142" s="59">
        <f>IF(D142=0,0,SUM($J$21:J142))</f>
        <v>26114300</v>
      </c>
      <c r="W142" s="66">
        <f t="shared" si="26"/>
        <v>-822762.93706294149</v>
      </c>
      <c r="X142" s="67">
        <f t="shared" si="31"/>
        <v>0.96945610072689492</v>
      </c>
      <c r="Y142" s="68">
        <f t="shared" si="36"/>
        <v>45779</v>
      </c>
      <c r="Z142" s="69">
        <f t="shared" si="36"/>
        <v>45779</v>
      </c>
      <c r="AA142" s="1"/>
      <c r="AB142" s="1"/>
      <c r="AC142" s="1"/>
      <c r="AD142" s="1"/>
      <c r="AE142" s="1"/>
      <c r="AF142" s="1"/>
      <c r="AG142" s="1"/>
    </row>
    <row r="143" spans="1:33" ht="20">
      <c r="A143" s="1"/>
      <c r="B143" s="11"/>
      <c r="C143" s="50">
        <v>123</v>
      </c>
      <c r="D143" s="51">
        <v>0</v>
      </c>
      <c r="E143" s="52">
        <f t="shared" si="27"/>
        <v>5</v>
      </c>
      <c r="F143" s="53">
        <f t="shared" si="28"/>
        <v>45780</v>
      </c>
      <c r="G143" s="54" t="str">
        <f t="shared" si="29"/>
        <v>Sat</v>
      </c>
      <c r="H143" s="55"/>
      <c r="I143" s="56"/>
      <c r="J143" s="82"/>
      <c r="K143" s="83"/>
      <c r="L143" s="59">
        <f t="shared" si="37"/>
        <v>0</v>
      </c>
      <c r="M143" s="60">
        <f t="shared" si="24"/>
        <v>0</v>
      </c>
      <c r="N143" s="61" t="str">
        <f t="shared" si="9"/>
        <v>¥0</v>
      </c>
      <c r="O143" s="81"/>
      <c r="P143" s="59">
        <f>IF(D143=0,0,SUM($L$141:L143))</f>
        <v>0</v>
      </c>
      <c r="Q143" s="59">
        <f>IF(D143=0,0,SUM($J$141:J143))</f>
        <v>0</v>
      </c>
      <c r="R143" s="63">
        <f t="shared" si="25"/>
        <v>0</v>
      </c>
      <c r="S143" s="64">
        <f t="shared" si="30"/>
        <v>0</v>
      </c>
      <c r="T143" s="78"/>
      <c r="U143" s="59">
        <f>IF(D143=0,0,SUM($L$21:L143))</f>
        <v>0</v>
      </c>
      <c r="V143" s="59">
        <f>IF(D143=0,0,SUM($J$21:J143))</f>
        <v>0</v>
      </c>
      <c r="W143" s="66">
        <f t="shared" si="26"/>
        <v>0</v>
      </c>
      <c r="X143" s="67">
        <f t="shared" si="31"/>
        <v>0</v>
      </c>
      <c r="Y143" s="68">
        <f t="shared" si="36"/>
        <v>45780</v>
      </c>
      <c r="Z143" s="69">
        <f t="shared" si="36"/>
        <v>45780</v>
      </c>
      <c r="AA143" s="1"/>
      <c r="AB143" s="1"/>
      <c r="AC143" s="1"/>
      <c r="AD143" s="1"/>
      <c r="AE143" s="1"/>
      <c r="AF143" s="1"/>
      <c r="AG143" s="1"/>
    </row>
    <row r="144" spans="1:33" ht="20">
      <c r="A144" s="1"/>
      <c r="B144" s="11"/>
      <c r="C144" s="50">
        <v>124</v>
      </c>
      <c r="D144" s="51">
        <v>0</v>
      </c>
      <c r="E144" s="52">
        <f t="shared" si="27"/>
        <v>5</v>
      </c>
      <c r="F144" s="53">
        <f t="shared" si="28"/>
        <v>45781</v>
      </c>
      <c r="G144" s="54" t="str">
        <f t="shared" si="29"/>
        <v>Sun</v>
      </c>
      <c r="H144" s="55"/>
      <c r="I144" s="56"/>
      <c r="J144" s="82"/>
      <c r="K144" s="83"/>
      <c r="L144" s="59">
        <f t="shared" si="37"/>
        <v>0</v>
      </c>
      <c r="M144" s="60">
        <f t="shared" si="24"/>
        <v>0</v>
      </c>
      <c r="N144" s="61" t="str">
        <f t="shared" si="9"/>
        <v>¥0</v>
      </c>
      <c r="O144" s="81"/>
      <c r="P144" s="59">
        <f>IF(D144=0,0,SUM($L$141:L144))</f>
        <v>0</v>
      </c>
      <c r="Q144" s="59">
        <f>IF(D144=0,0,SUM($J$141:J144))</f>
        <v>0</v>
      </c>
      <c r="R144" s="63">
        <f t="shared" si="25"/>
        <v>0</v>
      </c>
      <c r="S144" s="64">
        <f t="shared" si="30"/>
        <v>0</v>
      </c>
      <c r="T144" s="78"/>
      <c r="U144" s="59">
        <f>IF(D144=0,0,SUM($L$21:L144))</f>
        <v>0</v>
      </c>
      <c r="V144" s="59">
        <f>IF(D144=0,0,SUM($J$21:J144))</f>
        <v>0</v>
      </c>
      <c r="W144" s="66">
        <f t="shared" si="26"/>
        <v>0</v>
      </c>
      <c r="X144" s="67">
        <f t="shared" si="31"/>
        <v>0</v>
      </c>
      <c r="Y144" s="68">
        <f t="shared" si="36"/>
        <v>45781</v>
      </c>
      <c r="Z144" s="69">
        <f t="shared" si="36"/>
        <v>45781</v>
      </c>
      <c r="AA144" s="1"/>
      <c r="AB144" s="1"/>
      <c r="AC144" s="1"/>
      <c r="AD144" s="1"/>
      <c r="AE144" s="1"/>
      <c r="AF144" s="1"/>
      <c r="AG144" s="1"/>
    </row>
    <row r="145" spans="1:33" ht="20">
      <c r="A145" s="1"/>
      <c r="B145" s="11"/>
      <c r="C145" s="50">
        <v>125</v>
      </c>
      <c r="D145" s="51">
        <v>0</v>
      </c>
      <c r="E145" s="52">
        <f t="shared" si="27"/>
        <v>5</v>
      </c>
      <c r="F145" s="53">
        <f t="shared" si="28"/>
        <v>45782</v>
      </c>
      <c r="G145" s="54" t="str">
        <f t="shared" si="29"/>
        <v>Mon</v>
      </c>
      <c r="H145" s="55"/>
      <c r="I145" s="56"/>
      <c r="J145" s="82"/>
      <c r="K145" s="83"/>
      <c r="L145" s="59">
        <f t="shared" si="37"/>
        <v>0</v>
      </c>
      <c r="M145" s="60">
        <f t="shared" si="24"/>
        <v>0</v>
      </c>
      <c r="N145" s="61" t="str">
        <f t="shared" si="9"/>
        <v>¥0</v>
      </c>
      <c r="O145" s="81"/>
      <c r="P145" s="59">
        <f>IF(D145=0,0,SUM($L$141:L145))</f>
        <v>0</v>
      </c>
      <c r="Q145" s="59">
        <f>IF(D145=0,0,SUM($J$141:J145))</f>
        <v>0</v>
      </c>
      <c r="R145" s="63">
        <f t="shared" si="25"/>
        <v>0</v>
      </c>
      <c r="S145" s="64">
        <f t="shared" si="30"/>
        <v>0</v>
      </c>
      <c r="T145" s="78"/>
      <c r="U145" s="59">
        <f>IF(D145=0,0,SUM($L$21:L145))</f>
        <v>0</v>
      </c>
      <c r="V145" s="59">
        <f>IF(D145=0,0,SUM($J$21:J145))</f>
        <v>0</v>
      </c>
      <c r="W145" s="66">
        <f t="shared" si="26"/>
        <v>0</v>
      </c>
      <c r="X145" s="67">
        <f t="shared" si="31"/>
        <v>0</v>
      </c>
      <c r="Y145" s="68">
        <f t="shared" si="36"/>
        <v>45782</v>
      </c>
      <c r="Z145" s="69">
        <f t="shared" si="36"/>
        <v>45782</v>
      </c>
      <c r="AA145" s="1"/>
      <c r="AB145" s="1"/>
      <c r="AC145" s="1"/>
      <c r="AD145" s="1"/>
      <c r="AE145" s="1"/>
      <c r="AF145" s="1"/>
      <c r="AG145" s="1"/>
    </row>
    <row r="146" spans="1:33" ht="20">
      <c r="A146" s="1"/>
      <c r="B146" s="11"/>
      <c r="C146" s="50">
        <v>126</v>
      </c>
      <c r="D146" s="51">
        <v>0</v>
      </c>
      <c r="E146" s="52">
        <f t="shared" si="27"/>
        <v>5</v>
      </c>
      <c r="F146" s="53">
        <f t="shared" si="28"/>
        <v>45783</v>
      </c>
      <c r="G146" s="54" t="str">
        <f t="shared" si="29"/>
        <v>Tue</v>
      </c>
      <c r="H146" s="55"/>
      <c r="I146" s="56"/>
      <c r="J146" s="82"/>
      <c r="K146" s="83"/>
      <c r="L146" s="59">
        <f t="shared" si="37"/>
        <v>0</v>
      </c>
      <c r="M146" s="60">
        <f t="shared" si="24"/>
        <v>0</v>
      </c>
      <c r="N146" s="61" t="str">
        <f t="shared" si="9"/>
        <v>¥0</v>
      </c>
      <c r="O146" s="81"/>
      <c r="P146" s="59">
        <f>IF(D146=0,0,SUM($L$141:L146))</f>
        <v>0</v>
      </c>
      <c r="Q146" s="59">
        <f>IF(D146=0,0,SUM($J$141:J146))</f>
        <v>0</v>
      </c>
      <c r="R146" s="63">
        <f t="shared" si="25"/>
        <v>0</v>
      </c>
      <c r="S146" s="64">
        <f t="shared" si="30"/>
        <v>0</v>
      </c>
      <c r="T146" s="78"/>
      <c r="U146" s="59">
        <f>IF(D146=0,0,SUM($L$21:L146))</f>
        <v>0</v>
      </c>
      <c r="V146" s="59">
        <f>IF(D146=0,0,SUM($J$21:J146))</f>
        <v>0</v>
      </c>
      <c r="W146" s="66">
        <f t="shared" si="26"/>
        <v>0</v>
      </c>
      <c r="X146" s="67">
        <f t="shared" si="31"/>
        <v>0</v>
      </c>
      <c r="Y146" s="68">
        <f t="shared" si="36"/>
        <v>45783</v>
      </c>
      <c r="Z146" s="69">
        <f t="shared" si="36"/>
        <v>45783</v>
      </c>
      <c r="AA146" s="1"/>
      <c r="AB146" s="1"/>
      <c r="AC146" s="1"/>
      <c r="AD146" s="1"/>
      <c r="AE146" s="1"/>
      <c r="AF146" s="1"/>
      <c r="AG146" s="1"/>
    </row>
    <row r="147" spans="1:33" ht="20">
      <c r="A147" s="1"/>
      <c r="B147" s="11"/>
      <c r="C147" s="50">
        <v>127</v>
      </c>
      <c r="D147" s="51">
        <v>1</v>
      </c>
      <c r="E147" s="52">
        <f t="shared" si="27"/>
        <v>5</v>
      </c>
      <c r="F147" s="53">
        <f t="shared" si="28"/>
        <v>45784</v>
      </c>
      <c r="G147" s="54" t="str">
        <f t="shared" si="29"/>
        <v>Wed</v>
      </c>
      <c r="H147" s="55"/>
      <c r="I147" s="56"/>
      <c r="J147" s="82">
        <v>211480</v>
      </c>
      <c r="K147" s="83"/>
      <c r="L147" s="59">
        <f t="shared" si="37"/>
        <v>237762.23776223778</v>
      </c>
      <c r="M147" s="60">
        <f t="shared" si="24"/>
        <v>-26282.237762237783</v>
      </c>
      <c r="N147" s="61">
        <f t="shared" si="9"/>
        <v>0.88945999999999992</v>
      </c>
      <c r="O147" s="80"/>
      <c r="P147" s="59">
        <f>IF(D147=0,0,SUM($L$141:L147))</f>
        <v>713286.71328671335</v>
      </c>
      <c r="Q147" s="59">
        <f>IF(D147=0,0,SUM($J$141:J147))</f>
        <v>508250</v>
      </c>
      <c r="R147" s="63">
        <f t="shared" si="25"/>
        <v>-205036.71328671335</v>
      </c>
      <c r="S147" s="64">
        <f t="shared" si="30"/>
        <v>0.71254656862745092</v>
      </c>
      <c r="T147" s="73"/>
      <c r="U147" s="59">
        <f>IF(D147=0,0,SUM($L$21:L147))</f>
        <v>27174825.17482518</v>
      </c>
      <c r="V147" s="59">
        <f>IF(D147=0,0,SUM($J$21:J147))</f>
        <v>26325780</v>
      </c>
      <c r="W147" s="66">
        <f t="shared" si="26"/>
        <v>-849045.17482518032</v>
      </c>
      <c r="X147" s="67">
        <f t="shared" si="31"/>
        <v>0.96875618630982996</v>
      </c>
      <c r="Y147" s="68">
        <f t="shared" si="36"/>
        <v>45784</v>
      </c>
      <c r="Z147" s="69">
        <f t="shared" si="36"/>
        <v>45784</v>
      </c>
      <c r="AA147" s="1"/>
      <c r="AB147" s="1"/>
      <c r="AC147" s="1"/>
      <c r="AD147" s="1"/>
      <c r="AE147" s="1"/>
      <c r="AF147" s="1"/>
      <c r="AG147" s="1"/>
    </row>
    <row r="148" spans="1:33" ht="20">
      <c r="A148" s="1"/>
      <c r="B148" s="11"/>
      <c r="C148" s="50">
        <v>128</v>
      </c>
      <c r="D148" s="51">
        <v>1</v>
      </c>
      <c r="E148" s="52">
        <f t="shared" si="27"/>
        <v>5</v>
      </c>
      <c r="F148" s="53">
        <f t="shared" si="28"/>
        <v>45785</v>
      </c>
      <c r="G148" s="54" t="str">
        <f t="shared" si="29"/>
        <v>Thu</v>
      </c>
      <c r="H148" s="55"/>
      <c r="I148" s="56"/>
      <c r="J148" s="82">
        <v>274550</v>
      </c>
      <c r="K148" s="83"/>
      <c r="L148" s="59">
        <f t="shared" si="37"/>
        <v>237762.23776223778</v>
      </c>
      <c r="M148" s="60">
        <f t="shared" si="24"/>
        <v>36787.762237762217</v>
      </c>
      <c r="N148" s="61">
        <f t="shared" si="9"/>
        <v>1.154725</v>
      </c>
      <c r="O148" s="80"/>
      <c r="P148" s="59">
        <f>IF(D148=0,0,SUM($L$141:L148))</f>
        <v>951048.95104895113</v>
      </c>
      <c r="Q148" s="59">
        <f>IF(D148=0,0,SUM($J$141:J148))</f>
        <v>782800</v>
      </c>
      <c r="R148" s="63">
        <f t="shared" si="25"/>
        <v>-168248.95104895113</v>
      </c>
      <c r="S148" s="64">
        <f t="shared" si="30"/>
        <v>0.82309117647058816</v>
      </c>
      <c r="T148" s="73"/>
      <c r="U148" s="59">
        <f>IF(D148=0,0,SUM($L$21:L148))</f>
        <v>27412587.412587419</v>
      </c>
      <c r="V148" s="59">
        <f>IF(D148=0,0,SUM($J$21:J148))</f>
        <v>26600330</v>
      </c>
      <c r="W148" s="66">
        <f t="shared" si="26"/>
        <v>-812257.41258741915</v>
      </c>
      <c r="X148" s="67">
        <f t="shared" si="31"/>
        <v>0.97036918112244874</v>
      </c>
      <c r="Y148" s="68">
        <f t="shared" si="36"/>
        <v>45785</v>
      </c>
      <c r="Z148" s="69">
        <f t="shared" si="36"/>
        <v>45785</v>
      </c>
      <c r="AA148" s="1"/>
      <c r="AB148" s="1"/>
      <c r="AC148" s="1"/>
      <c r="AD148" s="1"/>
      <c r="AE148" s="1"/>
      <c r="AF148" s="1"/>
      <c r="AG148" s="1"/>
    </row>
    <row r="149" spans="1:33" ht="20">
      <c r="A149" s="1"/>
      <c r="B149" s="11"/>
      <c r="C149" s="50">
        <v>129</v>
      </c>
      <c r="D149" s="51">
        <v>1</v>
      </c>
      <c r="E149" s="52">
        <f t="shared" si="27"/>
        <v>5</v>
      </c>
      <c r="F149" s="53">
        <f t="shared" si="28"/>
        <v>45786</v>
      </c>
      <c r="G149" s="54" t="str">
        <f t="shared" si="29"/>
        <v>Fri</v>
      </c>
      <c r="H149" s="55"/>
      <c r="I149" s="56"/>
      <c r="J149" s="82">
        <v>292800</v>
      </c>
      <c r="K149" s="83"/>
      <c r="L149" s="59">
        <f t="shared" si="37"/>
        <v>237762.23776223778</v>
      </c>
      <c r="M149" s="60">
        <f t="shared" ref="M149:M212" si="38">IF(D149=0,0,J149-L149)</f>
        <v>55037.762237762217</v>
      </c>
      <c r="N149" s="61">
        <f t="shared" si="9"/>
        <v>1.2314823529411765</v>
      </c>
      <c r="O149" s="80"/>
      <c r="P149" s="59">
        <f>IF(D149=0,0,SUM($L$141:L149))</f>
        <v>1188811.188811189</v>
      </c>
      <c r="Q149" s="59">
        <f>IF(D149=0,0,SUM($J$141:J149))</f>
        <v>1075600</v>
      </c>
      <c r="R149" s="63">
        <f t="shared" ref="R149:R212" si="39">IF(D149=0,0,Q149-P149)</f>
        <v>-113211.18881118903</v>
      </c>
      <c r="S149" s="64">
        <f t="shared" si="30"/>
        <v>0.90476941176470571</v>
      </c>
      <c r="T149" s="73"/>
      <c r="U149" s="59">
        <f>IF(D149=0,0,SUM($L$21:L149))</f>
        <v>27650349.650349658</v>
      </c>
      <c r="V149" s="59">
        <f>IF(D149=0,0,SUM($J$21:J149))</f>
        <v>26893130</v>
      </c>
      <c r="W149" s="66">
        <f t="shared" ref="W149:W212" si="40">IF(D149=0,0,V149-U149)</f>
        <v>-757219.65034965798</v>
      </c>
      <c r="X149" s="67">
        <f t="shared" si="31"/>
        <v>0.97261446383409178</v>
      </c>
      <c r="Y149" s="68">
        <f t="shared" si="36"/>
        <v>45786</v>
      </c>
      <c r="Z149" s="69">
        <f t="shared" si="36"/>
        <v>45786</v>
      </c>
      <c r="AA149" s="1"/>
      <c r="AB149" s="1"/>
      <c r="AC149" s="1"/>
      <c r="AD149" s="1"/>
      <c r="AE149" s="1"/>
      <c r="AF149" s="1"/>
      <c r="AG149" s="1"/>
    </row>
    <row r="150" spans="1:33" ht="20">
      <c r="A150" s="1"/>
      <c r="B150" s="11"/>
      <c r="C150" s="50">
        <v>130</v>
      </c>
      <c r="D150" s="51">
        <v>1</v>
      </c>
      <c r="E150" s="52">
        <f t="shared" ref="E150:E213" si="41">MONTH(Y150)</f>
        <v>5</v>
      </c>
      <c r="F150" s="53">
        <f t="shared" ref="F150:F213" si="42">F149+1</f>
        <v>45787</v>
      </c>
      <c r="G150" s="54" t="str">
        <f t="shared" ref="G150:G213" si="43">TEXT(Z150,"ddd")</f>
        <v>Sat</v>
      </c>
      <c r="H150" s="55"/>
      <c r="I150" s="56"/>
      <c r="J150" s="82">
        <v>176980</v>
      </c>
      <c r="K150" s="83"/>
      <c r="L150" s="59">
        <f t="shared" si="37"/>
        <v>237762.23776223778</v>
      </c>
      <c r="M150" s="60">
        <f t="shared" si="38"/>
        <v>-60782.237762237783</v>
      </c>
      <c r="N150" s="61">
        <f t="shared" si="9"/>
        <v>0.74435705882352932</v>
      </c>
      <c r="O150" s="80"/>
      <c r="P150" s="59">
        <f>IF(D150=0,0,SUM($L$141:L150))</f>
        <v>1426573.4265734269</v>
      </c>
      <c r="Q150" s="59">
        <f>IF(D150=0,0,SUM($J$141:J150))</f>
        <v>1252580</v>
      </c>
      <c r="R150" s="63">
        <f t="shared" si="39"/>
        <v>-173993.42657342693</v>
      </c>
      <c r="S150" s="64">
        <f t="shared" ref="S150:S213" si="44">IF(D150=0,0,Q150/P150)</f>
        <v>0.87803401960784289</v>
      </c>
      <c r="T150" s="73"/>
      <c r="U150" s="59">
        <f>IF(D150=0,0,SUM($L$21:L150))</f>
        <v>27888111.888111897</v>
      </c>
      <c r="V150" s="59">
        <f>IF(D150=0,0,SUM($J$21:J150))</f>
        <v>27070110</v>
      </c>
      <c r="W150" s="66">
        <f t="shared" si="40"/>
        <v>-818001.88811189681</v>
      </c>
      <c r="X150" s="67">
        <f t="shared" ref="X150:X213" si="45">IF(D150=0,0,V150/U150)</f>
        <v>0.97066843781344003</v>
      </c>
      <c r="Y150" s="68">
        <f t="shared" si="36"/>
        <v>45787</v>
      </c>
      <c r="Z150" s="69">
        <f t="shared" si="36"/>
        <v>45787</v>
      </c>
      <c r="AA150" s="1"/>
      <c r="AB150" s="1"/>
      <c r="AC150" s="1"/>
      <c r="AD150" s="1"/>
      <c r="AE150" s="1"/>
      <c r="AF150" s="1"/>
      <c r="AG150" s="1"/>
    </row>
    <row r="151" spans="1:33" ht="20">
      <c r="A151" s="1"/>
      <c r="B151" s="11"/>
      <c r="C151" s="50">
        <v>131</v>
      </c>
      <c r="D151" s="51">
        <v>0</v>
      </c>
      <c r="E151" s="52">
        <f t="shared" si="41"/>
        <v>5</v>
      </c>
      <c r="F151" s="53">
        <f t="shared" si="42"/>
        <v>45788</v>
      </c>
      <c r="G151" s="54" t="str">
        <f t="shared" si="43"/>
        <v>Sun</v>
      </c>
      <c r="H151" s="55"/>
      <c r="I151" s="56"/>
      <c r="J151" s="82"/>
      <c r="K151" s="83"/>
      <c r="L151" s="59">
        <f t="shared" si="37"/>
        <v>0</v>
      </c>
      <c r="M151" s="60">
        <f t="shared" si="38"/>
        <v>0</v>
      </c>
      <c r="N151" s="61" t="str">
        <f t="shared" si="9"/>
        <v>¥0</v>
      </c>
      <c r="O151" s="81"/>
      <c r="P151" s="59">
        <f>IF(D151=0,0,SUM($L$141:L151))</f>
        <v>0</v>
      </c>
      <c r="Q151" s="59">
        <f>IF(D151=0,0,SUM($J$141:J151))</f>
        <v>0</v>
      </c>
      <c r="R151" s="63">
        <f t="shared" si="39"/>
        <v>0</v>
      </c>
      <c r="S151" s="64">
        <f t="shared" si="44"/>
        <v>0</v>
      </c>
      <c r="T151" s="78"/>
      <c r="U151" s="59">
        <f>IF(D151=0,0,SUM($L$21:L151))</f>
        <v>0</v>
      </c>
      <c r="V151" s="59">
        <f>IF(D151=0,0,SUM($J$21:J151))</f>
        <v>0</v>
      </c>
      <c r="W151" s="66">
        <f t="shared" si="40"/>
        <v>0</v>
      </c>
      <c r="X151" s="67">
        <f t="shared" si="45"/>
        <v>0</v>
      </c>
      <c r="Y151" s="68">
        <f t="shared" ref="Y151:Z166" si="46">Y150+1</f>
        <v>45788</v>
      </c>
      <c r="Z151" s="69">
        <f t="shared" si="46"/>
        <v>45788</v>
      </c>
      <c r="AA151" s="1"/>
      <c r="AB151" s="1"/>
      <c r="AC151" s="1"/>
      <c r="AD151" s="1"/>
      <c r="AE151" s="1"/>
      <c r="AF151" s="1"/>
      <c r="AG151" s="1"/>
    </row>
    <row r="152" spans="1:33" ht="20">
      <c r="A152" s="1"/>
      <c r="B152" s="11"/>
      <c r="C152" s="50">
        <v>132</v>
      </c>
      <c r="D152" s="51">
        <v>1</v>
      </c>
      <c r="E152" s="52">
        <f t="shared" si="41"/>
        <v>5</v>
      </c>
      <c r="F152" s="53">
        <f t="shared" si="42"/>
        <v>45789</v>
      </c>
      <c r="G152" s="54" t="str">
        <f t="shared" si="43"/>
        <v>Mon</v>
      </c>
      <c r="H152" s="55"/>
      <c r="I152" s="56"/>
      <c r="J152" s="82">
        <v>111890</v>
      </c>
      <c r="K152" s="83"/>
      <c r="L152" s="59">
        <f t="shared" si="37"/>
        <v>237762.23776223778</v>
      </c>
      <c r="M152" s="60">
        <f t="shared" si="38"/>
        <v>-125872.23776223778</v>
      </c>
      <c r="N152" s="61">
        <f t="shared" si="9"/>
        <v>0.47059617647058821</v>
      </c>
      <c r="O152" s="80"/>
      <c r="P152" s="59">
        <f>IF(D152=0,0,SUM($L$141:L152))</f>
        <v>1664335.6643356648</v>
      </c>
      <c r="Q152" s="59">
        <f>IF(D152=0,0,SUM($J$141:J152))</f>
        <v>1364470</v>
      </c>
      <c r="R152" s="63">
        <f t="shared" si="39"/>
        <v>-299865.66433566483</v>
      </c>
      <c r="S152" s="64">
        <f t="shared" si="44"/>
        <v>0.81982861344537794</v>
      </c>
      <c r="T152" s="73"/>
      <c r="U152" s="59">
        <f>IF(D152=0,0,SUM($L$21:L152))</f>
        <v>28125874.125874136</v>
      </c>
      <c r="V152" s="59">
        <f>IF(D152=0,0,SUM($J$21:J152))</f>
        <v>27182000</v>
      </c>
      <c r="W152" s="66">
        <f t="shared" si="40"/>
        <v>-943874.12587413564</v>
      </c>
      <c r="X152" s="67">
        <f t="shared" si="45"/>
        <v>0.96644107409249091</v>
      </c>
      <c r="Y152" s="68">
        <f t="shared" si="46"/>
        <v>45789</v>
      </c>
      <c r="Z152" s="69">
        <f t="shared" si="46"/>
        <v>45789</v>
      </c>
      <c r="AA152" s="1"/>
      <c r="AB152" s="1"/>
      <c r="AC152" s="1"/>
      <c r="AD152" s="1"/>
      <c r="AE152" s="1"/>
      <c r="AF152" s="1"/>
      <c r="AG152" s="1"/>
    </row>
    <row r="153" spans="1:33" ht="20">
      <c r="A153" s="1"/>
      <c r="B153" s="11"/>
      <c r="C153" s="50">
        <v>133</v>
      </c>
      <c r="D153" s="51">
        <v>1</v>
      </c>
      <c r="E153" s="52">
        <f t="shared" si="41"/>
        <v>5</v>
      </c>
      <c r="F153" s="53">
        <f t="shared" si="42"/>
        <v>45790</v>
      </c>
      <c r="G153" s="54" t="str">
        <f t="shared" si="43"/>
        <v>Tue</v>
      </c>
      <c r="H153" s="55"/>
      <c r="I153" s="56"/>
      <c r="J153" s="82">
        <v>219520</v>
      </c>
      <c r="K153" s="83"/>
      <c r="L153" s="59">
        <f t="shared" si="37"/>
        <v>237762.23776223778</v>
      </c>
      <c r="M153" s="60">
        <f t="shared" si="38"/>
        <v>-18242.237762237783</v>
      </c>
      <c r="N153" s="61">
        <f t="shared" si="9"/>
        <v>0.92327529411764697</v>
      </c>
      <c r="O153" s="80"/>
      <c r="P153" s="59">
        <f>IF(D153=0,0,SUM($L$141:L153))</f>
        <v>1902097.9020979027</v>
      </c>
      <c r="Q153" s="59">
        <f>IF(D153=0,0,SUM($J$141:J153))</f>
        <v>1583990</v>
      </c>
      <c r="R153" s="63">
        <f t="shared" si="39"/>
        <v>-318107.90209790273</v>
      </c>
      <c r="S153" s="64">
        <f t="shared" si="44"/>
        <v>0.83275944852941153</v>
      </c>
      <c r="T153" s="73"/>
      <c r="U153" s="59">
        <f>IF(D153=0,0,SUM($L$21:L153))</f>
        <v>28363636.363636374</v>
      </c>
      <c r="V153" s="59">
        <f>IF(D153=0,0,SUM($J$21:J153))</f>
        <v>27401520</v>
      </c>
      <c r="W153" s="66">
        <f t="shared" si="40"/>
        <v>-962116.36363637447</v>
      </c>
      <c r="X153" s="67">
        <f t="shared" si="45"/>
        <v>0.96607923076923041</v>
      </c>
      <c r="Y153" s="68">
        <f t="shared" si="46"/>
        <v>45790</v>
      </c>
      <c r="Z153" s="69">
        <f t="shared" si="46"/>
        <v>45790</v>
      </c>
      <c r="AA153" s="1"/>
      <c r="AB153" s="1"/>
      <c r="AC153" s="1"/>
      <c r="AD153" s="1"/>
      <c r="AE153" s="1"/>
      <c r="AF153" s="1"/>
      <c r="AG153" s="1"/>
    </row>
    <row r="154" spans="1:33" ht="20">
      <c r="A154" s="1"/>
      <c r="B154" s="11"/>
      <c r="C154" s="50">
        <v>134</v>
      </c>
      <c r="D154" s="51">
        <v>1</v>
      </c>
      <c r="E154" s="52">
        <f t="shared" si="41"/>
        <v>5</v>
      </c>
      <c r="F154" s="53">
        <f t="shared" si="42"/>
        <v>45791</v>
      </c>
      <c r="G154" s="54" t="str">
        <f t="shared" si="43"/>
        <v>Wed</v>
      </c>
      <c r="H154" s="55"/>
      <c r="I154" s="56"/>
      <c r="J154" s="82">
        <v>310450</v>
      </c>
      <c r="K154" s="83"/>
      <c r="L154" s="59">
        <f t="shared" si="37"/>
        <v>237762.23776223778</v>
      </c>
      <c r="M154" s="60">
        <f t="shared" si="38"/>
        <v>72687.762237762217</v>
      </c>
      <c r="N154" s="61">
        <f t="shared" si="9"/>
        <v>1.305716176470588</v>
      </c>
      <c r="O154" s="80"/>
      <c r="P154" s="59">
        <f>IF(D154=0,0,SUM($L$141:L154))</f>
        <v>2139860.1398601406</v>
      </c>
      <c r="Q154" s="59">
        <f>IF(D154=0,0,SUM($J$141:J154))</f>
        <v>1894440</v>
      </c>
      <c r="R154" s="63">
        <f t="shared" si="39"/>
        <v>-245420.13986014063</v>
      </c>
      <c r="S154" s="64">
        <f t="shared" si="44"/>
        <v>0.88531019607843109</v>
      </c>
      <c r="T154" s="73"/>
      <c r="U154" s="59">
        <f>IF(D154=0,0,SUM($L$21:L154))</f>
        <v>28601398.601398613</v>
      </c>
      <c r="V154" s="59">
        <f>IF(D154=0,0,SUM($J$21:J154))</f>
        <v>27711970</v>
      </c>
      <c r="W154" s="66">
        <f t="shared" si="40"/>
        <v>-889428.6013986133</v>
      </c>
      <c r="X154" s="67">
        <f t="shared" si="45"/>
        <v>0.96890261858190674</v>
      </c>
      <c r="Y154" s="68">
        <f t="shared" si="46"/>
        <v>45791</v>
      </c>
      <c r="Z154" s="69">
        <f t="shared" si="46"/>
        <v>45791</v>
      </c>
      <c r="AA154" s="1"/>
      <c r="AB154" s="1"/>
      <c r="AC154" s="1"/>
      <c r="AD154" s="1"/>
      <c r="AE154" s="1"/>
      <c r="AF154" s="1"/>
      <c r="AG154" s="1"/>
    </row>
    <row r="155" spans="1:33" ht="20">
      <c r="A155" s="1"/>
      <c r="B155" s="11"/>
      <c r="C155" s="50">
        <v>135</v>
      </c>
      <c r="D155" s="51">
        <v>1</v>
      </c>
      <c r="E155" s="52">
        <f t="shared" si="41"/>
        <v>5</v>
      </c>
      <c r="F155" s="53">
        <f t="shared" si="42"/>
        <v>45792</v>
      </c>
      <c r="G155" s="54" t="str">
        <f t="shared" si="43"/>
        <v>Thu</v>
      </c>
      <c r="H155" s="55"/>
      <c r="I155" s="56"/>
      <c r="J155" s="82">
        <v>238200</v>
      </c>
      <c r="K155" s="83"/>
      <c r="L155" s="59">
        <f t="shared" si="37"/>
        <v>237762.23776223778</v>
      </c>
      <c r="M155" s="60">
        <f t="shared" si="38"/>
        <v>437.76223776221741</v>
      </c>
      <c r="N155" s="61">
        <f t="shared" si="9"/>
        <v>1.0018411764705881</v>
      </c>
      <c r="O155" s="80"/>
      <c r="P155" s="59">
        <f>IF(D155=0,0,SUM($L$141:L155))</f>
        <v>2377622.3776223785</v>
      </c>
      <c r="Q155" s="59">
        <f>IF(D155=0,0,SUM($J$141:J155))</f>
        <v>2132640</v>
      </c>
      <c r="R155" s="63">
        <f t="shared" si="39"/>
        <v>-244982.37762237852</v>
      </c>
      <c r="S155" s="64">
        <f t="shared" si="44"/>
        <v>0.89696329411764675</v>
      </c>
      <c r="T155" s="73"/>
      <c r="U155" s="59">
        <f>IF(D155=0,0,SUM($L$21:L155))</f>
        <v>28839160.839160852</v>
      </c>
      <c r="V155" s="59">
        <f>IF(D155=0,0,SUM($J$21:J155))</f>
        <v>27950170</v>
      </c>
      <c r="W155" s="66">
        <f t="shared" si="40"/>
        <v>-888990.83916085213</v>
      </c>
      <c r="X155" s="67">
        <f t="shared" si="45"/>
        <v>0.9691741779825408</v>
      </c>
      <c r="Y155" s="68">
        <f t="shared" si="46"/>
        <v>45792</v>
      </c>
      <c r="Z155" s="69">
        <f t="shared" si="46"/>
        <v>45792</v>
      </c>
      <c r="AA155" s="1"/>
      <c r="AB155" s="1"/>
      <c r="AC155" s="1"/>
      <c r="AD155" s="1"/>
      <c r="AE155" s="1"/>
      <c r="AF155" s="1"/>
      <c r="AG155" s="1"/>
    </row>
    <row r="156" spans="1:33" ht="20">
      <c r="A156" s="1"/>
      <c r="B156" s="11"/>
      <c r="C156" s="50">
        <v>136</v>
      </c>
      <c r="D156" s="51">
        <v>1</v>
      </c>
      <c r="E156" s="52">
        <f t="shared" si="41"/>
        <v>5</v>
      </c>
      <c r="F156" s="53">
        <f t="shared" si="42"/>
        <v>45793</v>
      </c>
      <c r="G156" s="54" t="str">
        <f t="shared" si="43"/>
        <v>Fri</v>
      </c>
      <c r="H156" s="55"/>
      <c r="I156" s="56"/>
      <c r="J156" s="82">
        <v>328500</v>
      </c>
      <c r="K156" s="83"/>
      <c r="L156" s="59">
        <f t="shared" si="37"/>
        <v>237762.23776223778</v>
      </c>
      <c r="M156" s="60">
        <f t="shared" si="38"/>
        <v>90737.762237762217</v>
      </c>
      <c r="N156" s="61">
        <f t="shared" si="9"/>
        <v>1.3816323529411763</v>
      </c>
      <c r="O156" s="80"/>
      <c r="P156" s="59">
        <f>IF(D156=0,0,SUM($L$141:L156))</f>
        <v>2615384.6153846164</v>
      </c>
      <c r="Q156" s="59">
        <f>IF(D156=0,0,SUM($J$141:J156))</f>
        <v>2461140</v>
      </c>
      <c r="R156" s="63">
        <f t="shared" si="39"/>
        <v>-154244.61538461642</v>
      </c>
      <c r="S156" s="64">
        <f t="shared" si="44"/>
        <v>0.9410241176470584</v>
      </c>
      <c r="T156" s="73"/>
      <c r="U156" s="59">
        <f>IF(D156=0,0,SUM($L$21:L156))</f>
        <v>29076923.076923091</v>
      </c>
      <c r="V156" s="59">
        <f>IF(D156=0,0,SUM($J$21:J156))</f>
        <v>28278670</v>
      </c>
      <c r="W156" s="66">
        <f t="shared" si="40"/>
        <v>-798253.07692309096</v>
      </c>
      <c r="X156" s="67">
        <f t="shared" si="45"/>
        <v>0.97254685185185141</v>
      </c>
      <c r="Y156" s="68">
        <f t="shared" si="46"/>
        <v>45793</v>
      </c>
      <c r="Z156" s="69">
        <f t="shared" si="46"/>
        <v>45793</v>
      </c>
      <c r="AA156" s="1"/>
      <c r="AB156" s="1"/>
      <c r="AC156" s="1"/>
      <c r="AD156" s="1"/>
      <c r="AE156" s="1"/>
      <c r="AF156" s="1"/>
      <c r="AG156" s="1"/>
    </row>
    <row r="157" spans="1:33" ht="20">
      <c r="A157" s="1"/>
      <c r="B157" s="11"/>
      <c r="C157" s="50">
        <v>137</v>
      </c>
      <c r="D157" s="51">
        <v>1</v>
      </c>
      <c r="E157" s="52">
        <f t="shared" si="41"/>
        <v>5</v>
      </c>
      <c r="F157" s="53">
        <f t="shared" si="42"/>
        <v>45794</v>
      </c>
      <c r="G157" s="54" t="str">
        <f t="shared" si="43"/>
        <v>Sat</v>
      </c>
      <c r="H157" s="55"/>
      <c r="I157" s="56"/>
      <c r="J157" s="82">
        <v>182350</v>
      </c>
      <c r="K157" s="83"/>
      <c r="L157" s="59">
        <f t="shared" si="37"/>
        <v>237762.23776223778</v>
      </c>
      <c r="M157" s="60">
        <f t="shared" si="38"/>
        <v>-55412.237762237783</v>
      </c>
      <c r="N157" s="61">
        <f t="shared" si="9"/>
        <v>0.76694264705882342</v>
      </c>
      <c r="O157" s="80"/>
      <c r="P157" s="59">
        <f>IF(D157=0,0,SUM($L$141:L157))</f>
        <v>2853146.8531468543</v>
      </c>
      <c r="Q157" s="59">
        <f>IF(D157=0,0,SUM($J$141:J157))</f>
        <v>2643490</v>
      </c>
      <c r="R157" s="63">
        <f t="shared" si="39"/>
        <v>-209656.85314685432</v>
      </c>
      <c r="S157" s="64">
        <f t="shared" si="44"/>
        <v>0.92651732843137213</v>
      </c>
      <c r="T157" s="73"/>
      <c r="U157" s="59">
        <f>IF(D157=0,0,SUM($L$21:L157))</f>
        <v>29314685.31468533</v>
      </c>
      <c r="V157" s="59">
        <f>IF(D157=0,0,SUM($J$21:J157))</f>
        <v>28461020</v>
      </c>
      <c r="W157" s="66">
        <f t="shared" si="40"/>
        <v>-853665.31468532979</v>
      </c>
      <c r="X157" s="67">
        <f t="shared" si="45"/>
        <v>0.97087926049618267</v>
      </c>
      <c r="Y157" s="68">
        <f t="shared" si="46"/>
        <v>45794</v>
      </c>
      <c r="Z157" s="69">
        <f t="shared" si="46"/>
        <v>45794</v>
      </c>
      <c r="AA157" s="1"/>
      <c r="AB157" s="1"/>
      <c r="AC157" s="1"/>
      <c r="AD157" s="1"/>
      <c r="AE157" s="1"/>
      <c r="AF157" s="1"/>
      <c r="AG157" s="1"/>
    </row>
    <row r="158" spans="1:33" ht="20">
      <c r="A158" s="1"/>
      <c r="B158" s="11"/>
      <c r="C158" s="50">
        <v>138</v>
      </c>
      <c r="D158" s="51">
        <v>0</v>
      </c>
      <c r="E158" s="52">
        <f t="shared" si="41"/>
        <v>5</v>
      </c>
      <c r="F158" s="53">
        <f t="shared" si="42"/>
        <v>45795</v>
      </c>
      <c r="G158" s="54" t="str">
        <f t="shared" si="43"/>
        <v>Sun</v>
      </c>
      <c r="H158" s="55"/>
      <c r="I158" s="56"/>
      <c r="J158" s="82"/>
      <c r="K158" s="83"/>
      <c r="L158" s="59">
        <f t="shared" si="37"/>
        <v>0</v>
      </c>
      <c r="M158" s="60">
        <f t="shared" si="38"/>
        <v>0</v>
      </c>
      <c r="N158" s="61" t="str">
        <f t="shared" si="9"/>
        <v>¥0</v>
      </c>
      <c r="O158" s="81"/>
      <c r="P158" s="59">
        <f>IF(D158=0,0,SUM($L$141:L158))</f>
        <v>0</v>
      </c>
      <c r="Q158" s="59">
        <f>IF(D158=0,0,SUM($J$141:J158))</f>
        <v>0</v>
      </c>
      <c r="R158" s="63">
        <f t="shared" si="39"/>
        <v>0</v>
      </c>
      <c r="S158" s="64">
        <f t="shared" si="44"/>
        <v>0</v>
      </c>
      <c r="T158" s="78"/>
      <c r="U158" s="59">
        <f>IF(D158=0,0,SUM($L$21:L158))</f>
        <v>0</v>
      </c>
      <c r="V158" s="59">
        <f>IF(D158=0,0,SUM($J$21:J158))</f>
        <v>0</v>
      </c>
      <c r="W158" s="66">
        <f t="shared" si="40"/>
        <v>0</v>
      </c>
      <c r="X158" s="67">
        <f t="shared" si="45"/>
        <v>0</v>
      </c>
      <c r="Y158" s="68">
        <f t="shared" si="46"/>
        <v>45795</v>
      </c>
      <c r="Z158" s="69">
        <f t="shared" si="46"/>
        <v>45795</v>
      </c>
      <c r="AA158" s="1"/>
      <c r="AB158" s="1"/>
      <c r="AC158" s="1"/>
      <c r="AD158" s="1"/>
      <c r="AE158" s="1"/>
      <c r="AF158" s="1"/>
      <c r="AG158" s="1"/>
    </row>
    <row r="159" spans="1:33" ht="20">
      <c r="A159" s="1"/>
      <c r="B159" s="11"/>
      <c r="C159" s="50">
        <v>139</v>
      </c>
      <c r="D159" s="51">
        <v>1</v>
      </c>
      <c r="E159" s="52">
        <f t="shared" si="41"/>
        <v>5</v>
      </c>
      <c r="F159" s="53">
        <f t="shared" si="42"/>
        <v>45796</v>
      </c>
      <c r="G159" s="54" t="str">
        <f t="shared" si="43"/>
        <v>Mon</v>
      </c>
      <c r="H159" s="55"/>
      <c r="I159" s="56"/>
      <c r="J159" s="82">
        <v>228700</v>
      </c>
      <c r="K159" s="83"/>
      <c r="L159" s="59">
        <f t="shared" si="37"/>
        <v>237762.23776223778</v>
      </c>
      <c r="M159" s="60">
        <f t="shared" si="38"/>
        <v>-9062.2377622377826</v>
      </c>
      <c r="N159" s="61">
        <f t="shared" si="9"/>
        <v>0.96188529411764701</v>
      </c>
      <c r="O159" s="80"/>
      <c r="P159" s="59">
        <f>IF(D159=0,0,SUM($L$141:L159))</f>
        <v>3090909.0909090922</v>
      </c>
      <c r="Q159" s="59">
        <f>IF(D159=0,0,SUM($J$141:J159))</f>
        <v>2872190</v>
      </c>
      <c r="R159" s="63">
        <f t="shared" si="39"/>
        <v>-218719.09090909222</v>
      </c>
      <c r="S159" s="64">
        <f t="shared" si="44"/>
        <v>0.92923794117647018</v>
      </c>
      <c r="T159" s="73"/>
      <c r="U159" s="59">
        <f>IF(D159=0,0,SUM($L$21:L159))</f>
        <v>29552447.552447569</v>
      </c>
      <c r="V159" s="59">
        <f>IF(D159=0,0,SUM($J$21:J159))</f>
        <v>28689720</v>
      </c>
      <c r="W159" s="66">
        <f t="shared" si="40"/>
        <v>-862727.55244756863</v>
      </c>
      <c r="X159" s="67">
        <f t="shared" si="45"/>
        <v>0.97080690014197768</v>
      </c>
      <c r="Y159" s="68">
        <f t="shared" si="46"/>
        <v>45796</v>
      </c>
      <c r="Z159" s="69">
        <f t="shared" si="46"/>
        <v>45796</v>
      </c>
      <c r="AA159" s="1"/>
      <c r="AB159" s="1"/>
      <c r="AC159" s="1"/>
      <c r="AD159" s="1"/>
      <c r="AE159" s="1"/>
      <c r="AF159" s="1"/>
      <c r="AG159" s="1"/>
    </row>
    <row r="160" spans="1:33" ht="20">
      <c r="A160" s="1"/>
      <c r="B160" s="11"/>
      <c r="C160" s="50">
        <v>140</v>
      </c>
      <c r="D160" s="51">
        <v>1</v>
      </c>
      <c r="E160" s="52">
        <f t="shared" si="41"/>
        <v>5</v>
      </c>
      <c r="F160" s="53">
        <f t="shared" si="42"/>
        <v>45797</v>
      </c>
      <c r="G160" s="54" t="str">
        <f t="shared" si="43"/>
        <v>Tue</v>
      </c>
      <c r="H160" s="55"/>
      <c r="I160" s="56"/>
      <c r="J160" s="82">
        <v>235040</v>
      </c>
      <c r="K160" s="83"/>
      <c r="L160" s="59">
        <f t="shared" si="37"/>
        <v>237762.23776223778</v>
      </c>
      <c r="M160" s="60">
        <f t="shared" si="38"/>
        <v>-2722.2377622377826</v>
      </c>
      <c r="N160" s="61">
        <f t="shared" si="9"/>
        <v>0.98855058823529407</v>
      </c>
      <c r="O160" s="80"/>
      <c r="P160" s="59">
        <f>IF(D160=0,0,SUM($L$141:L160))</f>
        <v>3328671.3286713301</v>
      </c>
      <c r="Q160" s="59">
        <f>IF(D160=0,0,SUM($J$141:J160))</f>
        <v>3107230</v>
      </c>
      <c r="R160" s="63">
        <f t="shared" si="39"/>
        <v>-221441.32867133012</v>
      </c>
      <c r="S160" s="64">
        <f t="shared" si="44"/>
        <v>0.93347455882352903</v>
      </c>
      <c r="T160" s="73"/>
      <c r="U160" s="59">
        <f>IF(D160=0,0,SUM($L$21:L160))</f>
        <v>29790209.790209807</v>
      </c>
      <c r="V160" s="59">
        <f>IF(D160=0,0,SUM($J$21:J160))</f>
        <v>28924760</v>
      </c>
      <c r="W160" s="66">
        <f t="shared" si="40"/>
        <v>-865449.79020980746</v>
      </c>
      <c r="X160" s="67">
        <f t="shared" si="45"/>
        <v>0.97094851643192437</v>
      </c>
      <c r="Y160" s="68">
        <f t="shared" si="46"/>
        <v>45797</v>
      </c>
      <c r="Z160" s="69">
        <f t="shared" si="46"/>
        <v>45797</v>
      </c>
      <c r="AA160" s="1"/>
      <c r="AB160" s="1"/>
      <c r="AC160" s="1"/>
      <c r="AD160" s="1"/>
      <c r="AE160" s="1"/>
      <c r="AF160" s="1"/>
      <c r="AG160" s="1"/>
    </row>
    <row r="161" spans="1:33" ht="20">
      <c r="A161" s="1"/>
      <c r="B161" s="11"/>
      <c r="C161" s="50">
        <v>141</v>
      </c>
      <c r="D161" s="51">
        <v>1</v>
      </c>
      <c r="E161" s="52">
        <f t="shared" si="41"/>
        <v>5</v>
      </c>
      <c r="F161" s="53">
        <f t="shared" si="42"/>
        <v>45798</v>
      </c>
      <c r="G161" s="54" t="str">
        <f t="shared" si="43"/>
        <v>Wed</v>
      </c>
      <c r="H161" s="55"/>
      <c r="I161" s="56"/>
      <c r="J161" s="82">
        <v>541300</v>
      </c>
      <c r="K161" s="83"/>
      <c r="L161" s="59">
        <f t="shared" si="37"/>
        <v>237762.23776223778</v>
      </c>
      <c r="M161" s="60">
        <f t="shared" si="38"/>
        <v>303537.76223776222</v>
      </c>
      <c r="N161" s="61">
        <f t="shared" si="9"/>
        <v>2.2766441176470584</v>
      </c>
      <c r="O161" s="80"/>
      <c r="P161" s="59">
        <f>IF(D161=0,0,SUM($L$141:L161))</f>
        <v>3566433.566433568</v>
      </c>
      <c r="Q161" s="59">
        <f>IF(D161=0,0,SUM($J$141:J161))</f>
        <v>3648530</v>
      </c>
      <c r="R161" s="63">
        <f t="shared" si="39"/>
        <v>82096.433566431981</v>
      </c>
      <c r="S161" s="64">
        <f t="shared" si="44"/>
        <v>1.0230191960784309</v>
      </c>
      <c r="T161" s="73"/>
      <c r="U161" s="59">
        <f>IF(D161=0,0,SUM($L$21:L161))</f>
        <v>30027972.027972046</v>
      </c>
      <c r="V161" s="59">
        <f>IF(D161=0,0,SUM($J$21:J161))</f>
        <v>29466060</v>
      </c>
      <c r="W161" s="66">
        <f t="shared" si="40"/>
        <v>-561912.02797204629</v>
      </c>
      <c r="X161" s="67">
        <f t="shared" si="45"/>
        <v>0.98128704704238412</v>
      </c>
      <c r="Y161" s="68">
        <f t="shared" si="46"/>
        <v>45798</v>
      </c>
      <c r="Z161" s="69">
        <f t="shared" si="46"/>
        <v>45798</v>
      </c>
      <c r="AA161" s="1"/>
      <c r="AB161" s="1"/>
      <c r="AC161" s="1"/>
      <c r="AD161" s="1"/>
      <c r="AE161" s="1"/>
      <c r="AF161" s="1"/>
      <c r="AG161" s="1"/>
    </row>
    <row r="162" spans="1:33" ht="20">
      <c r="A162" s="1"/>
      <c r="B162" s="11"/>
      <c r="C162" s="50">
        <v>142</v>
      </c>
      <c r="D162" s="51">
        <v>1</v>
      </c>
      <c r="E162" s="52">
        <f t="shared" si="41"/>
        <v>5</v>
      </c>
      <c r="F162" s="53">
        <f t="shared" si="42"/>
        <v>45799</v>
      </c>
      <c r="G162" s="54" t="str">
        <f t="shared" si="43"/>
        <v>Thu</v>
      </c>
      <c r="H162" s="55"/>
      <c r="I162" s="56"/>
      <c r="J162" s="82">
        <v>203350</v>
      </c>
      <c r="K162" s="83"/>
      <c r="L162" s="59">
        <f t="shared" si="37"/>
        <v>237762.23776223778</v>
      </c>
      <c r="M162" s="60">
        <f t="shared" si="38"/>
        <v>-34412.237762237783</v>
      </c>
      <c r="N162" s="61">
        <f t="shared" si="9"/>
        <v>0.85526617647058811</v>
      </c>
      <c r="O162" s="80"/>
      <c r="P162" s="59">
        <f>IF(D162=0,0,SUM($L$141:L162))</f>
        <v>3804195.8041958059</v>
      </c>
      <c r="Q162" s="59">
        <f>IF(D162=0,0,SUM($J$141:J162))</f>
        <v>3851880</v>
      </c>
      <c r="R162" s="63">
        <f t="shared" si="39"/>
        <v>47684.195804194082</v>
      </c>
      <c r="S162" s="64">
        <f t="shared" si="44"/>
        <v>1.0125346323529407</v>
      </c>
      <c r="T162" s="73"/>
      <c r="U162" s="59">
        <f>IF(D162=0,0,SUM($L$21:L162))</f>
        <v>30265734.265734285</v>
      </c>
      <c r="V162" s="59">
        <f>IF(D162=0,0,SUM($J$21:J162))</f>
        <v>29669410</v>
      </c>
      <c r="W162" s="66">
        <f t="shared" si="40"/>
        <v>-596324.26573428512</v>
      </c>
      <c r="X162" s="67">
        <f t="shared" si="45"/>
        <v>0.98029704944547069</v>
      </c>
      <c r="Y162" s="68">
        <f t="shared" si="46"/>
        <v>45799</v>
      </c>
      <c r="Z162" s="69">
        <f t="shared" si="46"/>
        <v>45799</v>
      </c>
      <c r="AA162" s="1"/>
      <c r="AB162" s="1"/>
      <c r="AC162" s="1"/>
      <c r="AD162" s="1"/>
      <c r="AE162" s="1"/>
      <c r="AF162" s="1"/>
      <c r="AG162" s="1"/>
    </row>
    <row r="163" spans="1:33" ht="20">
      <c r="A163" s="1"/>
      <c r="B163" s="11"/>
      <c r="C163" s="50">
        <v>143</v>
      </c>
      <c r="D163" s="51">
        <v>1</v>
      </c>
      <c r="E163" s="52">
        <f t="shared" si="41"/>
        <v>5</v>
      </c>
      <c r="F163" s="53">
        <f t="shared" si="42"/>
        <v>45800</v>
      </c>
      <c r="G163" s="54" t="str">
        <f t="shared" si="43"/>
        <v>Fri</v>
      </c>
      <c r="H163" s="55"/>
      <c r="I163" s="56"/>
      <c r="J163" s="82">
        <v>363600</v>
      </c>
      <c r="K163" s="83"/>
      <c r="L163" s="59">
        <f t="shared" si="37"/>
        <v>237762.23776223778</v>
      </c>
      <c r="M163" s="60">
        <f t="shared" si="38"/>
        <v>125837.76223776222</v>
      </c>
      <c r="N163" s="61">
        <f t="shared" si="9"/>
        <v>1.5292588235294116</v>
      </c>
      <c r="O163" s="80"/>
      <c r="P163" s="59">
        <f>IF(D163=0,0,SUM($L$141:L163))</f>
        <v>4041958.0419580438</v>
      </c>
      <c r="Q163" s="59">
        <f>IF(D163=0,0,SUM($J$141:J163))</f>
        <v>4215480</v>
      </c>
      <c r="R163" s="63">
        <f t="shared" si="39"/>
        <v>173521.95804195618</v>
      </c>
      <c r="S163" s="64">
        <f t="shared" si="44"/>
        <v>1.0429301730103802</v>
      </c>
      <c r="T163" s="73"/>
      <c r="U163" s="59">
        <f>IF(D163=0,0,SUM($L$21:L163))</f>
        <v>30503496.503496524</v>
      </c>
      <c r="V163" s="59">
        <f>IF(D163=0,0,SUM($J$21:J163))</f>
        <v>30033010</v>
      </c>
      <c r="W163" s="66">
        <f t="shared" si="40"/>
        <v>-470486.50349652395</v>
      </c>
      <c r="X163" s="67">
        <f t="shared" si="45"/>
        <v>0.9845759812012832</v>
      </c>
      <c r="Y163" s="68">
        <f t="shared" si="46"/>
        <v>45800</v>
      </c>
      <c r="Z163" s="69">
        <f t="shared" si="46"/>
        <v>45800</v>
      </c>
      <c r="AA163" s="1"/>
      <c r="AB163" s="1"/>
      <c r="AC163" s="1"/>
      <c r="AD163" s="1"/>
      <c r="AE163" s="1"/>
      <c r="AF163" s="1"/>
      <c r="AG163" s="1"/>
    </row>
    <row r="164" spans="1:33" ht="20">
      <c r="A164" s="1"/>
      <c r="B164" s="11"/>
      <c r="C164" s="50">
        <v>144</v>
      </c>
      <c r="D164" s="51">
        <v>1</v>
      </c>
      <c r="E164" s="52">
        <f t="shared" si="41"/>
        <v>5</v>
      </c>
      <c r="F164" s="53">
        <f t="shared" si="42"/>
        <v>45801</v>
      </c>
      <c r="G164" s="54" t="str">
        <f t="shared" si="43"/>
        <v>Sat</v>
      </c>
      <c r="H164" s="55"/>
      <c r="I164" s="56"/>
      <c r="J164" s="82">
        <v>182700</v>
      </c>
      <c r="K164" s="83"/>
      <c r="L164" s="59">
        <f t="shared" si="37"/>
        <v>237762.23776223778</v>
      </c>
      <c r="M164" s="60">
        <f t="shared" si="38"/>
        <v>-55062.237762237783</v>
      </c>
      <c r="N164" s="61">
        <f t="shared" si="9"/>
        <v>0.76841470588235283</v>
      </c>
      <c r="O164" s="80"/>
      <c r="P164" s="59">
        <f>IF(D164=0,0,SUM($L$141:L164))</f>
        <v>4279720.2797202813</v>
      </c>
      <c r="Q164" s="59">
        <f>IF(D164=0,0,SUM($J$141:J164))</f>
        <v>4398180</v>
      </c>
      <c r="R164" s="63">
        <f t="shared" si="39"/>
        <v>118459.72027971875</v>
      </c>
      <c r="S164" s="64">
        <f t="shared" si="44"/>
        <v>1.0276793137254898</v>
      </c>
      <c r="T164" s="73"/>
      <c r="U164" s="59">
        <f>IF(D164=0,0,SUM($L$21:L164))</f>
        <v>30741258.741258763</v>
      </c>
      <c r="V164" s="59">
        <f>IF(D164=0,0,SUM($J$21:J164))</f>
        <v>30215710</v>
      </c>
      <c r="W164" s="66">
        <f t="shared" si="40"/>
        <v>-525548.74125876278</v>
      </c>
      <c r="X164" s="67">
        <f t="shared" si="45"/>
        <v>0.98290412420382101</v>
      </c>
      <c r="Y164" s="68">
        <f t="shared" si="46"/>
        <v>45801</v>
      </c>
      <c r="Z164" s="69">
        <f t="shared" si="46"/>
        <v>45801</v>
      </c>
      <c r="AA164" s="1"/>
      <c r="AB164" s="1"/>
      <c r="AC164" s="1"/>
      <c r="AD164" s="1"/>
      <c r="AE164" s="1"/>
      <c r="AF164" s="1"/>
      <c r="AG164" s="1"/>
    </row>
    <row r="165" spans="1:33" ht="20">
      <c r="A165" s="1"/>
      <c r="B165" s="11"/>
      <c r="C165" s="50">
        <v>145</v>
      </c>
      <c r="D165" s="51">
        <v>0</v>
      </c>
      <c r="E165" s="52">
        <f t="shared" si="41"/>
        <v>5</v>
      </c>
      <c r="F165" s="53">
        <f t="shared" si="42"/>
        <v>45802</v>
      </c>
      <c r="G165" s="54" t="str">
        <f t="shared" si="43"/>
        <v>Sun</v>
      </c>
      <c r="H165" s="55"/>
      <c r="I165" s="56"/>
      <c r="J165" s="82"/>
      <c r="K165" s="83"/>
      <c r="L165" s="59">
        <f t="shared" si="37"/>
        <v>0</v>
      </c>
      <c r="M165" s="60">
        <f t="shared" si="38"/>
        <v>0</v>
      </c>
      <c r="N165" s="61" t="str">
        <f t="shared" si="9"/>
        <v>¥0</v>
      </c>
      <c r="O165" s="81"/>
      <c r="P165" s="59">
        <f>IF(D165=0,0,SUM($L$141:L165))</f>
        <v>0</v>
      </c>
      <c r="Q165" s="59">
        <f>IF(D165=0,0,SUM($J$141:J165))</f>
        <v>0</v>
      </c>
      <c r="R165" s="63">
        <f t="shared" si="39"/>
        <v>0</v>
      </c>
      <c r="S165" s="64">
        <f t="shared" si="44"/>
        <v>0</v>
      </c>
      <c r="T165" s="78"/>
      <c r="U165" s="59">
        <f>IF(D165=0,0,SUM($L$21:L165))</f>
        <v>0</v>
      </c>
      <c r="V165" s="59">
        <f>IF(D165=0,0,SUM($J$21:J165))</f>
        <v>0</v>
      </c>
      <c r="W165" s="66">
        <f t="shared" si="40"/>
        <v>0</v>
      </c>
      <c r="X165" s="67">
        <f t="shared" si="45"/>
        <v>0</v>
      </c>
      <c r="Y165" s="68">
        <f t="shared" si="46"/>
        <v>45802</v>
      </c>
      <c r="Z165" s="69">
        <f t="shared" si="46"/>
        <v>45802</v>
      </c>
      <c r="AA165" s="1"/>
      <c r="AB165" s="1"/>
      <c r="AC165" s="1"/>
      <c r="AD165" s="1"/>
      <c r="AE165" s="1"/>
      <c r="AF165" s="1"/>
      <c r="AG165" s="1"/>
    </row>
    <row r="166" spans="1:33" ht="20">
      <c r="A166" s="1"/>
      <c r="B166" s="11"/>
      <c r="C166" s="50">
        <v>146</v>
      </c>
      <c r="D166" s="51">
        <v>1</v>
      </c>
      <c r="E166" s="52">
        <f t="shared" si="41"/>
        <v>5</v>
      </c>
      <c r="F166" s="53">
        <f t="shared" si="42"/>
        <v>45803</v>
      </c>
      <c r="G166" s="54" t="str">
        <f t="shared" si="43"/>
        <v>Mon</v>
      </c>
      <c r="H166" s="55"/>
      <c r="I166" s="56"/>
      <c r="J166" s="82">
        <v>249270</v>
      </c>
      <c r="K166" s="83"/>
      <c r="L166" s="59">
        <f t="shared" si="37"/>
        <v>237762.23776223778</v>
      </c>
      <c r="M166" s="60">
        <f t="shared" si="38"/>
        <v>11507.762237762217</v>
      </c>
      <c r="N166" s="61">
        <f t="shared" si="9"/>
        <v>1.0484002941176469</v>
      </c>
      <c r="O166" s="80"/>
      <c r="P166" s="59">
        <f>IF(D166=0,0,SUM($L$141:L166))</f>
        <v>4517482.5174825191</v>
      </c>
      <c r="Q166" s="59">
        <f>IF(D166=0,0,SUM($J$141:J166))</f>
        <v>4647450</v>
      </c>
      <c r="R166" s="63">
        <f t="shared" si="39"/>
        <v>129967.48251748085</v>
      </c>
      <c r="S166" s="64">
        <f t="shared" si="44"/>
        <v>1.0287698916408665</v>
      </c>
      <c r="T166" s="73"/>
      <c r="U166" s="59">
        <f>IF(D166=0,0,SUM($L$21:L166))</f>
        <v>30979020.979021002</v>
      </c>
      <c r="V166" s="59">
        <f>IF(D166=0,0,SUM($J$21:J166))</f>
        <v>30464980</v>
      </c>
      <c r="W166" s="66">
        <f t="shared" si="40"/>
        <v>-514040.97902100161</v>
      </c>
      <c r="X166" s="67">
        <f t="shared" si="45"/>
        <v>0.98340680361173738</v>
      </c>
      <c r="Y166" s="68">
        <f t="shared" si="46"/>
        <v>45803</v>
      </c>
      <c r="Z166" s="69">
        <f t="shared" si="46"/>
        <v>45803</v>
      </c>
      <c r="AA166" s="1"/>
      <c r="AB166" s="1"/>
      <c r="AC166" s="1"/>
      <c r="AD166" s="1"/>
      <c r="AE166" s="1"/>
      <c r="AF166" s="1"/>
      <c r="AG166" s="1"/>
    </row>
    <row r="167" spans="1:33" ht="20">
      <c r="A167" s="1"/>
      <c r="B167" s="11"/>
      <c r="C167" s="50">
        <v>147</v>
      </c>
      <c r="D167" s="51">
        <v>1</v>
      </c>
      <c r="E167" s="52">
        <f t="shared" si="41"/>
        <v>5</v>
      </c>
      <c r="F167" s="53">
        <f t="shared" si="42"/>
        <v>45804</v>
      </c>
      <c r="G167" s="54" t="str">
        <f t="shared" si="43"/>
        <v>Tue</v>
      </c>
      <c r="H167" s="55"/>
      <c r="I167" s="56"/>
      <c r="J167" s="82">
        <v>254800</v>
      </c>
      <c r="K167" s="83"/>
      <c r="L167" s="59">
        <f t="shared" si="37"/>
        <v>237762.23776223778</v>
      </c>
      <c r="M167" s="60">
        <f t="shared" si="38"/>
        <v>17037.762237762217</v>
      </c>
      <c r="N167" s="61">
        <f t="shared" si="9"/>
        <v>1.0716588235294118</v>
      </c>
      <c r="O167" s="80"/>
      <c r="P167" s="59">
        <f>IF(D167=0,0,SUM($L$141:L167))</f>
        <v>4755244.755244757</v>
      </c>
      <c r="Q167" s="59">
        <f>IF(D167=0,0,SUM($J$141:J167))</f>
        <v>4902250</v>
      </c>
      <c r="R167" s="63">
        <f t="shared" si="39"/>
        <v>147005.24475524295</v>
      </c>
      <c r="S167" s="64">
        <f t="shared" si="44"/>
        <v>1.0309143382352937</v>
      </c>
      <c r="T167" s="73"/>
      <c r="U167" s="59">
        <f>IF(D167=0,0,SUM($L$21:L167))</f>
        <v>31216783.21678324</v>
      </c>
      <c r="V167" s="59">
        <f>IF(D167=0,0,SUM($J$21:J167))</f>
        <v>30719780</v>
      </c>
      <c r="W167" s="66">
        <f t="shared" si="40"/>
        <v>-497003.21678324044</v>
      </c>
      <c r="X167" s="67">
        <f t="shared" si="45"/>
        <v>0.98407897401433619</v>
      </c>
      <c r="Y167" s="68">
        <f t="shared" ref="Y167:Z182" si="47">Y166+1</f>
        <v>45804</v>
      </c>
      <c r="Z167" s="69">
        <f t="shared" si="47"/>
        <v>45804</v>
      </c>
      <c r="AA167" s="1"/>
      <c r="AB167" s="1"/>
      <c r="AC167" s="1"/>
      <c r="AD167" s="1"/>
      <c r="AE167" s="1"/>
      <c r="AF167" s="1"/>
      <c r="AG167" s="1"/>
    </row>
    <row r="168" spans="1:33" ht="20">
      <c r="A168" s="1"/>
      <c r="B168" s="11"/>
      <c r="C168" s="50">
        <v>148</v>
      </c>
      <c r="D168" s="51">
        <v>1</v>
      </c>
      <c r="E168" s="52">
        <f t="shared" si="41"/>
        <v>5</v>
      </c>
      <c r="F168" s="53">
        <f t="shared" si="42"/>
        <v>45805</v>
      </c>
      <c r="G168" s="54" t="str">
        <f t="shared" si="43"/>
        <v>Wed</v>
      </c>
      <c r="H168" s="55"/>
      <c r="I168" s="56"/>
      <c r="J168" s="82">
        <v>326330</v>
      </c>
      <c r="K168" s="83"/>
      <c r="L168" s="59">
        <f t="shared" si="37"/>
        <v>237762.23776223778</v>
      </c>
      <c r="M168" s="60">
        <f t="shared" si="38"/>
        <v>88567.762237762217</v>
      </c>
      <c r="N168" s="61">
        <f t="shared" si="9"/>
        <v>1.3725055882352939</v>
      </c>
      <c r="O168" s="80"/>
      <c r="P168" s="59">
        <f>IF(D168=0,0,SUM($L$141:L168))</f>
        <v>4993006.9930069949</v>
      </c>
      <c r="Q168" s="59">
        <f>IF(D168=0,0,SUM($J$141:J168))</f>
        <v>5228580</v>
      </c>
      <c r="R168" s="63">
        <f t="shared" si="39"/>
        <v>235573.00699300505</v>
      </c>
      <c r="S168" s="64">
        <f t="shared" si="44"/>
        <v>1.0471805882352938</v>
      </c>
      <c r="T168" s="73"/>
      <c r="U168" s="59">
        <f>IF(D168=0,0,SUM($L$21:L168))</f>
        <v>31454545.454545479</v>
      </c>
      <c r="V168" s="59">
        <f>IF(D168=0,0,SUM($J$21:J168))</f>
        <v>31046110</v>
      </c>
      <c r="W168" s="66">
        <f t="shared" si="40"/>
        <v>-408435.45454547927</v>
      </c>
      <c r="X168" s="67">
        <f t="shared" si="45"/>
        <v>0.98701505780346743</v>
      </c>
      <c r="Y168" s="68">
        <f t="shared" si="47"/>
        <v>45805</v>
      </c>
      <c r="Z168" s="69">
        <f t="shared" si="47"/>
        <v>45805</v>
      </c>
      <c r="AA168" s="1"/>
      <c r="AB168" s="1"/>
      <c r="AC168" s="1"/>
      <c r="AD168" s="1"/>
      <c r="AE168" s="1"/>
      <c r="AF168" s="1"/>
      <c r="AG168" s="1"/>
    </row>
    <row r="169" spans="1:33" ht="20">
      <c r="A169" s="1"/>
      <c r="B169" s="11"/>
      <c r="C169" s="50">
        <v>149</v>
      </c>
      <c r="D169" s="51">
        <v>1</v>
      </c>
      <c r="E169" s="52">
        <f t="shared" si="41"/>
        <v>5</v>
      </c>
      <c r="F169" s="53">
        <f t="shared" si="42"/>
        <v>45806</v>
      </c>
      <c r="G169" s="54" t="str">
        <f t="shared" si="43"/>
        <v>Thu</v>
      </c>
      <c r="H169" s="55"/>
      <c r="I169" s="56"/>
      <c r="J169" s="82">
        <v>261180</v>
      </c>
      <c r="K169" s="83"/>
      <c r="L169" s="59">
        <f t="shared" si="37"/>
        <v>237762.23776223778</v>
      </c>
      <c r="M169" s="60">
        <f t="shared" si="38"/>
        <v>23417.762237762217</v>
      </c>
      <c r="N169" s="61">
        <f t="shared" si="9"/>
        <v>1.0984923529411763</v>
      </c>
      <c r="O169" s="80"/>
      <c r="P169" s="59">
        <f>IF(D169=0,0,SUM($L$141:L169))</f>
        <v>5230769.2307692328</v>
      </c>
      <c r="Q169" s="59">
        <f>IF(D169=0,0,SUM($J$141:J169))</f>
        <v>5489760</v>
      </c>
      <c r="R169" s="63">
        <f t="shared" si="39"/>
        <v>258990.76923076715</v>
      </c>
      <c r="S169" s="64">
        <f t="shared" si="44"/>
        <v>1.0495129411764701</v>
      </c>
      <c r="T169" s="73"/>
      <c r="U169" s="59">
        <f>IF(D169=0,0,SUM($L$21:L169))</f>
        <v>31692307.692307718</v>
      </c>
      <c r="V169" s="59">
        <f>IF(D169=0,0,SUM($J$21:J169))</f>
        <v>31307290</v>
      </c>
      <c r="W169" s="66">
        <f t="shared" si="40"/>
        <v>-385017.6923077181</v>
      </c>
      <c r="X169" s="67">
        <f t="shared" si="45"/>
        <v>0.98785138349514479</v>
      </c>
      <c r="Y169" s="68">
        <f t="shared" si="47"/>
        <v>45806</v>
      </c>
      <c r="Z169" s="69">
        <f t="shared" si="47"/>
        <v>45806</v>
      </c>
      <c r="AA169" s="1"/>
      <c r="AB169" s="1"/>
      <c r="AC169" s="1"/>
      <c r="AD169" s="1"/>
      <c r="AE169" s="1"/>
      <c r="AF169" s="1"/>
      <c r="AG169" s="1"/>
    </row>
    <row r="170" spans="1:33" ht="20">
      <c r="A170" s="1"/>
      <c r="B170" s="11"/>
      <c r="C170" s="50">
        <v>150</v>
      </c>
      <c r="D170" s="51">
        <v>1</v>
      </c>
      <c r="E170" s="52">
        <f t="shared" si="41"/>
        <v>5</v>
      </c>
      <c r="F170" s="53">
        <f t="shared" si="42"/>
        <v>45807</v>
      </c>
      <c r="G170" s="54" t="str">
        <f t="shared" si="43"/>
        <v>Fri</v>
      </c>
      <c r="H170" s="55"/>
      <c r="I170" s="56"/>
      <c r="J170" s="82">
        <v>327000</v>
      </c>
      <c r="K170" s="83"/>
      <c r="L170" s="59">
        <f t="shared" si="37"/>
        <v>237762.23776223778</v>
      </c>
      <c r="M170" s="60">
        <f t="shared" si="38"/>
        <v>89237.762237762217</v>
      </c>
      <c r="N170" s="61">
        <f t="shared" si="9"/>
        <v>1.3753235294117645</v>
      </c>
      <c r="O170" s="80"/>
      <c r="P170" s="59">
        <f>IF(D170=0,0,SUM($L$141:L170))</f>
        <v>5468531.4685314707</v>
      </c>
      <c r="Q170" s="59">
        <f>IF(D170=0,0,SUM($J$141:J170))</f>
        <v>5816760</v>
      </c>
      <c r="R170" s="63">
        <f t="shared" si="39"/>
        <v>348228.53146852925</v>
      </c>
      <c r="S170" s="64">
        <f t="shared" si="44"/>
        <v>1.0636786189258307</v>
      </c>
      <c r="T170" s="73"/>
      <c r="U170" s="59">
        <f>IF(D170=0,0,SUM($L$21:L170))</f>
        <v>31930069.930069957</v>
      </c>
      <c r="V170" s="59">
        <f>IF(D170=0,0,SUM($J$21:J170))</f>
        <v>31634290</v>
      </c>
      <c r="W170" s="66">
        <f t="shared" si="40"/>
        <v>-295779.93006995693</v>
      </c>
      <c r="X170" s="67">
        <f t="shared" si="45"/>
        <v>0.99073663381515464</v>
      </c>
      <c r="Y170" s="68">
        <f t="shared" si="47"/>
        <v>45807</v>
      </c>
      <c r="Z170" s="69">
        <f t="shared" si="47"/>
        <v>45807</v>
      </c>
      <c r="AA170" s="1"/>
      <c r="AB170" s="1"/>
      <c r="AC170" s="1"/>
      <c r="AD170" s="1"/>
      <c r="AE170" s="1"/>
      <c r="AF170" s="1"/>
      <c r="AG170" s="1"/>
    </row>
    <row r="171" spans="1:33" ht="21" thickBot="1">
      <c r="A171" s="1"/>
      <c r="B171" s="11"/>
      <c r="C171" s="84">
        <v>151</v>
      </c>
      <c r="D171" s="85">
        <v>1</v>
      </c>
      <c r="E171" s="501">
        <f t="shared" si="41"/>
        <v>5</v>
      </c>
      <c r="F171" s="86">
        <f t="shared" si="42"/>
        <v>45808</v>
      </c>
      <c r="G171" s="87" t="str">
        <f t="shared" si="43"/>
        <v>Sat</v>
      </c>
      <c r="H171" s="508"/>
      <c r="I171" s="502"/>
      <c r="J171" s="89">
        <v>114570</v>
      </c>
      <c r="K171" s="503"/>
      <c r="L171" s="90">
        <f t="shared" si="37"/>
        <v>237762.23776223778</v>
      </c>
      <c r="M171" s="91">
        <f t="shared" si="38"/>
        <v>-123192.23776223778</v>
      </c>
      <c r="N171" s="92">
        <f t="shared" si="9"/>
        <v>0.48186794117647053</v>
      </c>
      <c r="O171" s="504"/>
      <c r="P171" s="534">
        <f>IF(D171=0,0,SUM($L$141:L171))</f>
        <v>5706293.7062937086</v>
      </c>
      <c r="Q171" s="90">
        <f>IF(D171=0,0,SUM($J$141:J171))</f>
        <v>5931330</v>
      </c>
      <c r="R171" s="91">
        <f t="shared" si="39"/>
        <v>225036.29370629136</v>
      </c>
      <c r="S171" s="505">
        <f t="shared" si="44"/>
        <v>1.0394365073529408</v>
      </c>
      <c r="T171" s="506"/>
      <c r="U171" s="94">
        <f>IF(D171=0,0,SUM($L$21:L171))</f>
        <v>32167832.167832196</v>
      </c>
      <c r="V171" s="90">
        <f>IF(D171=0,0,SUM($J$21:J171))</f>
        <v>31748860</v>
      </c>
      <c r="W171" s="95">
        <f t="shared" si="40"/>
        <v>-418972.16783219576</v>
      </c>
      <c r="X171" s="507">
        <f t="shared" si="45"/>
        <v>0.98697543043478175</v>
      </c>
      <c r="Y171" s="68">
        <f t="shared" si="47"/>
        <v>45808</v>
      </c>
      <c r="Z171" s="69">
        <f t="shared" si="47"/>
        <v>45808</v>
      </c>
      <c r="AA171" s="1"/>
      <c r="AB171" s="1"/>
      <c r="AC171" s="1"/>
      <c r="AD171" s="1"/>
      <c r="AE171" s="1"/>
      <c r="AF171" s="1"/>
      <c r="AG171" s="1"/>
    </row>
    <row r="172" spans="1:33" ht="21" thickTop="1">
      <c r="A172" s="1"/>
      <c r="B172" s="11"/>
      <c r="C172" s="50">
        <v>152</v>
      </c>
      <c r="D172" s="96">
        <v>0</v>
      </c>
      <c r="E172" s="52">
        <f t="shared" si="41"/>
        <v>6</v>
      </c>
      <c r="F172" s="53">
        <f t="shared" si="42"/>
        <v>45809</v>
      </c>
      <c r="G172" s="54" t="str">
        <f t="shared" si="43"/>
        <v>Sun</v>
      </c>
      <c r="H172" s="55"/>
      <c r="I172" s="56"/>
      <c r="J172" s="82"/>
      <c r="K172" s="83"/>
      <c r="L172" s="59">
        <f t="shared" ref="L172:L201" si="48">IF(D172=0,0,$K$12)</f>
        <v>0</v>
      </c>
      <c r="M172" s="63">
        <f t="shared" si="38"/>
        <v>0</v>
      </c>
      <c r="N172" s="97" t="str">
        <f t="shared" si="9"/>
        <v>¥0</v>
      </c>
      <c r="O172" s="81"/>
      <c r="P172" s="59">
        <f>IF(D172=0,0,$L$172)</f>
        <v>0</v>
      </c>
      <c r="Q172" s="59">
        <f>IF(D172=0,0,$J$172)</f>
        <v>0</v>
      </c>
      <c r="R172" s="63">
        <f t="shared" si="39"/>
        <v>0</v>
      </c>
      <c r="S172" s="499">
        <f t="shared" si="44"/>
        <v>0</v>
      </c>
      <c r="T172" s="78"/>
      <c r="U172" s="59">
        <f>IF(D172=0,0,SUM($L$21:L172))</f>
        <v>0</v>
      </c>
      <c r="V172" s="59">
        <f>IF(D172=0,0,SUM($J$21:J172))</f>
        <v>0</v>
      </c>
      <c r="W172" s="66">
        <f t="shared" si="40"/>
        <v>0</v>
      </c>
      <c r="X172" s="500">
        <f t="shared" si="45"/>
        <v>0</v>
      </c>
      <c r="Y172" s="68">
        <f t="shared" si="47"/>
        <v>45809</v>
      </c>
      <c r="Z172" s="69">
        <f t="shared" si="47"/>
        <v>45809</v>
      </c>
      <c r="AA172" s="1"/>
      <c r="AB172" s="1"/>
      <c r="AC172" s="1"/>
      <c r="AD172" s="1"/>
      <c r="AE172" s="1"/>
      <c r="AF172" s="1"/>
      <c r="AG172" s="1"/>
    </row>
    <row r="173" spans="1:33" ht="20">
      <c r="A173" s="1"/>
      <c r="B173" s="11"/>
      <c r="C173" s="50">
        <v>153</v>
      </c>
      <c r="D173" s="51">
        <v>1</v>
      </c>
      <c r="E173" s="52">
        <f t="shared" si="41"/>
        <v>6</v>
      </c>
      <c r="F173" s="53">
        <f t="shared" si="42"/>
        <v>45810</v>
      </c>
      <c r="G173" s="54" t="str">
        <f t="shared" si="43"/>
        <v>Mon</v>
      </c>
      <c r="H173" s="55"/>
      <c r="I173" s="56"/>
      <c r="J173" s="82"/>
      <c r="K173" s="83"/>
      <c r="L173" s="59">
        <f t="shared" si="48"/>
        <v>223776.22377622381</v>
      </c>
      <c r="M173" s="60">
        <f t="shared" si="38"/>
        <v>-223776.22377622381</v>
      </c>
      <c r="N173" s="61">
        <f t="shared" si="9"/>
        <v>0</v>
      </c>
      <c r="O173" s="80"/>
      <c r="P173" s="59">
        <f>IF(D173=0,0,SUM($L$172:L173))</f>
        <v>223776.22377622381</v>
      </c>
      <c r="Q173" s="59">
        <f>IF(D173=0,0,SUM($J$172:J173))</f>
        <v>0</v>
      </c>
      <c r="R173" s="63">
        <f t="shared" si="39"/>
        <v>-223776.22377622381</v>
      </c>
      <c r="S173" s="64">
        <f t="shared" si="44"/>
        <v>0</v>
      </c>
      <c r="T173" s="73"/>
      <c r="U173" s="59">
        <f>IF(D173=0,0,SUM($L$21:L173))</f>
        <v>32391608.391608421</v>
      </c>
      <c r="V173" s="59">
        <f>IF(D173=0,0,SUM($J$21:J173))</f>
        <v>31748860</v>
      </c>
      <c r="W173" s="66">
        <f t="shared" si="40"/>
        <v>-642748.39160842076</v>
      </c>
      <c r="X173" s="67">
        <f t="shared" si="45"/>
        <v>0.98015694732296976</v>
      </c>
      <c r="Y173" s="68">
        <f t="shared" si="47"/>
        <v>45810</v>
      </c>
      <c r="Z173" s="69">
        <f t="shared" si="47"/>
        <v>45810</v>
      </c>
      <c r="AA173" s="1"/>
      <c r="AB173" s="1"/>
      <c r="AC173" s="1"/>
      <c r="AD173" s="1"/>
      <c r="AE173" s="1"/>
      <c r="AF173" s="1"/>
      <c r="AG173" s="1"/>
    </row>
    <row r="174" spans="1:33" ht="20">
      <c r="A174" s="1"/>
      <c r="B174" s="11"/>
      <c r="C174" s="50">
        <v>154</v>
      </c>
      <c r="D174" s="51">
        <v>1</v>
      </c>
      <c r="E174" s="52">
        <f t="shared" si="41"/>
        <v>6</v>
      </c>
      <c r="F174" s="53">
        <f t="shared" si="42"/>
        <v>45811</v>
      </c>
      <c r="G174" s="54" t="str">
        <f t="shared" si="43"/>
        <v>Tue</v>
      </c>
      <c r="H174" s="55"/>
      <c r="I174" s="56"/>
      <c r="J174" s="82"/>
      <c r="K174" s="83"/>
      <c r="L174" s="59">
        <f t="shared" si="48"/>
        <v>223776.22377622381</v>
      </c>
      <c r="M174" s="60">
        <f t="shared" si="38"/>
        <v>-223776.22377622381</v>
      </c>
      <c r="N174" s="61">
        <f t="shared" si="9"/>
        <v>0</v>
      </c>
      <c r="O174" s="80"/>
      <c r="P174" s="59">
        <f>IF(D174=0,0,SUM($L$172:L174))</f>
        <v>447552.44755244761</v>
      </c>
      <c r="Q174" s="59">
        <f>IF(D174=0,0,SUM($J$172:J174))</f>
        <v>0</v>
      </c>
      <c r="R174" s="63">
        <f t="shared" si="39"/>
        <v>-447552.44755244761</v>
      </c>
      <c r="S174" s="64">
        <f t="shared" si="44"/>
        <v>0</v>
      </c>
      <c r="T174" s="73"/>
      <c r="U174" s="59">
        <f>IF(D174=0,0,SUM($L$21:L174))</f>
        <v>32615384.615384646</v>
      </c>
      <c r="V174" s="59">
        <f>IF(D174=0,0,SUM($J$21:J174))</f>
        <v>31748860</v>
      </c>
      <c r="W174" s="66">
        <f t="shared" si="40"/>
        <v>-866524.61538464576</v>
      </c>
      <c r="X174" s="67">
        <f t="shared" si="45"/>
        <v>0.97343202830188591</v>
      </c>
      <c r="Y174" s="68">
        <f t="shared" si="47"/>
        <v>45811</v>
      </c>
      <c r="Z174" s="69">
        <f t="shared" si="47"/>
        <v>45811</v>
      </c>
      <c r="AA174" s="1"/>
      <c r="AB174" s="1"/>
      <c r="AC174" s="1"/>
      <c r="AD174" s="1"/>
      <c r="AE174" s="1"/>
      <c r="AF174" s="1"/>
      <c r="AG174" s="1"/>
    </row>
    <row r="175" spans="1:33" ht="20">
      <c r="A175" s="1"/>
      <c r="B175" s="11"/>
      <c r="C175" s="50">
        <v>155</v>
      </c>
      <c r="D175" s="51">
        <v>1</v>
      </c>
      <c r="E175" s="52">
        <f t="shared" si="41"/>
        <v>6</v>
      </c>
      <c r="F175" s="53">
        <f t="shared" si="42"/>
        <v>45812</v>
      </c>
      <c r="G175" s="54" t="str">
        <f t="shared" si="43"/>
        <v>Wed</v>
      </c>
      <c r="H175" s="55"/>
      <c r="I175" s="56"/>
      <c r="J175" s="82"/>
      <c r="K175" s="83"/>
      <c r="L175" s="59">
        <f t="shared" si="48"/>
        <v>223776.22377622381</v>
      </c>
      <c r="M175" s="60">
        <f t="shared" si="38"/>
        <v>-223776.22377622381</v>
      </c>
      <c r="N175" s="61">
        <f t="shared" si="9"/>
        <v>0</v>
      </c>
      <c r="O175" s="80"/>
      <c r="P175" s="59">
        <f>IF(D175=0,0,SUM($L$172:L175))</f>
        <v>671328.67132867139</v>
      </c>
      <c r="Q175" s="59">
        <f>IF(D175=0,0,SUM($J$172:J175))</f>
        <v>0</v>
      </c>
      <c r="R175" s="63">
        <f t="shared" si="39"/>
        <v>-671328.67132867139</v>
      </c>
      <c r="S175" s="64">
        <f t="shared" si="44"/>
        <v>0</v>
      </c>
      <c r="T175" s="73"/>
      <c r="U175" s="59">
        <f>IF(D175=0,0,SUM($L$21:L175))</f>
        <v>32839160.839160871</v>
      </c>
      <c r="V175" s="59">
        <f>IF(D175=0,0,SUM($J$21:J175))</f>
        <v>31748860</v>
      </c>
      <c r="W175" s="66">
        <f t="shared" si="40"/>
        <v>-1090300.8391608708</v>
      </c>
      <c r="X175" s="67">
        <f t="shared" si="45"/>
        <v>0.96679876064735848</v>
      </c>
      <c r="Y175" s="68">
        <f t="shared" si="47"/>
        <v>45812</v>
      </c>
      <c r="Z175" s="69">
        <f t="shared" si="47"/>
        <v>45812</v>
      </c>
      <c r="AA175" s="1"/>
      <c r="AB175" s="1"/>
      <c r="AC175" s="1"/>
      <c r="AD175" s="1"/>
      <c r="AE175" s="1"/>
      <c r="AF175" s="1"/>
      <c r="AG175" s="1"/>
    </row>
    <row r="176" spans="1:33" ht="20">
      <c r="A176" s="1"/>
      <c r="B176" s="11"/>
      <c r="C176" s="50">
        <v>156</v>
      </c>
      <c r="D176" s="51">
        <v>1</v>
      </c>
      <c r="E176" s="52">
        <f t="shared" si="41"/>
        <v>6</v>
      </c>
      <c r="F176" s="53">
        <f t="shared" si="42"/>
        <v>45813</v>
      </c>
      <c r="G176" s="54" t="str">
        <f t="shared" si="43"/>
        <v>Thu</v>
      </c>
      <c r="H176" s="55"/>
      <c r="I176" s="56"/>
      <c r="J176" s="82"/>
      <c r="K176" s="83"/>
      <c r="L176" s="59">
        <f t="shared" si="48"/>
        <v>223776.22377622381</v>
      </c>
      <c r="M176" s="60">
        <f t="shared" si="38"/>
        <v>-223776.22377622381</v>
      </c>
      <c r="N176" s="61">
        <f t="shared" si="9"/>
        <v>0</v>
      </c>
      <c r="O176" s="80"/>
      <c r="P176" s="59">
        <f>IF(D176=0,0,SUM($L$172:L176))</f>
        <v>895104.89510489523</v>
      </c>
      <c r="Q176" s="59">
        <f>IF(D176=0,0,SUM($J$172:J176))</f>
        <v>0</v>
      </c>
      <c r="R176" s="63">
        <f t="shared" si="39"/>
        <v>-895104.89510489523</v>
      </c>
      <c r="S176" s="64">
        <f t="shared" si="44"/>
        <v>0</v>
      </c>
      <c r="T176" s="73"/>
      <c r="U176" s="59">
        <f>IF(D176=0,0,SUM($L$21:L176))</f>
        <v>33062937.062937096</v>
      </c>
      <c r="V176" s="59">
        <f>IF(D176=0,0,SUM($J$21:J176))</f>
        <v>31748860</v>
      </c>
      <c r="W176" s="66">
        <f t="shared" si="40"/>
        <v>-1314077.0629370958</v>
      </c>
      <c r="X176" s="67">
        <f t="shared" si="45"/>
        <v>0.96025528341793476</v>
      </c>
      <c r="Y176" s="68">
        <f t="shared" si="47"/>
        <v>45813</v>
      </c>
      <c r="Z176" s="69">
        <f t="shared" si="47"/>
        <v>45813</v>
      </c>
      <c r="AA176" s="1"/>
      <c r="AB176" s="1"/>
      <c r="AC176" s="1"/>
      <c r="AD176" s="1"/>
      <c r="AE176" s="1"/>
      <c r="AF176" s="1"/>
      <c r="AG176" s="1"/>
    </row>
    <row r="177" spans="1:33" ht="20">
      <c r="A177" s="1"/>
      <c r="B177" s="11"/>
      <c r="C177" s="50">
        <v>157</v>
      </c>
      <c r="D177" s="51">
        <v>1</v>
      </c>
      <c r="E177" s="52">
        <f t="shared" si="41"/>
        <v>6</v>
      </c>
      <c r="F177" s="53">
        <f t="shared" si="42"/>
        <v>45814</v>
      </c>
      <c r="G177" s="54" t="str">
        <f t="shared" si="43"/>
        <v>Fri</v>
      </c>
      <c r="H177" s="55"/>
      <c r="I177" s="56"/>
      <c r="J177" s="82"/>
      <c r="K177" s="83"/>
      <c r="L177" s="59">
        <f t="shared" si="48"/>
        <v>223776.22377622381</v>
      </c>
      <c r="M177" s="60">
        <f t="shared" si="38"/>
        <v>-223776.22377622381</v>
      </c>
      <c r="N177" s="61">
        <f t="shared" si="9"/>
        <v>0</v>
      </c>
      <c r="O177" s="80"/>
      <c r="P177" s="59">
        <f>IF(D177=0,0,SUM($L$172:L177))</f>
        <v>1118881.1188811189</v>
      </c>
      <c r="Q177" s="59">
        <f>IF(D177=0,0,SUM($J$172:J177))</f>
        <v>0</v>
      </c>
      <c r="R177" s="63">
        <f t="shared" si="39"/>
        <v>-1118881.1188811189</v>
      </c>
      <c r="S177" s="64">
        <f t="shared" si="44"/>
        <v>0</v>
      </c>
      <c r="T177" s="73"/>
      <c r="U177" s="59">
        <f>IF(D177=0,0,SUM($L$21:L177))</f>
        <v>33286713.286713321</v>
      </c>
      <c r="V177" s="59">
        <f>IF(D177=0,0,SUM($J$21:J177))</f>
        <v>31748860</v>
      </c>
      <c r="W177" s="66">
        <f t="shared" si="40"/>
        <v>-1537853.2867133208</v>
      </c>
      <c r="X177" s="67">
        <f t="shared" si="45"/>
        <v>0.9537997857142847</v>
      </c>
      <c r="Y177" s="68">
        <f t="shared" si="47"/>
        <v>45814</v>
      </c>
      <c r="Z177" s="69">
        <f t="shared" si="47"/>
        <v>45814</v>
      </c>
      <c r="AA177" s="1"/>
      <c r="AB177" s="1"/>
      <c r="AC177" s="1"/>
      <c r="AD177" s="1"/>
      <c r="AE177" s="1"/>
      <c r="AF177" s="1"/>
      <c r="AG177" s="1"/>
    </row>
    <row r="178" spans="1:33" ht="20">
      <c r="A178" s="1"/>
      <c r="B178" s="11"/>
      <c r="C178" s="50">
        <v>158</v>
      </c>
      <c r="D178" s="51">
        <v>1</v>
      </c>
      <c r="E178" s="52">
        <f t="shared" si="41"/>
        <v>6</v>
      </c>
      <c r="F178" s="53">
        <f t="shared" si="42"/>
        <v>45815</v>
      </c>
      <c r="G178" s="54" t="str">
        <f t="shared" si="43"/>
        <v>Sat</v>
      </c>
      <c r="H178" s="55"/>
      <c r="I178" s="56"/>
      <c r="J178" s="82"/>
      <c r="K178" s="83"/>
      <c r="L178" s="59">
        <f t="shared" si="48"/>
        <v>223776.22377622381</v>
      </c>
      <c r="M178" s="60">
        <f t="shared" si="38"/>
        <v>-223776.22377622381</v>
      </c>
      <c r="N178" s="61">
        <f t="shared" si="9"/>
        <v>0</v>
      </c>
      <c r="O178" s="80"/>
      <c r="P178" s="59">
        <f>IF(D178=0,0,SUM($L$172:L178))</f>
        <v>1342657.3426573428</v>
      </c>
      <c r="Q178" s="59">
        <f>IF(D178=0,0,SUM($J$172:J178))</f>
        <v>0</v>
      </c>
      <c r="R178" s="63">
        <f t="shared" si="39"/>
        <v>-1342657.3426573428</v>
      </c>
      <c r="S178" s="64">
        <f t="shared" si="44"/>
        <v>0</v>
      </c>
      <c r="T178" s="73"/>
      <c r="U178" s="59">
        <f>IF(D178=0,0,SUM($L$21:L178))</f>
        <v>33510489.510489546</v>
      </c>
      <c r="V178" s="59">
        <f>IF(D178=0,0,SUM($J$21:J178))</f>
        <v>31748860</v>
      </c>
      <c r="W178" s="66">
        <f t="shared" si="40"/>
        <v>-1761629.5104895458</v>
      </c>
      <c r="X178" s="67">
        <f t="shared" si="45"/>
        <v>0.94743050500834625</v>
      </c>
      <c r="Y178" s="68">
        <f t="shared" si="47"/>
        <v>45815</v>
      </c>
      <c r="Z178" s="69">
        <f t="shared" si="47"/>
        <v>45815</v>
      </c>
      <c r="AA178" s="1"/>
      <c r="AB178" s="1"/>
      <c r="AC178" s="1"/>
      <c r="AD178" s="1"/>
      <c r="AE178" s="1"/>
      <c r="AF178" s="1"/>
      <c r="AG178" s="1"/>
    </row>
    <row r="179" spans="1:33" ht="20">
      <c r="A179" s="1"/>
      <c r="B179" s="11"/>
      <c r="C179" s="50">
        <v>159</v>
      </c>
      <c r="D179" s="51">
        <v>0</v>
      </c>
      <c r="E179" s="52">
        <f t="shared" si="41"/>
        <v>6</v>
      </c>
      <c r="F179" s="53">
        <f t="shared" si="42"/>
        <v>45816</v>
      </c>
      <c r="G179" s="54" t="str">
        <f t="shared" si="43"/>
        <v>Sun</v>
      </c>
      <c r="H179" s="55"/>
      <c r="I179" s="56"/>
      <c r="J179" s="82"/>
      <c r="K179" s="83"/>
      <c r="L179" s="59">
        <f t="shared" si="48"/>
        <v>0</v>
      </c>
      <c r="M179" s="60">
        <f t="shared" si="38"/>
        <v>0</v>
      </c>
      <c r="N179" s="61" t="str">
        <f t="shared" si="9"/>
        <v>¥0</v>
      </c>
      <c r="O179" s="81"/>
      <c r="P179" s="59">
        <f>IF(D179=0,0,SUM($L$172:L179))</f>
        <v>0</v>
      </c>
      <c r="Q179" s="59">
        <f>IF(D179=0,0,SUM($J$172:J179))</f>
        <v>0</v>
      </c>
      <c r="R179" s="63">
        <f t="shared" si="39"/>
        <v>0</v>
      </c>
      <c r="S179" s="64">
        <f t="shared" si="44"/>
        <v>0</v>
      </c>
      <c r="T179" s="78"/>
      <c r="U179" s="59">
        <f>IF(D179=0,0,SUM($L$21:L179))</f>
        <v>0</v>
      </c>
      <c r="V179" s="59">
        <f>IF(D179=0,0,SUM($J$21:J179))</f>
        <v>0</v>
      </c>
      <c r="W179" s="66">
        <f t="shared" si="40"/>
        <v>0</v>
      </c>
      <c r="X179" s="67">
        <f t="shared" si="45"/>
        <v>0</v>
      </c>
      <c r="Y179" s="68">
        <f t="shared" si="47"/>
        <v>45816</v>
      </c>
      <c r="Z179" s="69">
        <f t="shared" si="47"/>
        <v>45816</v>
      </c>
      <c r="AA179" s="1"/>
      <c r="AB179" s="1"/>
      <c r="AC179" s="1"/>
      <c r="AD179" s="1"/>
      <c r="AE179" s="1"/>
      <c r="AF179" s="1"/>
      <c r="AG179" s="1"/>
    </row>
    <row r="180" spans="1:33" ht="20">
      <c r="A180" s="1"/>
      <c r="B180" s="11"/>
      <c r="C180" s="50">
        <v>160</v>
      </c>
      <c r="D180" s="51">
        <v>1</v>
      </c>
      <c r="E180" s="52">
        <f t="shared" si="41"/>
        <v>6</v>
      </c>
      <c r="F180" s="53">
        <f t="shared" si="42"/>
        <v>45817</v>
      </c>
      <c r="G180" s="54" t="str">
        <f t="shared" si="43"/>
        <v>Mon</v>
      </c>
      <c r="H180" s="55"/>
      <c r="I180" s="56"/>
      <c r="J180" s="82"/>
      <c r="K180" s="83"/>
      <c r="L180" s="59">
        <f t="shared" si="48"/>
        <v>223776.22377622381</v>
      </c>
      <c r="M180" s="60">
        <f t="shared" si="38"/>
        <v>-223776.22377622381</v>
      </c>
      <c r="N180" s="61">
        <f t="shared" si="9"/>
        <v>0</v>
      </c>
      <c r="O180" s="80"/>
      <c r="P180" s="59">
        <f>IF(D180=0,0,SUM($L$172:L180))</f>
        <v>1566433.5664335666</v>
      </c>
      <c r="Q180" s="59">
        <f>IF(D180=0,0,SUM($J$172:J180))</f>
        <v>0</v>
      </c>
      <c r="R180" s="63">
        <f t="shared" si="39"/>
        <v>-1566433.5664335666</v>
      </c>
      <c r="S180" s="64">
        <f t="shared" si="44"/>
        <v>0</v>
      </c>
      <c r="T180" s="73"/>
      <c r="U180" s="59">
        <f>IF(D180=0,0,SUM($L$21:L180))</f>
        <v>33734265.734265767</v>
      </c>
      <c r="V180" s="59">
        <f>IF(D180=0,0,SUM($J$21:J180))</f>
        <v>31748860</v>
      </c>
      <c r="W180" s="66">
        <f t="shared" si="40"/>
        <v>-1985405.734265767</v>
      </c>
      <c r="X180" s="67">
        <f t="shared" si="45"/>
        <v>0.94114572553897091</v>
      </c>
      <c r="Y180" s="68">
        <f t="shared" si="47"/>
        <v>45817</v>
      </c>
      <c r="Z180" s="69">
        <f t="shared" si="47"/>
        <v>45817</v>
      </c>
      <c r="AA180" s="1"/>
      <c r="AB180" s="1"/>
      <c r="AC180" s="1"/>
      <c r="AD180" s="1"/>
      <c r="AE180" s="1"/>
      <c r="AF180" s="1"/>
      <c r="AG180" s="1"/>
    </row>
    <row r="181" spans="1:33" ht="20">
      <c r="A181" s="1"/>
      <c r="B181" s="11"/>
      <c r="C181" s="50">
        <v>161</v>
      </c>
      <c r="D181" s="51">
        <v>1</v>
      </c>
      <c r="E181" s="52">
        <f t="shared" si="41"/>
        <v>6</v>
      </c>
      <c r="F181" s="53">
        <f t="shared" si="42"/>
        <v>45818</v>
      </c>
      <c r="G181" s="54" t="str">
        <f t="shared" si="43"/>
        <v>Tue</v>
      </c>
      <c r="H181" s="55"/>
      <c r="I181" s="56"/>
      <c r="J181" s="82"/>
      <c r="K181" s="83"/>
      <c r="L181" s="59">
        <f t="shared" si="48"/>
        <v>223776.22377622381</v>
      </c>
      <c r="M181" s="60">
        <f t="shared" si="38"/>
        <v>-223776.22377622381</v>
      </c>
      <c r="N181" s="61">
        <f t="shared" si="9"/>
        <v>0</v>
      </c>
      <c r="O181" s="80"/>
      <c r="P181" s="59">
        <f>IF(D181=0,0,SUM($L$172:L181))</f>
        <v>1790209.7902097905</v>
      </c>
      <c r="Q181" s="59">
        <f>IF(D181=0,0,SUM($J$172:J181))</f>
        <v>0</v>
      </c>
      <c r="R181" s="63">
        <f t="shared" si="39"/>
        <v>-1790209.7902097905</v>
      </c>
      <c r="S181" s="64">
        <f t="shared" si="44"/>
        <v>0</v>
      </c>
      <c r="T181" s="73"/>
      <c r="U181" s="59">
        <f>IF(D181=0,0,SUM($L$21:L181))</f>
        <v>33958041.958041988</v>
      </c>
      <c r="V181" s="59">
        <f>IF(D181=0,0,SUM($J$21:J181))</f>
        <v>31748860</v>
      </c>
      <c r="W181" s="66">
        <f t="shared" si="40"/>
        <v>-2209181.9580419883</v>
      </c>
      <c r="X181" s="67">
        <f t="shared" si="45"/>
        <v>0.93494377677100415</v>
      </c>
      <c r="Y181" s="68">
        <f t="shared" si="47"/>
        <v>45818</v>
      </c>
      <c r="Z181" s="69">
        <f t="shared" si="47"/>
        <v>45818</v>
      </c>
      <c r="AA181" s="1"/>
      <c r="AB181" s="1"/>
      <c r="AC181" s="1"/>
      <c r="AD181" s="1"/>
      <c r="AE181" s="1"/>
      <c r="AF181" s="1"/>
      <c r="AG181" s="1"/>
    </row>
    <row r="182" spans="1:33" ht="20">
      <c r="A182" s="1"/>
      <c r="B182" s="11"/>
      <c r="C182" s="50">
        <v>162</v>
      </c>
      <c r="D182" s="51">
        <v>1</v>
      </c>
      <c r="E182" s="52">
        <f t="shared" si="41"/>
        <v>6</v>
      </c>
      <c r="F182" s="53">
        <f t="shared" si="42"/>
        <v>45819</v>
      </c>
      <c r="G182" s="54" t="str">
        <f t="shared" si="43"/>
        <v>Wed</v>
      </c>
      <c r="H182" s="55"/>
      <c r="I182" s="56"/>
      <c r="J182" s="82"/>
      <c r="K182" s="83"/>
      <c r="L182" s="59">
        <f t="shared" si="48"/>
        <v>223776.22377622381</v>
      </c>
      <c r="M182" s="60">
        <f t="shared" si="38"/>
        <v>-223776.22377622381</v>
      </c>
      <c r="N182" s="61">
        <f t="shared" si="9"/>
        <v>0</v>
      </c>
      <c r="O182" s="80"/>
      <c r="P182" s="59">
        <f>IF(D182=0,0,SUM($L$172:L182))</f>
        <v>2013986.0139860143</v>
      </c>
      <c r="Q182" s="59">
        <f>IF(D182=0,0,SUM($J$172:J182))</f>
        <v>0</v>
      </c>
      <c r="R182" s="63">
        <f t="shared" si="39"/>
        <v>-2013986.0139860143</v>
      </c>
      <c r="S182" s="64">
        <f t="shared" si="44"/>
        <v>0</v>
      </c>
      <c r="T182" s="73"/>
      <c r="U182" s="59">
        <f>IF(D182=0,0,SUM($L$21:L182))</f>
        <v>34181818.18181821</v>
      </c>
      <c r="V182" s="59">
        <f>IF(D182=0,0,SUM($J$21:J182))</f>
        <v>31748860</v>
      </c>
      <c r="W182" s="66">
        <f t="shared" si="40"/>
        <v>-2432958.1818182096</v>
      </c>
      <c r="X182" s="67">
        <f t="shared" si="45"/>
        <v>0.9288230319148929</v>
      </c>
      <c r="Y182" s="68">
        <f t="shared" si="47"/>
        <v>45819</v>
      </c>
      <c r="Z182" s="69">
        <f t="shared" si="47"/>
        <v>45819</v>
      </c>
      <c r="AA182" s="1"/>
      <c r="AB182" s="1"/>
      <c r="AC182" s="1"/>
      <c r="AD182" s="1"/>
      <c r="AE182" s="1"/>
      <c r="AF182" s="1"/>
      <c r="AG182" s="1"/>
    </row>
    <row r="183" spans="1:33" ht="20">
      <c r="A183" s="1"/>
      <c r="B183" s="11"/>
      <c r="C183" s="50">
        <v>163</v>
      </c>
      <c r="D183" s="51">
        <v>1</v>
      </c>
      <c r="E183" s="52">
        <f t="shared" si="41"/>
        <v>6</v>
      </c>
      <c r="F183" s="53">
        <f t="shared" si="42"/>
        <v>45820</v>
      </c>
      <c r="G183" s="54" t="str">
        <f t="shared" si="43"/>
        <v>Thu</v>
      </c>
      <c r="H183" s="55"/>
      <c r="I183" s="56"/>
      <c r="J183" s="82"/>
      <c r="K183" s="83"/>
      <c r="L183" s="59">
        <f t="shared" si="48"/>
        <v>223776.22377622381</v>
      </c>
      <c r="M183" s="60">
        <f t="shared" si="38"/>
        <v>-223776.22377622381</v>
      </c>
      <c r="N183" s="61">
        <f t="shared" si="9"/>
        <v>0</v>
      </c>
      <c r="O183" s="80"/>
      <c r="P183" s="59">
        <f>IF(D183=0,0,SUM($L$172:L183))</f>
        <v>2237762.2377622379</v>
      </c>
      <c r="Q183" s="59">
        <f>IF(D183=0,0,SUM($J$172:J183))</f>
        <v>0</v>
      </c>
      <c r="R183" s="63">
        <f t="shared" si="39"/>
        <v>-2237762.2377622379</v>
      </c>
      <c r="S183" s="64">
        <f t="shared" si="44"/>
        <v>0</v>
      </c>
      <c r="T183" s="73"/>
      <c r="U183" s="59">
        <f>IF(D183=0,0,SUM($L$21:L183))</f>
        <v>34405594.405594431</v>
      </c>
      <c r="V183" s="59">
        <f>IF(D183=0,0,SUM($J$21:J183))</f>
        <v>31748860</v>
      </c>
      <c r="W183" s="66">
        <f t="shared" si="40"/>
        <v>-2656734.4055944309</v>
      </c>
      <c r="X183" s="67">
        <f t="shared" si="45"/>
        <v>0.92278190650406433</v>
      </c>
      <c r="Y183" s="68">
        <f t="shared" ref="Y183:Z198" si="49">Y182+1</f>
        <v>45820</v>
      </c>
      <c r="Z183" s="69">
        <f t="shared" si="49"/>
        <v>45820</v>
      </c>
      <c r="AA183" s="1"/>
      <c r="AB183" s="1"/>
      <c r="AC183" s="1"/>
      <c r="AD183" s="1"/>
      <c r="AE183" s="1"/>
      <c r="AF183" s="1"/>
      <c r="AG183" s="1"/>
    </row>
    <row r="184" spans="1:33" ht="20">
      <c r="A184" s="1"/>
      <c r="B184" s="11"/>
      <c r="C184" s="50">
        <v>164</v>
      </c>
      <c r="D184" s="51">
        <v>1</v>
      </c>
      <c r="E184" s="52">
        <f t="shared" si="41"/>
        <v>6</v>
      </c>
      <c r="F184" s="53">
        <f t="shared" si="42"/>
        <v>45821</v>
      </c>
      <c r="G184" s="54" t="str">
        <f t="shared" si="43"/>
        <v>Fri</v>
      </c>
      <c r="H184" s="55"/>
      <c r="I184" s="56"/>
      <c r="J184" s="82"/>
      <c r="K184" s="83"/>
      <c r="L184" s="59">
        <f t="shared" si="48"/>
        <v>223776.22377622381</v>
      </c>
      <c r="M184" s="60">
        <f t="shared" si="38"/>
        <v>-223776.22377622381</v>
      </c>
      <c r="N184" s="61">
        <f t="shared" si="9"/>
        <v>0</v>
      </c>
      <c r="O184" s="80"/>
      <c r="P184" s="59">
        <f>IF(D184=0,0,SUM($L$172:L184))</f>
        <v>2461538.4615384615</v>
      </c>
      <c r="Q184" s="59">
        <f>IF(D184=0,0,SUM($J$172:J184))</f>
        <v>0</v>
      </c>
      <c r="R184" s="63">
        <f t="shared" si="39"/>
        <v>-2461538.4615384615</v>
      </c>
      <c r="S184" s="64">
        <f t="shared" si="44"/>
        <v>0</v>
      </c>
      <c r="T184" s="73"/>
      <c r="U184" s="59">
        <f>IF(D184=0,0,SUM($L$21:L184))</f>
        <v>34629370.629370652</v>
      </c>
      <c r="V184" s="59">
        <f>IF(D184=0,0,SUM($J$21:J184))</f>
        <v>31748860</v>
      </c>
      <c r="W184" s="66">
        <f t="shared" si="40"/>
        <v>-2880510.6293706521</v>
      </c>
      <c r="X184" s="67">
        <f t="shared" si="45"/>
        <v>0.91681885702746302</v>
      </c>
      <c r="Y184" s="68">
        <f t="shared" si="49"/>
        <v>45821</v>
      </c>
      <c r="Z184" s="69">
        <f t="shared" si="49"/>
        <v>45821</v>
      </c>
      <c r="AA184" s="1"/>
      <c r="AB184" s="1"/>
      <c r="AC184" s="1"/>
      <c r="AD184" s="1"/>
      <c r="AE184" s="1"/>
      <c r="AF184" s="1"/>
      <c r="AG184" s="1"/>
    </row>
    <row r="185" spans="1:33" ht="20">
      <c r="A185" s="1"/>
      <c r="B185" s="11"/>
      <c r="C185" s="50">
        <v>165</v>
      </c>
      <c r="D185" s="51">
        <v>1</v>
      </c>
      <c r="E185" s="52">
        <f t="shared" si="41"/>
        <v>6</v>
      </c>
      <c r="F185" s="53">
        <f t="shared" si="42"/>
        <v>45822</v>
      </c>
      <c r="G185" s="54" t="str">
        <f t="shared" si="43"/>
        <v>Sat</v>
      </c>
      <c r="H185" s="55"/>
      <c r="I185" s="56"/>
      <c r="J185" s="82"/>
      <c r="K185" s="83"/>
      <c r="L185" s="59">
        <f t="shared" si="48"/>
        <v>223776.22377622381</v>
      </c>
      <c r="M185" s="60">
        <f t="shared" si="38"/>
        <v>-223776.22377622381</v>
      </c>
      <c r="N185" s="61">
        <f t="shared" si="9"/>
        <v>0</v>
      </c>
      <c r="O185" s="80"/>
      <c r="P185" s="59">
        <f>IF(D185=0,0,SUM($L$172:L185))</f>
        <v>2685314.6853146851</v>
      </c>
      <c r="Q185" s="59">
        <f>IF(D185=0,0,SUM($J$172:J185))</f>
        <v>0</v>
      </c>
      <c r="R185" s="63">
        <f t="shared" si="39"/>
        <v>-2685314.6853146851</v>
      </c>
      <c r="S185" s="64">
        <f t="shared" si="44"/>
        <v>0</v>
      </c>
      <c r="T185" s="73"/>
      <c r="U185" s="59">
        <f>IF(D185=0,0,SUM($L$21:L185))</f>
        <v>34853146.853146873</v>
      </c>
      <c r="V185" s="59">
        <f>IF(D185=0,0,SUM($J$21:J185))</f>
        <v>31748860</v>
      </c>
      <c r="W185" s="66">
        <f t="shared" si="40"/>
        <v>-3104286.8531468734</v>
      </c>
      <c r="X185" s="67">
        <f t="shared" si="45"/>
        <v>0.9109323796147667</v>
      </c>
      <c r="Y185" s="68">
        <f t="shared" si="49"/>
        <v>45822</v>
      </c>
      <c r="Z185" s="69">
        <f t="shared" si="49"/>
        <v>45822</v>
      </c>
      <c r="AA185" s="1"/>
      <c r="AB185" s="1"/>
      <c r="AC185" s="1"/>
      <c r="AD185" s="1"/>
      <c r="AE185" s="1"/>
      <c r="AF185" s="1"/>
      <c r="AG185" s="1"/>
    </row>
    <row r="186" spans="1:33" ht="20">
      <c r="A186" s="1"/>
      <c r="B186" s="11"/>
      <c r="C186" s="50">
        <v>166</v>
      </c>
      <c r="D186" s="51">
        <v>0</v>
      </c>
      <c r="E186" s="52">
        <f t="shared" si="41"/>
        <v>6</v>
      </c>
      <c r="F186" s="53">
        <f t="shared" si="42"/>
        <v>45823</v>
      </c>
      <c r="G186" s="54" t="str">
        <f t="shared" si="43"/>
        <v>Sun</v>
      </c>
      <c r="H186" s="55"/>
      <c r="I186" s="56"/>
      <c r="J186" s="82"/>
      <c r="K186" s="83"/>
      <c r="L186" s="59">
        <f t="shared" si="48"/>
        <v>0</v>
      </c>
      <c r="M186" s="60">
        <f t="shared" si="38"/>
        <v>0</v>
      </c>
      <c r="N186" s="61" t="str">
        <f t="shared" si="9"/>
        <v>¥0</v>
      </c>
      <c r="O186" s="81"/>
      <c r="P186" s="59">
        <f>IF(D186=0,0,SUM($L$172:L186))</f>
        <v>0</v>
      </c>
      <c r="Q186" s="59">
        <f>IF(D186=0,0,SUM($J$172:J186))</f>
        <v>0</v>
      </c>
      <c r="R186" s="63">
        <f t="shared" si="39"/>
        <v>0</v>
      </c>
      <c r="S186" s="64">
        <f t="shared" si="44"/>
        <v>0</v>
      </c>
      <c r="T186" s="78"/>
      <c r="U186" s="59">
        <f>IF(D186=0,0,SUM($L$21:L186))</f>
        <v>0</v>
      </c>
      <c r="V186" s="59">
        <f>IF(D186=0,0,SUM($J$21:J186))</f>
        <v>0</v>
      </c>
      <c r="W186" s="66">
        <f t="shared" si="40"/>
        <v>0</v>
      </c>
      <c r="X186" s="67">
        <f t="shared" si="45"/>
        <v>0</v>
      </c>
      <c r="Y186" s="68">
        <f t="shared" si="49"/>
        <v>45823</v>
      </c>
      <c r="Z186" s="69">
        <f t="shared" si="49"/>
        <v>45823</v>
      </c>
      <c r="AA186" s="1"/>
      <c r="AB186" s="1"/>
      <c r="AC186" s="1"/>
      <c r="AD186" s="1"/>
      <c r="AE186" s="1"/>
      <c r="AF186" s="1"/>
      <c r="AG186" s="1"/>
    </row>
    <row r="187" spans="1:33" ht="20">
      <c r="A187" s="1"/>
      <c r="B187" s="11"/>
      <c r="C187" s="50">
        <v>167</v>
      </c>
      <c r="D187" s="51">
        <v>1</v>
      </c>
      <c r="E187" s="52">
        <f t="shared" si="41"/>
        <v>6</v>
      </c>
      <c r="F187" s="53">
        <f t="shared" si="42"/>
        <v>45824</v>
      </c>
      <c r="G187" s="54" t="str">
        <f t="shared" si="43"/>
        <v>Mon</v>
      </c>
      <c r="H187" s="55"/>
      <c r="I187" s="56"/>
      <c r="J187" s="82"/>
      <c r="K187" s="83"/>
      <c r="L187" s="59">
        <f t="shared" si="48"/>
        <v>223776.22377622381</v>
      </c>
      <c r="M187" s="60">
        <f t="shared" si="38"/>
        <v>-223776.22377622381</v>
      </c>
      <c r="N187" s="61">
        <f t="shared" si="9"/>
        <v>0</v>
      </c>
      <c r="O187" s="80"/>
      <c r="P187" s="59">
        <f>IF(D187=0,0,SUM($L$172:L187))</f>
        <v>2909090.9090909087</v>
      </c>
      <c r="Q187" s="59">
        <f>IF(D187=0,0,SUM($J$172:J187))</f>
        <v>0</v>
      </c>
      <c r="R187" s="63">
        <f t="shared" si="39"/>
        <v>-2909090.9090909087</v>
      </c>
      <c r="S187" s="64">
        <f t="shared" si="44"/>
        <v>0</v>
      </c>
      <c r="T187" s="73"/>
      <c r="U187" s="59">
        <f>IF(D187=0,0,SUM($L$21:L187))</f>
        <v>35076923.076923095</v>
      </c>
      <c r="V187" s="59">
        <f>IF(D187=0,0,SUM($J$21:J187))</f>
        <v>31748860</v>
      </c>
      <c r="W187" s="66">
        <f t="shared" si="40"/>
        <v>-3328063.0769230947</v>
      </c>
      <c r="X187" s="67">
        <f t="shared" si="45"/>
        <v>0.90512100877192936</v>
      </c>
      <c r="Y187" s="68">
        <f t="shared" si="49"/>
        <v>45824</v>
      </c>
      <c r="Z187" s="69">
        <f t="shared" si="49"/>
        <v>45824</v>
      </c>
      <c r="AA187" s="1"/>
      <c r="AB187" s="1"/>
      <c r="AC187" s="1"/>
      <c r="AD187" s="1"/>
      <c r="AE187" s="1"/>
      <c r="AF187" s="1"/>
      <c r="AG187" s="1"/>
    </row>
    <row r="188" spans="1:33" ht="20">
      <c r="A188" s="1"/>
      <c r="B188" s="11"/>
      <c r="C188" s="50">
        <v>168</v>
      </c>
      <c r="D188" s="51">
        <v>1</v>
      </c>
      <c r="E188" s="52">
        <f t="shared" si="41"/>
        <v>6</v>
      </c>
      <c r="F188" s="53">
        <f t="shared" si="42"/>
        <v>45825</v>
      </c>
      <c r="G188" s="54" t="str">
        <f t="shared" si="43"/>
        <v>Tue</v>
      </c>
      <c r="H188" s="55"/>
      <c r="I188" s="56"/>
      <c r="J188" s="82"/>
      <c r="K188" s="83"/>
      <c r="L188" s="59">
        <f t="shared" si="48"/>
        <v>223776.22377622381</v>
      </c>
      <c r="M188" s="60">
        <f t="shared" si="38"/>
        <v>-223776.22377622381</v>
      </c>
      <c r="N188" s="61">
        <f t="shared" si="9"/>
        <v>0</v>
      </c>
      <c r="O188" s="80"/>
      <c r="P188" s="59">
        <f>IF(D188=0,0,SUM($L$172:L188))</f>
        <v>3132867.1328671323</v>
      </c>
      <c r="Q188" s="59">
        <f>IF(D188=0,0,SUM($J$172:J188))</f>
        <v>0</v>
      </c>
      <c r="R188" s="63">
        <f t="shared" si="39"/>
        <v>-3132867.1328671323</v>
      </c>
      <c r="S188" s="64">
        <f t="shared" si="44"/>
        <v>0</v>
      </c>
      <c r="T188" s="73"/>
      <c r="U188" s="59">
        <f>IF(D188=0,0,SUM($L$21:L188))</f>
        <v>35300699.300699316</v>
      </c>
      <c r="V188" s="59">
        <f>IF(D188=0,0,SUM($J$21:J188))</f>
        <v>31748860</v>
      </c>
      <c r="W188" s="66">
        <f t="shared" si="40"/>
        <v>-3551839.300699316</v>
      </c>
      <c r="X188" s="67">
        <f t="shared" si="45"/>
        <v>0.89938331616481737</v>
      </c>
      <c r="Y188" s="68">
        <f t="shared" si="49"/>
        <v>45825</v>
      </c>
      <c r="Z188" s="69">
        <f t="shared" si="49"/>
        <v>45825</v>
      </c>
      <c r="AA188" s="1"/>
      <c r="AB188" s="1"/>
      <c r="AC188" s="1"/>
      <c r="AD188" s="1"/>
      <c r="AE188" s="1"/>
      <c r="AF188" s="1"/>
      <c r="AG188" s="1"/>
    </row>
    <row r="189" spans="1:33" ht="20">
      <c r="A189" s="1"/>
      <c r="B189" s="11"/>
      <c r="C189" s="50">
        <v>169</v>
      </c>
      <c r="D189" s="51">
        <v>1</v>
      </c>
      <c r="E189" s="52">
        <f t="shared" si="41"/>
        <v>6</v>
      </c>
      <c r="F189" s="53">
        <f t="shared" si="42"/>
        <v>45826</v>
      </c>
      <c r="G189" s="54" t="str">
        <f t="shared" si="43"/>
        <v>Wed</v>
      </c>
      <c r="H189" s="55"/>
      <c r="I189" s="56"/>
      <c r="J189" s="82"/>
      <c r="K189" s="83"/>
      <c r="L189" s="59">
        <f t="shared" si="48"/>
        <v>223776.22377622381</v>
      </c>
      <c r="M189" s="60">
        <f t="shared" si="38"/>
        <v>-223776.22377622381</v>
      </c>
      <c r="N189" s="61">
        <f t="shared" si="9"/>
        <v>0</v>
      </c>
      <c r="O189" s="80"/>
      <c r="P189" s="59">
        <f>IF(D189=0,0,SUM($L$172:L189))</f>
        <v>3356643.3566433559</v>
      </c>
      <c r="Q189" s="59">
        <f>IF(D189=0,0,SUM($J$172:J189))</f>
        <v>0</v>
      </c>
      <c r="R189" s="63">
        <f t="shared" si="39"/>
        <v>-3356643.3566433559</v>
      </c>
      <c r="S189" s="64">
        <f t="shared" si="44"/>
        <v>0</v>
      </c>
      <c r="T189" s="73"/>
      <c r="U189" s="59">
        <f>IF(D189=0,0,SUM($L$21:L189))</f>
        <v>35524475.524475537</v>
      </c>
      <c r="V189" s="59">
        <f>IF(D189=0,0,SUM($J$21:J189))</f>
        <v>31748860</v>
      </c>
      <c r="W189" s="66">
        <f t="shared" si="40"/>
        <v>-3775615.5244755372</v>
      </c>
      <c r="X189" s="67">
        <f t="shared" si="45"/>
        <v>0.89371790944881857</v>
      </c>
      <c r="Y189" s="68">
        <f t="shared" si="49"/>
        <v>45826</v>
      </c>
      <c r="Z189" s="69">
        <f t="shared" si="49"/>
        <v>45826</v>
      </c>
      <c r="AA189" s="1"/>
      <c r="AB189" s="1"/>
      <c r="AC189" s="1"/>
      <c r="AD189" s="1"/>
      <c r="AE189" s="1"/>
      <c r="AF189" s="1"/>
      <c r="AG189" s="1"/>
    </row>
    <row r="190" spans="1:33" ht="20">
      <c r="A190" s="1"/>
      <c r="B190" s="11"/>
      <c r="C190" s="50">
        <v>170</v>
      </c>
      <c r="D190" s="51">
        <v>1</v>
      </c>
      <c r="E190" s="52">
        <f t="shared" si="41"/>
        <v>6</v>
      </c>
      <c r="F190" s="53">
        <f t="shared" si="42"/>
        <v>45827</v>
      </c>
      <c r="G190" s="54" t="str">
        <f t="shared" si="43"/>
        <v>Thu</v>
      </c>
      <c r="H190" s="55"/>
      <c r="I190" s="56"/>
      <c r="J190" s="82"/>
      <c r="K190" s="83"/>
      <c r="L190" s="59">
        <f t="shared" si="48"/>
        <v>223776.22377622381</v>
      </c>
      <c r="M190" s="60">
        <f t="shared" si="38"/>
        <v>-223776.22377622381</v>
      </c>
      <c r="N190" s="61">
        <f t="shared" si="9"/>
        <v>0</v>
      </c>
      <c r="O190" s="80"/>
      <c r="P190" s="59">
        <f>IF(D190=0,0,SUM($L$172:L190))</f>
        <v>3580419.5804195795</v>
      </c>
      <c r="Q190" s="59">
        <f>IF(D190=0,0,SUM($J$172:J190))</f>
        <v>0</v>
      </c>
      <c r="R190" s="63">
        <f t="shared" si="39"/>
        <v>-3580419.5804195795</v>
      </c>
      <c r="S190" s="64">
        <f t="shared" si="44"/>
        <v>0</v>
      </c>
      <c r="T190" s="73"/>
      <c r="U190" s="59">
        <f>IF(D190=0,0,SUM($L$21:L190))</f>
        <v>35748251.748251759</v>
      </c>
      <c r="V190" s="59">
        <f>IF(D190=0,0,SUM($J$21:J190))</f>
        <v>31748860</v>
      </c>
      <c r="W190" s="66">
        <f t="shared" si="40"/>
        <v>-3999391.7482517585</v>
      </c>
      <c r="X190" s="67">
        <f t="shared" si="45"/>
        <v>0.88812343114240977</v>
      </c>
      <c r="Y190" s="68">
        <f t="shared" si="49"/>
        <v>45827</v>
      </c>
      <c r="Z190" s="69">
        <f t="shared" si="49"/>
        <v>45827</v>
      </c>
      <c r="AA190" s="1"/>
      <c r="AB190" s="1"/>
      <c r="AC190" s="1"/>
      <c r="AD190" s="1"/>
      <c r="AE190" s="1"/>
      <c r="AF190" s="1"/>
      <c r="AG190" s="1"/>
    </row>
    <row r="191" spans="1:33" ht="20">
      <c r="A191" s="1"/>
      <c r="B191" s="11"/>
      <c r="C191" s="50">
        <v>171</v>
      </c>
      <c r="D191" s="51">
        <v>1</v>
      </c>
      <c r="E191" s="52">
        <f t="shared" si="41"/>
        <v>6</v>
      </c>
      <c r="F191" s="53">
        <f t="shared" si="42"/>
        <v>45828</v>
      </c>
      <c r="G191" s="54" t="str">
        <f t="shared" si="43"/>
        <v>Fri</v>
      </c>
      <c r="H191" s="55"/>
      <c r="I191" s="56"/>
      <c r="J191" s="82"/>
      <c r="K191" s="83"/>
      <c r="L191" s="59">
        <f t="shared" si="48"/>
        <v>223776.22377622381</v>
      </c>
      <c r="M191" s="60">
        <f t="shared" si="38"/>
        <v>-223776.22377622381</v>
      </c>
      <c r="N191" s="61">
        <f t="shared" si="9"/>
        <v>0</v>
      </c>
      <c r="O191" s="80"/>
      <c r="P191" s="59">
        <f>IF(D191=0,0,SUM($L$172:L191))</f>
        <v>3804195.8041958031</v>
      </c>
      <c r="Q191" s="59">
        <f>IF(D191=0,0,SUM($J$172:J191))</f>
        <v>0</v>
      </c>
      <c r="R191" s="63">
        <f t="shared" si="39"/>
        <v>-3804195.8041958031</v>
      </c>
      <c r="S191" s="64">
        <f t="shared" si="44"/>
        <v>0</v>
      </c>
      <c r="T191" s="73"/>
      <c r="U191" s="59">
        <f>IF(D191=0,0,SUM($L$21:L191))</f>
        <v>35972027.97202798</v>
      </c>
      <c r="V191" s="59">
        <f>IF(D191=0,0,SUM($J$21:J191))</f>
        <v>31748860</v>
      </c>
      <c r="W191" s="66">
        <f t="shared" si="40"/>
        <v>-4223167.9720279798</v>
      </c>
      <c r="X191" s="67">
        <f t="shared" si="45"/>
        <v>0.88259855754276806</v>
      </c>
      <c r="Y191" s="68">
        <f t="shared" si="49"/>
        <v>45828</v>
      </c>
      <c r="Z191" s="69">
        <f t="shared" si="49"/>
        <v>45828</v>
      </c>
      <c r="AA191" s="1"/>
      <c r="AB191" s="1"/>
      <c r="AC191" s="1"/>
      <c r="AD191" s="1"/>
      <c r="AE191" s="1"/>
      <c r="AF191" s="1"/>
      <c r="AG191" s="1"/>
    </row>
    <row r="192" spans="1:33" ht="20">
      <c r="A192" s="1"/>
      <c r="B192" s="11"/>
      <c r="C192" s="50">
        <v>172</v>
      </c>
      <c r="D192" s="51">
        <v>1</v>
      </c>
      <c r="E192" s="52">
        <f t="shared" si="41"/>
        <v>6</v>
      </c>
      <c r="F192" s="53">
        <f t="shared" si="42"/>
        <v>45829</v>
      </c>
      <c r="G192" s="54" t="str">
        <f t="shared" si="43"/>
        <v>Sat</v>
      </c>
      <c r="H192" s="55"/>
      <c r="I192" s="56"/>
      <c r="J192" s="82"/>
      <c r="K192" s="83"/>
      <c r="L192" s="59">
        <f t="shared" si="48"/>
        <v>223776.22377622381</v>
      </c>
      <c r="M192" s="60">
        <f t="shared" si="38"/>
        <v>-223776.22377622381</v>
      </c>
      <c r="N192" s="61">
        <f t="shared" si="9"/>
        <v>0</v>
      </c>
      <c r="O192" s="80"/>
      <c r="P192" s="59">
        <f>IF(D192=0,0,SUM($L$172:L192))</f>
        <v>4027972.0279720267</v>
      </c>
      <c r="Q192" s="59">
        <f>IF(D192=0,0,SUM($J$172:J192))</f>
        <v>0</v>
      </c>
      <c r="R192" s="63">
        <f t="shared" si="39"/>
        <v>-4027972.0279720267</v>
      </c>
      <c r="S192" s="64">
        <f t="shared" si="44"/>
        <v>0</v>
      </c>
      <c r="T192" s="73"/>
      <c r="U192" s="59">
        <f>IF(D192=0,0,SUM($L$21:L192))</f>
        <v>36195804.195804201</v>
      </c>
      <c r="V192" s="59">
        <f>IF(D192=0,0,SUM($J$21:J192))</f>
        <v>31748860</v>
      </c>
      <c r="W192" s="66">
        <f t="shared" si="40"/>
        <v>-4446944.1958042011</v>
      </c>
      <c r="X192" s="67">
        <f t="shared" si="45"/>
        <v>0.87714199768160728</v>
      </c>
      <c r="Y192" s="68">
        <f t="shared" si="49"/>
        <v>45829</v>
      </c>
      <c r="Z192" s="69">
        <f t="shared" si="49"/>
        <v>45829</v>
      </c>
      <c r="AA192" s="1"/>
      <c r="AB192" s="1"/>
      <c r="AC192" s="1"/>
      <c r="AD192" s="1"/>
      <c r="AE192" s="1"/>
      <c r="AF192" s="1"/>
      <c r="AG192" s="1"/>
    </row>
    <row r="193" spans="1:33" ht="20">
      <c r="A193" s="1"/>
      <c r="B193" s="11"/>
      <c r="C193" s="50">
        <v>173</v>
      </c>
      <c r="D193" s="51">
        <v>0</v>
      </c>
      <c r="E193" s="52">
        <f t="shared" si="41"/>
        <v>6</v>
      </c>
      <c r="F193" s="53">
        <f t="shared" si="42"/>
        <v>45830</v>
      </c>
      <c r="G193" s="54" t="str">
        <f t="shared" si="43"/>
        <v>Sun</v>
      </c>
      <c r="H193" s="55"/>
      <c r="I193" s="56"/>
      <c r="J193" s="82"/>
      <c r="K193" s="83"/>
      <c r="L193" s="59">
        <f t="shared" si="48"/>
        <v>0</v>
      </c>
      <c r="M193" s="60">
        <f t="shared" si="38"/>
        <v>0</v>
      </c>
      <c r="N193" s="61" t="str">
        <f t="shared" si="9"/>
        <v>¥0</v>
      </c>
      <c r="O193" s="81"/>
      <c r="P193" s="59">
        <f>IF(D193=0,0,SUM($L$172:L193))</f>
        <v>0</v>
      </c>
      <c r="Q193" s="59">
        <f>IF(D193=0,0,SUM($J$172:J193))</f>
        <v>0</v>
      </c>
      <c r="R193" s="63">
        <f t="shared" si="39"/>
        <v>0</v>
      </c>
      <c r="S193" s="64">
        <f t="shared" si="44"/>
        <v>0</v>
      </c>
      <c r="T193" s="78"/>
      <c r="U193" s="59">
        <f>IF(D193=0,0,SUM($L$21:L193))</f>
        <v>0</v>
      </c>
      <c r="V193" s="59">
        <f>IF(D193=0,0,SUM($J$21:J193))</f>
        <v>0</v>
      </c>
      <c r="W193" s="66">
        <f t="shared" si="40"/>
        <v>0</v>
      </c>
      <c r="X193" s="67">
        <f t="shared" si="45"/>
        <v>0</v>
      </c>
      <c r="Y193" s="68">
        <f t="shared" si="49"/>
        <v>45830</v>
      </c>
      <c r="Z193" s="69">
        <f t="shared" si="49"/>
        <v>45830</v>
      </c>
      <c r="AA193" s="1"/>
      <c r="AB193" s="1"/>
      <c r="AC193" s="1"/>
      <c r="AD193" s="1"/>
      <c r="AE193" s="1"/>
      <c r="AF193" s="1"/>
      <c r="AG193" s="1"/>
    </row>
    <row r="194" spans="1:33" ht="20">
      <c r="A194" s="1"/>
      <c r="B194" s="11"/>
      <c r="C194" s="50">
        <v>174</v>
      </c>
      <c r="D194" s="51">
        <v>1</v>
      </c>
      <c r="E194" s="52">
        <f t="shared" si="41"/>
        <v>6</v>
      </c>
      <c r="F194" s="53">
        <f t="shared" si="42"/>
        <v>45831</v>
      </c>
      <c r="G194" s="54" t="str">
        <f t="shared" si="43"/>
        <v>Mon</v>
      </c>
      <c r="H194" s="55"/>
      <c r="I194" s="56"/>
      <c r="J194" s="82"/>
      <c r="K194" s="83"/>
      <c r="L194" s="59">
        <f t="shared" si="48"/>
        <v>223776.22377622381</v>
      </c>
      <c r="M194" s="60">
        <f t="shared" si="38"/>
        <v>-223776.22377622381</v>
      </c>
      <c r="N194" s="61">
        <f t="shared" si="9"/>
        <v>0</v>
      </c>
      <c r="O194" s="80"/>
      <c r="P194" s="59">
        <f>IF(D194=0,0,SUM($L$172:L194))</f>
        <v>4251748.2517482508</v>
      </c>
      <c r="Q194" s="59">
        <f>IF(D194=0,0,SUM($J$172:J194))</f>
        <v>0</v>
      </c>
      <c r="R194" s="63">
        <f t="shared" si="39"/>
        <v>-4251748.2517482508</v>
      </c>
      <c r="S194" s="64">
        <f t="shared" si="44"/>
        <v>0</v>
      </c>
      <c r="T194" s="73"/>
      <c r="U194" s="59">
        <f>IF(D194=0,0,SUM($L$21:L194))</f>
        <v>36419580.419580422</v>
      </c>
      <c r="V194" s="59">
        <f>IF(D194=0,0,SUM($J$21:J194))</f>
        <v>31748860</v>
      </c>
      <c r="W194" s="66">
        <f t="shared" si="40"/>
        <v>-4670720.4195804223</v>
      </c>
      <c r="X194" s="67">
        <f t="shared" si="45"/>
        <v>0.87175249231950835</v>
      </c>
      <c r="Y194" s="68">
        <f t="shared" si="49"/>
        <v>45831</v>
      </c>
      <c r="Z194" s="69">
        <f t="shared" si="49"/>
        <v>45831</v>
      </c>
      <c r="AA194" s="1"/>
      <c r="AB194" s="1"/>
      <c r="AC194" s="1"/>
      <c r="AD194" s="1"/>
      <c r="AE194" s="1"/>
      <c r="AF194" s="1"/>
      <c r="AG194" s="1"/>
    </row>
    <row r="195" spans="1:33" ht="20">
      <c r="A195" s="1"/>
      <c r="B195" s="11"/>
      <c r="C195" s="50">
        <v>175</v>
      </c>
      <c r="D195" s="51">
        <v>1</v>
      </c>
      <c r="E195" s="52">
        <f t="shared" si="41"/>
        <v>6</v>
      </c>
      <c r="F195" s="53">
        <f t="shared" si="42"/>
        <v>45832</v>
      </c>
      <c r="G195" s="54" t="str">
        <f t="shared" si="43"/>
        <v>Tue</v>
      </c>
      <c r="H195" s="55"/>
      <c r="I195" s="56"/>
      <c r="J195" s="82"/>
      <c r="K195" s="83"/>
      <c r="L195" s="59">
        <f t="shared" si="48"/>
        <v>223776.22377622381</v>
      </c>
      <c r="M195" s="60">
        <f t="shared" si="38"/>
        <v>-223776.22377622381</v>
      </c>
      <c r="N195" s="61">
        <f t="shared" si="9"/>
        <v>0</v>
      </c>
      <c r="O195" s="80"/>
      <c r="P195" s="59">
        <f>IF(D195=0,0,SUM($L$172:L195))</f>
        <v>4475524.4755244749</v>
      </c>
      <c r="Q195" s="59">
        <f>IF(D195=0,0,SUM($J$172:J195))</f>
        <v>0</v>
      </c>
      <c r="R195" s="63">
        <f t="shared" si="39"/>
        <v>-4475524.4755244749</v>
      </c>
      <c r="S195" s="64">
        <f t="shared" si="44"/>
        <v>0</v>
      </c>
      <c r="T195" s="73"/>
      <c r="U195" s="59">
        <f>IF(D195=0,0,SUM($L$21:L195))</f>
        <v>36643356.643356644</v>
      </c>
      <c r="V195" s="59">
        <f>IF(D195=0,0,SUM($J$21:J195))</f>
        <v>31748860</v>
      </c>
      <c r="W195" s="66">
        <f t="shared" si="40"/>
        <v>-4894496.6433566436</v>
      </c>
      <c r="X195" s="67">
        <f t="shared" si="45"/>
        <v>0.86642881297709928</v>
      </c>
      <c r="Y195" s="68">
        <f t="shared" si="49"/>
        <v>45832</v>
      </c>
      <c r="Z195" s="69">
        <f t="shared" si="49"/>
        <v>45832</v>
      </c>
      <c r="AA195" s="1"/>
      <c r="AB195" s="1"/>
      <c r="AC195" s="1"/>
      <c r="AD195" s="1"/>
      <c r="AE195" s="1"/>
      <c r="AF195" s="1"/>
      <c r="AG195" s="1"/>
    </row>
    <row r="196" spans="1:33" ht="20">
      <c r="A196" s="1"/>
      <c r="B196" s="11"/>
      <c r="C196" s="50">
        <v>176</v>
      </c>
      <c r="D196" s="51">
        <v>1</v>
      </c>
      <c r="E196" s="52">
        <f t="shared" si="41"/>
        <v>6</v>
      </c>
      <c r="F196" s="53">
        <f t="shared" si="42"/>
        <v>45833</v>
      </c>
      <c r="G196" s="54" t="str">
        <f t="shared" si="43"/>
        <v>Wed</v>
      </c>
      <c r="H196" s="55"/>
      <c r="I196" s="56"/>
      <c r="J196" s="82"/>
      <c r="K196" s="83"/>
      <c r="L196" s="59">
        <f t="shared" si="48"/>
        <v>223776.22377622381</v>
      </c>
      <c r="M196" s="60">
        <f t="shared" si="38"/>
        <v>-223776.22377622381</v>
      </c>
      <c r="N196" s="61">
        <f t="shared" si="9"/>
        <v>0</v>
      </c>
      <c r="O196" s="80"/>
      <c r="P196" s="59">
        <f>IF(D196=0,0,SUM($L$172:L196))</f>
        <v>4699300.6993006989</v>
      </c>
      <c r="Q196" s="59">
        <f>IF(D196=0,0,SUM($J$172:J196))</f>
        <v>0</v>
      </c>
      <c r="R196" s="63">
        <f t="shared" si="39"/>
        <v>-4699300.6993006989</v>
      </c>
      <c r="S196" s="64">
        <f t="shared" si="44"/>
        <v>0</v>
      </c>
      <c r="T196" s="73"/>
      <c r="U196" s="59">
        <f>IF(D196=0,0,SUM($L$21:L196))</f>
        <v>36867132.867132865</v>
      </c>
      <c r="V196" s="59">
        <f>IF(D196=0,0,SUM($J$21:J196))</f>
        <v>31748860</v>
      </c>
      <c r="W196" s="66">
        <f t="shared" si="40"/>
        <v>-5118272.8671328649</v>
      </c>
      <c r="X196" s="67">
        <f t="shared" si="45"/>
        <v>0.86116976100151754</v>
      </c>
      <c r="Y196" s="68">
        <f t="shared" si="49"/>
        <v>45833</v>
      </c>
      <c r="Z196" s="69">
        <f t="shared" si="49"/>
        <v>45833</v>
      </c>
      <c r="AA196" s="1"/>
      <c r="AB196" s="1"/>
      <c r="AC196" s="1"/>
      <c r="AD196" s="1"/>
      <c r="AE196" s="1"/>
      <c r="AF196" s="1"/>
      <c r="AG196" s="1"/>
    </row>
    <row r="197" spans="1:33" ht="20">
      <c r="A197" s="1"/>
      <c r="B197" s="11"/>
      <c r="C197" s="50">
        <v>177</v>
      </c>
      <c r="D197" s="51">
        <v>1</v>
      </c>
      <c r="E197" s="52">
        <f t="shared" si="41"/>
        <v>6</v>
      </c>
      <c r="F197" s="53">
        <f t="shared" si="42"/>
        <v>45834</v>
      </c>
      <c r="G197" s="54" t="str">
        <f t="shared" si="43"/>
        <v>Thu</v>
      </c>
      <c r="H197" s="55"/>
      <c r="I197" s="56"/>
      <c r="J197" s="82"/>
      <c r="K197" s="83"/>
      <c r="L197" s="59">
        <f t="shared" si="48"/>
        <v>223776.22377622381</v>
      </c>
      <c r="M197" s="60">
        <f t="shared" si="38"/>
        <v>-223776.22377622381</v>
      </c>
      <c r="N197" s="61">
        <f t="shared" si="9"/>
        <v>0</v>
      </c>
      <c r="O197" s="80"/>
      <c r="P197" s="59">
        <f>IF(D197=0,0,SUM($L$172:L197))</f>
        <v>4923076.923076923</v>
      </c>
      <c r="Q197" s="59">
        <f>IF(D197=0,0,SUM($J$172:J197))</f>
        <v>0</v>
      </c>
      <c r="R197" s="63">
        <f t="shared" si="39"/>
        <v>-4923076.923076923</v>
      </c>
      <c r="S197" s="64">
        <f t="shared" si="44"/>
        <v>0</v>
      </c>
      <c r="T197" s="73"/>
      <c r="U197" s="59">
        <f>IF(D197=0,0,SUM($L$21:L197))</f>
        <v>37090909.090909086</v>
      </c>
      <c r="V197" s="59">
        <f>IF(D197=0,0,SUM($J$21:J197))</f>
        <v>31748860</v>
      </c>
      <c r="W197" s="66">
        <f t="shared" si="40"/>
        <v>-5342049.0909090862</v>
      </c>
      <c r="X197" s="67">
        <f t="shared" si="45"/>
        <v>0.85597416666666681</v>
      </c>
      <c r="Y197" s="68">
        <f t="shared" si="49"/>
        <v>45834</v>
      </c>
      <c r="Z197" s="69">
        <f t="shared" si="49"/>
        <v>45834</v>
      </c>
      <c r="AA197" s="1"/>
      <c r="AB197" s="1"/>
      <c r="AC197" s="1"/>
      <c r="AD197" s="1"/>
      <c r="AE197" s="1"/>
      <c r="AF197" s="1"/>
      <c r="AG197" s="1"/>
    </row>
    <row r="198" spans="1:33" ht="20">
      <c r="A198" s="1"/>
      <c r="B198" s="11"/>
      <c r="C198" s="50">
        <v>178</v>
      </c>
      <c r="D198" s="51">
        <v>1</v>
      </c>
      <c r="E198" s="52">
        <f t="shared" si="41"/>
        <v>6</v>
      </c>
      <c r="F198" s="53">
        <f t="shared" si="42"/>
        <v>45835</v>
      </c>
      <c r="G198" s="54" t="str">
        <f t="shared" si="43"/>
        <v>Fri</v>
      </c>
      <c r="H198" s="55"/>
      <c r="I198" s="56"/>
      <c r="J198" s="82"/>
      <c r="K198" s="83"/>
      <c r="L198" s="59">
        <f t="shared" si="48"/>
        <v>223776.22377622381</v>
      </c>
      <c r="M198" s="60">
        <f t="shared" si="38"/>
        <v>-223776.22377622381</v>
      </c>
      <c r="N198" s="61">
        <f t="shared" si="9"/>
        <v>0</v>
      </c>
      <c r="O198" s="80"/>
      <c r="P198" s="59">
        <f>IF(D198=0,0,SUM($L$172:L198))</f>
        <v>5146853.1468531471</v>
      </c>
      <c r="Q198" s="59">
        <f>IF(D198=0,0,SUM($J$172:J198))</f>
        <v>0</v>
      </c>
      <c r="R198" s="63">
        <f t="shared" si="39"/>
        <v>-5146853.1468531471</v>
      </c>
      <c r="S198" s="64">
        <f t="shared" si="44"/>
        <v>0</v>
      </c>
      <c r="T198" s="73"/>
      <c r="U198" s="59">
        <f>IF(D198=0,0,SUM($L$21:L198))</f>
        <v>37314685.314685307</v>
      </c>
      <c r="V198" s="59">
        <f>IF(D198=0,0,SUM($J$21:J198))</f>
        <v>31748860</v>
      </c>
      <c r="W198" s="66">
        <f t="shared" si="40"/>
        <v>-5565825.3146853074</v>
      </c>
      <c r="X198" s="67">
        <f t="shared" si="45"/>
        <v>0.85084088830584725</v>
      </c>
      <c r="Y198" s="68">
        <f t="shared" si="49"/>
        <v>45835</v>
      </c>
      <c r="Z198" s="69">
        <f t="shared" si="49"/>
        <v>45835</v>
      </c>
      <c r="AA198" s="1"/>
      <c r="AB198" s="1"/>
      <c r="AC198" s="1"/>
      <c r="AD198" s="1"/>
      <c r="AE198" s="1"/>
      <c r="AF198" s="1"/>
      <c r="AG198" s="1"/>
    </row>
    <row r="199" spans="1:33" ht="20">
      <c r="A199" s="1"/>
      <c r="B199" s="11"/>
      <c r="C199" s="50">
        <v>179</v>
      </c>
      <c r="D199" s="51">
        <v>1</v>
      </c>
      <c r="E199" s="52">
        <f t="shared" si="41"/>
        <v>6</v>
      </c>
      <c r="F199" s="53">
        <f t="shared" si="42"/>
        <v>45836</v>
      </c>
      <c r="G199" s="54" t="str">
        <f t="shared" si="43"/>
        <v>Sat</v>
      </c>
      <c r="H199" s="55"/>
      <c r="I199" s="56"/>
      <c r="J199" s="82"/>
      <c r="K199" s="83"/>
      <c r="L199" s="59">
        <f t="shared" si="48"/>
        <v>223776.22377622381</v>
      </c>
      <c r="M199" s="60">
        <f t="shared" si="38"/>
        <v>-223776.22377622381</v>
      </c>
      <c r="N199" s="61">
        <f t="shared" si="9"/>
        <v>0</v>
      </c>
      <c r="O199" s="80"/>
      <c r="P199" s="59">
        <f>IF(D199=0,0,SUM($L$172:L199))</f>
        <v>5370629.3706293711</v>
      </c>
      <c r="Q199" s="59">
        <f>IF(D199=0,0,SUM($J$172:J199))</f>
        <v>0</v>
      </c>
      <c r="R199" s="63">
        <f t="shared" si="39"/>
        <v>-5370629.3706293711</v>
      </c>
      <c r="S199" s="64">
        <f t="shared" si="44"/>
        <v>0</v>
      </c>
      <c r="T199" s="73"/>
      <c r="U199" s="59">
        <f>IF(D199=0,0,SUM($L$21:L199))</f>
        <v>37538461.538461529</v>
      </c>
      <c r="V199" s="59">
        <f>IF(D199=0,0,SUM($J$21:J199))</f>
        <v>31748860</v>
      </c>
      <c r="W199" s="66">
        <f t="shared" si="40"/>
        <v>-5789601.5384615287</v>
      </c>
      <c r="X199" s="67">
        <f t="shared" si="45"/>
        <v>0.84576881147541005</v>
      </c>
      <c r="Y199" s="68">
        <f t="shared" ref="Y199:Z214" si="50">Y198+1</f>
        <v>45836</v>
      </c>
      <c r="Z199" s="69">
        <f t="shared" si="50"/>
        <v>45836</v>
      </c>
      <c r="AA199" s="1"/>
      <c r="AB199" s="1"/>
      <c r="AC199" s="1"/>
      <c r="AD199" s="1"/>
      <c r="AE199" s="1"/>
      <c r="AF199" s="1"/>
      <c r="AG199" s="1"/>
    </row>
    <row r="200" spans="1:33" ht="20">
      <c r="A200" s="1"/>
      <c r="B200" s="11"/>
      <c r="C200" s="50">
        <v>180</v>
      </c>
      <c r="D200" s="51">
        <v>0</v>
      </c>
      <c r="E200" s="52">
        <f t="shared" si="41"/>
        <v>6</v>
      </c>
      <c r="F200" s="53">
        <f t="shared" si="42"/>
        <v>45837</v>
      </c>
      <c r="G200" s="54" t="str">
        <f t="shared" si="43"/>
        <v>Sun</v>
      </c>
      <c r="H200" s="55"/>
      <c r="I200" s="56"/>
      <c r="J200" s="82"/>
      <c r="K200" s="83"/>
      <c r="L200" s="59">
        <f t="shared" si="48"/>
        <v>0</v>
      </c>
      <c r="M200" s="60">
        <f t="shared" si="38"/>
        <v>0</v>
      </c>
      <c r="N200" s="61" t="str">
        <f t="shared" si="9"/>
        <v>¥0</v>
      </c>
      <c r="O200" s="81"/>
      <c r="P200" s="59">
        <f>IF(D200=0,0,SUM($L$172:L200))</f>
        <v>0</v>
      </c>
      <c r="Q200" s="59">
        <f>IF(D200=0,0,SUM($J$172:J200))</f>
        <v>0</v>
      </c>
      <c r="R200" s="63">
        <f t="shared" si="39"/>
        <v>0</v>
      </c>
      <c r="S200" s="64">
        <f t="shared" si="44"/>
        <v>0</v>
      </c>
      <c r="T200" s="78"/>
      <c r="U200" s="59">
        <f>IF(D200=0,0,SUM($L$21:L200))</f>
        <v>0</v>
      </c>
      <c r="V200" s="59">
        <f>IF(D200=0,0,SUM($J$21:J200))</f>
        <v>0</v>
      </c>
      <c r="W200" s="66">
        <f t="shared" si="40"/>
        <v>0</v>
      </c>
      <c r="X200" s="67">
        <f t="shared" si="45"/>
        <v>0</v>
      </c>
      <c r="Y200" s="68">
        <f t="shared" si="50"/>
        <v>45837</v>
      </c>
      <c r="Z200" s="69">
        <f t="shared" si="50"/>
        <v>45837</v>
      </c>
      <c r="AA200" s="1"/>
      <c r="AB200" s="1"/>
      <c r="AC200" s="1"/>
      <c r="AD200" s="1"/>
      <c r="AE200" s="1"/>
      <c r="AF200" s="1"/>
      <c r="AG200" s="1"/>
    </row>
    <row r="201" spans="1:33" ht="21" thickBot="1">
      <c r="A201" s="1"/>
      <c r="B201" s="11"/>
      <c r="C201" s="84">
        <v>181</v>
      </c>
      <c r="D201" s="85">
        <v>1</v>
      </c>
      <c r="E201" s="501">
        <f t="shared" si="41"/>
        <v>6</v>
      </c>
      <c r="F201" s="86">
        <f t="shared" si="42"/>
        <v>45838</v>
      </c>
      <c r="G201" s="87" t="str">
        <f t="shared" si="43"/>
        <v>Mon</v>
      </c>
      <c r="H201" s="508"/>
      <c r="I201" s="502"/>
      <c r="J201" s="89"/>
      <c r="K201" s="503"/>
      <c r="L201" s="90">
        <f t="shared" si="48"/>
        <v>223776.22377622381</v>
      </c>
      <c r="M201" s="91">
        <f t="shared" si="38"/>
        <v>-223776.22377622381</v>
      </c>
      <c r="N201" s="92">
        <f t="shared" si="9"/>
        <v>0</v>
      </c>
      <c r="O201" s="504"/>
      <c r="P201" s="99">
        <f>IF(D201=0,0,SUM($L$172:L201))</f>
        <v>5594405.5944055952</v>
      </c>
      <c r="Q201" s="90">
        <f>IF(D201=0,0,SUM($J$172:J201))</f>
        <v>0</v>
      </c>
      <c r="R201" s="91">
        <f t="shared" si="39"/>
        <v>-5594405.5944055952</v>
      </c>
      <c r="S201" s="505">
        <f t="shared" si="44"/>
        <v>0</v>
      </c>
      <c r="T201" s="506"/>
      <c r="U201" s="94">
        <f>IF(D201=0,0,SUM($L$21:L201))</f>
        <v>37762237.76223775</v>
      </c>
      <c r="V201" s="90">
        <f>IF(D201=0,0,SUM($J$21:J201))</f>
        <v>31748860</v>
      </c>
      <c r="W201" s="95">
        <f t="shared" si="40"/>
        <v>-6013377.76223775</v>
      </c>
      <c r="X201" s="507">
        <f t="shared" si="45"/>
        <v>0.84075684814814844</v>
      </c>
      <c r="Y201" s="68">
        <f t="shared" si="50"/>
        <v>45838</v>
      </c>
      <c r="Z201" s="69">
        <f t="shared" si="50"/>
        <v>45838</v>
      </c>
      <c r="AA201" s="1"/>
      <c r="AB201" s="1"/>
      <c r="AC201" s="1"/>
      <c r="AD201" s="1"/>
      <c r="AE201" s="1"/>
      <c r="AF201" s="1"/>
      <c r="AG201" s="1"/>
    </row>
    <row r="202" spans="1:33" ht="21" thickTop="1">
      <c r="A202" s="1"/>
      <c r="B202" s="11"/>
      <c r="C202" s="50">
        <v>182</v>
      </c>
      <c r="D202" s="96">
        <v>1</v>
      </c>
      <c r="E202" s="52">
        <f t="shared" si="41"/>
        <v>7</v>
      </c>
      <c r="F202" s="53">
        <f t="shared" si="42"/>
        <v>45839</v>
      </c>
      <c r="G202" s="54" t="str">
        <f t="shared" si="43"/>
        <v>Tue</v>
      </c>
      <c r="H202" s="55"/>
      <c r="I202" s="56"/>
      <c r="J202" s="82"/>
      <c r="K202" s="83"/>
      <c r="L202" s="59">
        <f t="shared" ref="L202:L232" si="51">IF(D202=0,0,$K$13)</f>
        <v>251748.25174825176</v>
      </c>
      <c r="M202" s="63">
        <f t="shared" si="38"/>
        <v>-251748.25174825176</v>
      </c>
      <c r="N202" s="97">
        <f t="shared" si="9"/>
        <v>0</v>
      </c>
      <c r="O202" s="80"/>
      <c r="P202" s="59">
        <f>IF(D202=0,0,$L$202)</f>
        <v>251748.25174825176</v>
      </c>
      <c r="Q202" s="59">
        <f>IF(D202=0,0,$J$202)</f>
        <v>0</v>
      </c>
      <c r="R202" s="63">
        <f t="shared" si="39"/>
        <v>-251748.25174825176</v>
      </c>
      <c r="S202" s="499">
        <f t="shared" si="44"/>
        <v>0</v>
      </c>
      <c r="T202" s="73"/>
      <c r="U202" s="59">
        <f>IF(D202=0,0,SUM($L$21:L202))</f>
        <v>38013986.013985999</v>
      </c>
      <c r="V202" s="59">
        <f>IF(D202=0,0,SUM($J$21:J202))</f>
        <v>31748860</v>
      </c>
      <c r="W202" s="66">
        <f t="shared" si="40"/>
        <v>-6265126.0139859989</v>
      </c>
      <c r="X202" s="500">
        <f t="shared" si="45"/>
        <v>0.83518892200147199</v>
      </c>
      <c r="Y202" s="68">
        <f t="shared" si="50"/>
        <v>45839</v>
      </c>
      <c r="Z202" s="69">
        <f t="shared" si="50"/>
        <v>45839</v>
      </c>
      <c r="AA202" s="1"/>
      <c r="AB202" s="1"/>
      <c r="AC202" s="1"/>
      <c r="AD202" s="1"/>
      <c r="AE202" s="1"/>
      <c r="AF202" s="1"/>
      <c r="AG202" s="1"/>
    </row>
    <row r="203" spans="1:33" ht="20">
      <c r="A203" s="1"/>
      <c r="B203" s="11"/>
      <c r="C203" s="50">
        <v>183</v>
      </c>
      <c r="D203" s="51">
        <v>1</v>
      </c>
      <c r="E203" s="52">
        <f t="shared" si="41"/>
        <v>7</v>
      </c>
      <c r="F203" s="53">
        <f t="shared" si="42"/>
        <v>45840</v>
      </c>
      <c r="G203" s="54" t="str">
        <f t="shared" si="43"/>
        <v>Wed</v>
      </c>
      <c r="H203" s="55"/>
      <c r="I203" s="56"/>
      <c r="J203" s="82"/>
      <c r="K203" s="83"/>
      <c r="L203" s="59">
        <f t="shared" si="51"/>
        <v>251748.25174825176</v>
      </c>
      <c r="M203" s="60">
        <f t="shared" si="38"/>
        <v>-251748.25174825176</v>
      </c>
      <c r="N203" s="61">
        <f t="shared" si="9"/>
        <v>0</v>
      </c>
      <c r="O203" s="80"/>
      <c r="P203" s="59">
        <f>IF(D203=0,0,SUM($L$202:L203))</f>
        <v>503496.50349650352</v>
      </c>
      <c r="Q203" s="59">
        <f>IF(D203=0,0,SUM($J$202:J203))</f>
        <v>0</v>
      </c>
      <c r="R203" s="63">
        <f t="shared" si="39"/>
        <v>-503496.50349650352</v>
      </c>
      <c r="S203" s="64">
        <f t="shared" si="44"/>
        <v>0</v>
      </c>
      <c r="T203" s="73"/>
      <c r="U203" s="59">
        <f>IF(D203=0,0,SUM($L$21:L203))</f>
        <v>38265734.265734248</v>
      </c>
      <c r="V203" s="59">
        <f>IF(D203=0,0,SUM($J$21:J203))</f>
        <v>31748860</v>
      </c>
      <c r="W203" s="66">
        <f t="shared" si="40"/>
        <v>-6516874.2657342479</v>
      </c>
      <c r="X203" s="67">
        <f t="shared" si="45"/>
        <v>0.82969425804093611</v>
      </c>
      <c r="Y203" s="68">
        <f t="shared" si="50"/>
        <v>45840</v>
      </c>
      <c r="Z203" s="69">
        <f t="shared" si="50"/>
        <v>45840</v>
      </c>
      <c r="AA203" s="1"/>
      <c r="AB203" s="1"/>
      <c r="AC203" s="1"/>
      <c r="AD203" s="1"/>
      <c r="AE203" s="1"/>
      <c r="AF203" s="1"/>
      <c r="AG203" s="1"/>
    </row>
    <row r="204" spans="1:33" ht="20">
      <c r="A204" s="1"/>
      <c r="B204" s="11"/>
      <c r="C204" s="50">
        <v>184</v>
      </c>
      <c r="D204" s="51">
        <v>1</v>
      </c>
      <c r="E204" s="52">
        <f t="shared" si="41"/>
        <v>7</v>
      </c>
      <c r="F204" s="53">
        <f t="shared" si="42"/>
        <v>45841</v>
      </c>
      <c r="G204" s="54" t="str">
        <f t="shared" si="43"/>
        <v>Thu</v>
      </c>
      <c r="H204" s="55"/>
      <c r="I204" s="56"/>
      <c r="J204" s="82"/>
      <c r="K204" s="83"/>
      <c r="L204" s="59">
        <f t="shared" si="51"/>
        <v>251748.25174825176</v>
      </c>
      <c r="M204" s="60">
        <f t="shared" si="38"/>
        <v>-251748.25174825176</v>
      </c>
      <c r="N204" s="61">
        <f t="shared" si="9"/>
        <v>0</v>
      </c>
      <c r="O204" s="80"/>
      <c r="P204" s="59">
        <f>IF(D204=0,0,SUM($L$202:L204))</f>
        <v>755244.7552447553</v>
      </c>
      <c r="Q204" s="59">
        <f>IF(D204=0,0,SUM($J$202:J204))</f>
        <v>0</v>
      </c>
      <c r="R204" s="63">
        <f t="shared" si="39"/>
        <v>-755244.7552447553</v>
      </c>
      <c r="S204" s="64">
        <f t="shared" si="44"/>
        <v>0</v>
      </c>
      <c r="T204" s="73"/>
      <c r="U204" s="59">
        <f>IF(D204=0,0,SUM($L$21:L204))</f>
        <v>38517482.517482497</v>
      </c>
      <c r="V204" s="59">
        <f>IF(D204=0,0,SUM($J$21:J204))</f>
        <v>31748860</v>
      </c>
      <c r="W204" s="66">
        <f t="shared" si="40"/>
        <v>-6768622.5174824968</v>
      </c>
      <c r="X204" s="67">
        <f t="shared" si="45"/>
        <v>0.82427141975308682</v>
      </c>
      <c r="Y204" s="68">
        <f t="shared" si="50"/>
        <v>45841</v>
      </c>
      <c r="Z204" s="69">
        <f t="shared" si="50"/>
        <v>45841</v>
      </c>
      <c r="AA204" s="1"/>
      <c r="AB204" s="1"/>
      <c r="AC204" s="1"/>
      <c r="AD204" s="1"/>
      <c r="AE204" s="1"/>
      <c r="AF204" s="1"/>
      <c r="AG204" s="1"/>
    </row>
    <row r="205" spans="1:33" ht="20">
      <c r="A205" s="1"/>
      <c r="B205" s="11"/>
      <c r="C205" s="50">
        <v>185</v>
      </c>
      <c r="D205" s="51">
        <v>1</v>
      </c>
      <c r="E205" s="52">
        <f t="shared" si="41"/>
        <v>7</v>
      </c>
      <c r="F205" s="53">
        <f t="shared" si="42"/>
        <v>45842</v>
      </c>
      <c r="G205" s="54" t="str">
        <f t="shared" si="43"/>
        <v>Fri</v>
      </c>
      <c r="H205" s="55"/>
      <c r="I205" s="56"/>
      <c r="J205" s="82"/>
      <c r="K205" s="83"/>
      <c r="L205" s="59">
        <f t="shared" si="51"/>
        <v>251748.25174825176</v>
      </c>
      <c r="M205" s="60">
        <f t="shared" si="38"/>
        <v>-251748.25174825176</v>
      </c>
      <c r="N205" s="61">
        <f t="shared" si="9"/>
        <v>0</v>
      </c>
      <c r="O205" s="80"/>
      <c r="P205" s="59">
        <f>IF(D205=0,0,SUM($L$202:L205))</f>
        <v>1006993.006993007</v>
      </c>
      <c r="Q205" s="59">
        <f>IF(D205=0,0,SUM($J$202:J205))</f>
        <v>0</v>
      </c>
      <c r="R205" s="63">
        <f t="shared" si="39"/>
        <v>-1006993.006993007</v>
      </c>
      <c r="S205" s="64">
        <f t="shared" si="44"/>
        <v>0</v>
      </c>
      <c r="T205" s="73"/>
      <c r="U205" s="59">
        <f>IF(D205=0,0,SUM($L$21:L205))</f>
        <v>38769230.769230746</v>
      </c>
      <c r="V205" s="59">
        <f>IF(D205=0,0,SUM($J$21:J205))</f>
        <v>31748860</v>
      </c>
      <c r="W205" s="66">
        <f t="shared" si="40"/>
        <v>-7020370.7692307457</v>
      </c>
      <c r="X205" s="67">
        <f t="shared" si="45"/>
        <v>0.8189190079365084</v>
      </c>
      <c r="Y205" s="68">
        <f t="shared" si="50"/>
        <v>45842</v>
      </c>
      <c r="Z205" s="69">
        <f t="shared" si="50"/>
        <v>45842</v>
      </c>
      <c r="AA205" s="1"/>
      <c r="AB205" s="1"/>
      <c r="AC205" s="1"/>
      <c r="AD205" s="1"/>
      <c r="AE205" s="1"/>
      <c r="AF205" s="1"/>
      <c r="AG205" s="1"/>
    </row>
    <row r="206" spans="1:33" ht="20">
      <c r="A206" s="1"/>
      <c r="B206" s="11"/>
      <c r="C206" s="50">
        <v>186</v>
      </c>
      <c r="D206" s="51">
        <v>1</v>
      </c>
      <c r="E206" s="52">
        <f t="shared" si="41"/>
        <v>7</v>
      </c>
      <c r="F206" s="53">
        <f t="shared" si="42"/>
        <v>45843</v>
      </c>
      <c r="G206" s="54" t="str">
        <f t="shared" si="43"/>
        <v>Sat</v>
      </c>
      <c r="H206" s="55"/>
      <c r="I206" s="56"/>
      <c r="J206" s="82"/>
      <c r="K206" s="83"/>
      <c r="L206" s="59">
        <f t="shared" si="51"/>
        <v>251748.25174825176</v>
      </c>
      <c r="M206" s="60">
        <f t="shared" si="38"/>
        <v>-251748.25174825176</v>
      </c>
      <c r="N206" s="61">
        <f t="shared" si="9"/>
        <v>0</v>
      </c>
      <c r="O206" s="80"/>
      <c r="P206" s="59">
        <f>IF(D206=0,0,SUM($L$202:L206))</f>
        <v>1258741.2587412589</v>
      </c>
      <c r="Q206" s="59">
        <f>IF(D206=0,0,SUM($J$202:J206))</f>
        <v>0</v>
      </c>
      <c r="R206" s="63">
        <f t="shared" si="39"/>
        <v>-1258741.2587412589</v>
      </c>
      <c r="S206" s="64">
        <f t="shared" si="44"/>
        <v>0</v>
      </c>
      <c r="T206" s="73"/>
      <c r="U206" s="59">
        <f>IF(D206=0,0,SUM($L$21:L206))</f>
        <v>39020979.020978995</v>
      </c>
      <c r="V206" s="59">
        <f>IF(D206=0,0,SUM($J$21:J206))</f>
        <v>31748860</v>
      </c>
      <c r="W206" s="66">
        <f t="shared" si="40"/>
        <v>-7272119.0209789947</v>
      </c>
      <c r="X206" s="67">
        <f t="shared" si="45"/>
        <v>0.81363565949820849</v>
      </c>
      <c r="Y206" s="68">
        <f t="shared" si="50"/>
        <v>45843</v>
      </c>
      <c r="Z206" s="69">
        <f t="shared" si="50"/>
        <v>45843</v>
      </c>
      <c r="AA206" s="1"/>
      <c r="AB206" s="1"/>
      <c r="AC206" s="1"/>
      <c r="AD206" s="1"/>
      <c r="AE206" s="1"/>
      <c r="AF206" s="1"/>
      <c r="AG206" s="1"/>
    </row>
    <row r="207" spans="1:33" ht="20">
      <c r="A207" s="1"/>
      <c r="B207" s="11"/>
      <c r="C207" s="50">
        <v>187</v>
      </c>
      <c r="D207" s="51">
        <v>0</v>
      </c>
      <c r="E207" s="52">
        <f t="shared" si="41"/>
        <v>7</v>
      </c>
      <c r="F207" s="53">
        <f t="shared" si="42"/>
        <v>45844</v>
      </c>
      <c r="G207" s="54" t="str">
        <f t="shared" si="43"/>
        <v>Sun</v>
      </c>
      <c r="H207" s="55"/>
      <c r="I207" s="56"/>
      <c r="J207" s="82"/>
      <c r="K207" s="83"/>
      <c r="L207" s="59">
        <f t="shared" si="51"/>
        <v>0</v>
      </c>
      <c r="M207" s="60">
        <f t="shared" si="38"/>
        <v>0</v>
      </c>
      <c r="N207" s="61" t="str">
        <f t="shared" si="9"/>
        <v>¥0</v>
      </c>
      <c r="O207" s="81"/>
      <c r="P207" s="59">
        <f>IF(D207=0,0,SUM($L$202:L207))</f>
        <v>0</v>
      </c>
      <c r="Q207" s="59">
        <f>IF(D207=0,0,SUM($J$202:J207))</f>
        <v>0</v>
      </c>
      <c r="R207" s="63">
        <f t="shared" si="39"/>
        <v>0</v>
      </c>
      <c r="S207" s="64">
        <f t="shared" si="44"/>
        <v>0</v>
      </c>
      <c r="T207" s="78"/>
      <c r="U207" s="59">
        <f>IF(D207=0,0,SUM($L$21:L207))</f>
        <v>0</v>
      </c>
      <c r="V207" s="59">
        <f>IF(D207=0,0,SUM($J$21:J207))</f>
        <v>0</v>
      </c>
      <c r="W207" s="66">
        <f t="shared" si="40"/>
        <v>0</v>
      </c>
      <c r="X207" s="67">
        <f t="shared" si="45"/>
        <v>0</v>
      </c>
      <c r="Y207" s="68">
        <f t="shared" si="50"/>
        <v>45844</v>
      </c>
      <c r="Z207" s="69">
        <f t="shared" si="50"/>
        <v>45844</v>
      </c>
      <c r="AA207" s="1"/>
      <c r="AB207" s="1"/>
      <c r="AC207" s="1"/>
      <c r="AD207" s="1"/>
      <c r="AE207" s="1"/>
      <c r="AF207" s="1"/>
      <c r="AG207" s="1"/>
    </row>
    <row r="208" spans="1:33" ht="20">
      <c r="A208" s="1"/>
      <c r="B208" s="11"/>
      <c r="C208" s="50">
        <v>188</v>
      </c>
      <c r="D208" s="51">
        <v>1</v>
      </c>
      <c r="E208" s="52">
        <f t="shared" si="41"/>
        <v>7</v>
      </c>
      <c r="F208" s="53">
        <f t="shared" si="42"/>
        <v>45845</v>
      </c>
      <c r="G208" s="54" t="str">
        <f t="shared" si="43"/>
        <v>Mon</v>
      </c>
      <c r="H208" s="55"/>
      <c r="I208" s="56"/>
      <c r="J208" s="82"/>
      <c r="K208" s="83"/>
      <c r="L208" s="59">
        <f t="shared" si="51"/>
        <v>251748.25174825176</v>
      </c>
      <c r="M208" s="60">
        <f t="shared" si="38"/>
        <v>-251748.25174825176</v>
      </c>
      <c r="N208" s="61">
        <f t="shared" si="9"/>
        <v>0</v>
      </c>
      <c r="O208" s="80"/>
      <c r="P208" s="59">
        <f>IF(D208=0,0,SUM($L$202:L208))</f>
        <v>1510489.5104895106</v>
      </c>
      <c r="Q208" s="59">
        <f>IF(D208=0,0,SUM($J$202:J208))</f>
        <v>0</v>
      </c>
      <c r="R208" s="63">
        <f t="shared" si="39"/>
        <v>-1510489.5104895106</v>
      </c>
      <c r="S208" s="64">
        <f t="shared" si="44"/>
        <v>0</v>
      </c>
      <c r="T208" s="73"/>
      <c r="U208" s="59">
        <f>IF(D208=0,0,SUM($L$21:L208))</f>
        <v>39272727.272727244</v>
      </c>
      <c r="V208" s="59">
        <f>IF(D208=0,0,SUM($J$21:J208))</f>
        <v>31748860</v>
      </c>
      <c r="W208" s="66">
        <f t="shared" si="40"/>
        <v>-7523867.2727272436</v>
      </c>
      <c r="X208" s="67">
        <f t="shared" si="45"/>
        <v>0.80842004629629693</v>
      </c>
      <c r="Y208" s="68">
        <f t="shared" si="50"/>
        <v>45845</v>
      </c>
      <c r="Z208" s="69">
        <f t="shared" si="50"/>
        <v>45845</v>
      </c>
      <c r="AA208" s="1"/>
      <c r="AB208" s="1"/>
      <c r="AC208" s="1"/>
      <c r="AD208" s="1"/>
      <c r="AE208" s="1"/>
      <c r="AF208" s="1"/>
      <c r="AG208" s="1"/>
    </row>
    <row r="209" spans="1:33" ht="20">
      <c r="A209" s="1"/>
      <c r="B209" s="11"/>
      <c r="C209" s="50">
        <v>189</v>
      </c>
      <c r="D209" s="51">
        <v>1</v>
      </c>
      <c r="E209" s="52">
        <f t="shared" si="41"/>
        <v>7</v>
      </c>
      <c r="F209" s="53">
        <f t="shared" si="42"/>
        <v>45846</v>
      </c>
      <c r="G209" s="54" t="str">
        <f t="shared" si="43"/>
        <v>Tue</v>
      </c>
      <c r="H209" s="55"/>
      <c r="I209" s="56"/>
      <c r="J209" s="82"/>
      <c r="K209" s="83"/>
      <c r="L209" s="59">
        <f t="shared" si="51"/>
        <v>251748.25174825176</v>
      </c>
      <c r="M209" s="60">
        <f t="shared" si="38"/>
        <v>-251748.25174825176</v>
      </c>
      <c r="N209" s="61">
        <f t="shared" si="9"/>
        <v>0</v>
      </c>
      <c r="O209" s="80"/>
      <c r="P209" s="59">
        <f>IF(D209=0,0,SUM($L$202:L209))</f>
        <v>1762237.7622377623</v>
      </c>
      <c r="Q209" s="59">
        <f>IF(D209=0,0,SUM($J$202:J209))</f>
        <v>0</v>
      </c>
      <c r="R209" s="63">
        <f t="shared" si="39"/>
        <v>-1762237.7622377623</v>
      </c>
      <c r="S209" s="64">
        <f t="shared" si="44"/>
        <v>0</v>
      </c>
      <c r="T209" s="73"/>
      <c r="U209" s="59">
        <f>IF(D209=0,0,SUM($L$21:L209))</f>
        <v>39524475.524475493</v>
      </c>
      <c r="V209" s="59">
        <f>IF(D209=0,0,SUM($J$21:J209))</f>
        <v>31748860</v>
      </c>
      <c r="W209" s="66">
        <f t="shared" si="40"/>
        <v>-7775615.5244754925</v>
      </c>
      <c r="X209" s="67">
        <f t="shared" si="45"/>
        <v>0.80327087402689379</v>
      </c>
      <c r="Y209" s="68">
        <f t="shared" si="50"/>
        <v>45846</v>
      </c>
      <c r="Z209" s="69">
        <f t="shared" si="50"/>
        <v>45846</v>
      </c>
      <c r="AA209" s="1"/>
      <c r="AB209" s="1"/>
      <c r="AC209" s="1"/>
      <c r="AD209" s="1"/>
      <c r="AE209" s="1"/>
      <c r="AF209" s="1"/>
      <c r="AG209" s="1"/>
    </row>
    <row r="210" spans="1:33" ht="20">
      <c r="A210" s="1"/>
      <c r="B210" s="11"/>
      <c r="C210" s="50">
        <v>190</v>
      </c>
      <c r="D210" s="51">
        <v>1</v>
      </c>
      <c r="E210" s="52">
        <f t="shared" si="41"/>
        <v>7</v>
      </c>
      <c r="F210" s="53">
        <f t="shared" si="42"/>
        <v>45847</v>
      </c>
      <c r="G210" s="54" t="str">
        <f t="shared" si="43"/>
        <v>Wed</v>
      </c>
      <c r="H210" s="55"/>
      <c r="I210" s="56"/>
      <c r="J210" s="82"/>
      <c r="K210" s="83"/>
      <c r="L210" s="59">
        <f t="shared" si="51"/>
        <v>251748.25174825176</v>
      </c>
      <c r="M210" s="60">
        <f t="shared" si="38"/>
        <v>-251748.25174825176</v>
      </c>
      <c r="N210" s="61">
        <f t="shared" si="9"/>
        <v>0</v>
      </c>
      <c r="O210" s="80"/>
      <c r="P210" s="59">
        <f>IF(D210=0,0,SUM($L$202:L210))</f>
        <v>2013986.0139860141</v>
      </c>
      <c r="Q210" s="59">
        <f>IF(D210=0,0,SUM($J$202:J210))</f>
        <v>0</v>
      </c>
      <c r="R210" s="63">
        <f t="shared" si="39"/>
        <v>-2013986.0139860141</v>
      </c>
      <c r="S210" s="64">
        <f t="shared" si="44"/>
        <v>0</v>
      </c>
      <c r="T210" s="73"/>
      <c r="U210" s="59">
        <f>IF(D210=0,0,SUM($L$21:L210))</f>
        <v>39776223.776223741</v>
      </c>
      <c r="V210" s="59">
        <f>IF(D210=0,0,SUM($J$21:J210))</f>
        <v>31748860</v>
      </c>
      <c r="W210" s="66">
        <f t="shared" si="40"/>
        <v>-8027363.7762237415</v>
      </c>
      <c r="X210" s="67">
        <f t="shared" si="45"/>
        <v>0.79818688115330594</v>
      </c>
      <c r="Y210" s="68">
        <f t="shared" si="50"/>
        <v>45847</v>
      </c>
      <c r="Z210" s="69">
        <f t="shared" si="50"/>
        <v>45847</v>
      </c>
      <c r="AA210" s="1"/>
      <c r="AB210" s="1"/>
      <c r="AC210" s="1"/>
      <c r="AD210" s="1"/>
      <c r="AE210" s="1"/>
      <c r="AF210" s="1"/>
      <c r="AG210" s="1"/>
    </row>
    <row r="211" spans="1:33" ht="20">
      <c r="A211" s="1"/>
      <c r="B211" s="11"/>
      <c r="C211" s="50">
        <v>191</v>
      </c>
      <c r="D211" s="51">
        <v>1</v>
      </c>
      <c r="E211" s="52">
        <f t="shared" si="41"/>
        <v>7</v>
      </c>
      <c r="F211" s="53">
        <f t="shared" si="42"/>
        <v>45848</v>
      </c>
      <c r="G211" s="54" t="str">
        <f t="shared" si="43"/>
        <v>Thu</v>
      </c>
      <c r="H211" s="55"/>
      <c r="I211" s="56"/>
      <c r="J211" s="82"/>
      <c r="K211" s="83"/>
      <c r="L211" s="59">
        <f t="shared" si="51"/>
        <v>251748.25174825176</v>
      </c>
      <c r="M211" s="60">
        <f t="shared" si="38"/>
        <v>-251748.25174825176</v>
      </c>
      <c r="N211" s="61">
        <f t="shared" si="9"/>
        <v>0</v>
      </c>
      <c r="O211" s="80"/>
      <c r="P211" s="59">
        <f>IF(D211=0,0,SUM($L$202:L211))</f>
        <v>2265734.265734266</v>
      </c>
      <c r="Q211" s="59">
        <f>IF(D211=0,0,SUM($J$202:J211))</f>
        <v>0</v>
      </c>
      <c r="R211" s="63">
        <f t="shared" si="39"/>
        <v>-2265734.265734266</v>
      </c>
      <c r="S211" s="64">
        <f t="shared" si="44"/>
        <v>0</v>
      </c>
      <c r="T211" s="73"/>
      <c r="U211" s="59">
        <f>IF(D211=0,0,SUM($L$21:L211))</f>
        <v>40027972.02797199</v>
      </c>
      <c r="V211" s="59">
        <f>IF(D211=0,0,SUM($J$21:J211))</f>
        <v>31748860</v>
      </c>
      <c r="W211" s="66">
        <f t="shared" si="40"/>
        <v>-8279112.0279719904</v>
      </c>
      <c r="X211" s="67">
        <f t="shared" si="45"/>
        <v>0.79316683787561215</v>
      </c>
      <c r="Y211" s="68">
        <f t="shared" si="50"/>
        <v>45848</v>
      </c>
      <c r="Z211" s="69">
        <f t="shared" si="50"/>
        <v>45848</v>
      </c>
      <c r="AA211" s="1"/>
      <c r="AB211" s="1"/>
      <c r="AC211" s="1"/>
      <c r="AD211" s="1"/>
      <c r="AE211" s="1"/>
      <c r="AF211" s="1"/>
      <c r="AG211" s="1"/>
    </row>
    <row r="212" spans="1:33" ht="20">
      <c r="A212" s="1"/>
      <c r="B212" s="11"/>
      <c r="C212" s="50">
        <v>192</v>
      </c>
      <c r="D212" s="51">
        <v>1</v>
      </c>
      <c r="E212" s="52">
        <f t="shared" si="41"/>
        <v>7</v>
      </c>
      <c r="F212" s="53">
        <f t="shared" si="42"/>
        <v>45849</v>
      </c>
      <c r="G212" s="54" t="str">
        <f t="shared" si="43"/>
        <v>Fri</v>
      </c>
      <c r="H212" s="55"/>
      <c r="I212" s="56"/>
      <c r="J212" s="82"/>
      <c r="K212" s="83"/>
      <c r="L212" s="59">
        <f t="shared" si="51"/>
        <v>251748.25174825176</v>
      </c>
      <c r="M212" s="60">
        <f t="shared" si="38"/>
        <v>-251748.25174825176</v>
      </c>
      <c r="N212" s="61">
        <f t="shared" si="9"/>
        <v>0</v>
      </c>
      <c r="O212" s="80"/>
      <c r="P212" s="59">
        <f>IF(D212=0,0,SUM($L$202:L212))</f>
        <v>2517482.5174825178</v>
      </c>
      <c r="Q212" s="59">
        <f>IF(D212=0,0,SUM($J$202:J212))</f>
        <v>0</v>
      </c>
      <c r="R212" s="63">
        <f t="shared" si="39"/>
        <v>-2517482.5174825178</v>
      </c>
      <c r="S212" s="64">
        <f t="shared" si="44"/>
        <v>0</v>
      </c>
      <c r="T212" s="73"/>
      <c r="U212" s="59">
        <f>IF(D212=0,0,SUM($L$21:L212))</f>
        <v>40279720.279720239</v>
      </c>
      <c r="V212" s="59">
        <f>IF(D212=0,0,SUM($J$21:J212))</f>
        <v>31748860</v>
      </c>
      <c r="W212" s="66">
        <f t="shared" si="40"/>
        <v>-8530860.2797202393</v>
      </c>
      <c r="X212" s="67">
        <f t="shared" si="45"/>
        <v>0.78820954513888963</v>
      </c>
      <c r="Y212" s="68">
        <f t="shared" si="50"/>
        <v>45849</v>
      </c>
      <c r="Z212" s="69">
        <f t="shared" si="50"/>
        <v>45849</v>
      </c>
      <c r="AA212" s="1"/>
      <c r="AB212" s="1"/>
      <c r="AC212" s="1"/>
      <c r="AD212" s="1"/>
      <c r="AE212" s="1"/>
      <c r="AF212" s="1"/>
      <c r="AG212" s="1"/>
    </row>
    <row r="213" spans="1:33" ht="20">
      <c r="A213" s="1"/>
      <c r="B213" s="11"/>
      <c r="C213" s="50">
        <v>193</v>
      </c>
      <c r="D213" s="51">
        <v>1</v>
      </c>
      <c r="E213" s="52">
        <f t="shared" si="41"/>
        <v>7</v>
      </c>
      <c r="F213" s="53">
        <f t="shared" si="42"/>
        <v>45850</v>
      </c>
      <c r="G213" s="54" t="str">
        <f t="shared" si="43"/>
        <v>Sat</v>
      </c>
      <c r="H213" s="55"/>
      <c r="I213" s="56"/>
      <c r="J213" s="82"/>
      <c r="K213" s="83"/>
      <c r="L213" s="59">
        <f t="shared" si="51"/>
        <v>251748.25174825176</v>
      </c>
      <c r="M213" s="60">
        <f t="shared" ref="M213:M276" si="52">IF(D213=0,0,J213-L213)</f>
        <v>-251748.25174825176</v>
      </c>
      <c r="N213" s="61">
        <f t="shared" si="9"/>
        <v>0</v>
      </c>
      <c r="O213" s="80"/>
      <c r="P213" s="59">
        <f>IF(D213=0,0,SUM($L$202:L213))</f>
        <v>2769230.7692307695</v>
      </c>
      <c r="Q213" s="59">
        <f>IF(D213=0,0,SUM($J$202:J213))</f>
        <v>0</v>
      </c>
      <c r="R213" s="63">
        <f t="shared" ref="R213:R276" si="53">IF(D213=0,0,Q213-P213)</f>
        <v>-2769230.7692307695</v>
      </c>
      <c r="S213" s="64">
        <f t="shared" si="44"/>
        <v>0</v>
      </c>
      <c r="T213" s="73"/>
      <c r="U213" s="59">
        <f>IF(D213=0,0,SUM($L$21:L213))</f>
        <v>40531468.531468488</v>
      </c>
      <c r="V213" s="59">
        <f>IF(D213=0,0,SUM($J$21:J213))</f>
        <v>31748860</v>
      </c>
      <c r="W213" s="66">
        <f t="shared" ref="W213:W276" si="54">IF(D213=0,0,V213-U213)</f>
        <v>-8782608.5314684883</v>
      </c>
      <c r="X213" s="67">
        <f t="shared" si="45"/>
        <v>0.78331383367839968</v>
      </c>
      <c r="Y213" s="68">
        <f t="shared" si="50"/>
        <v>45850</v>
      </c>
      <c r="Z213" s="69">
        <f t="shared" si="50"/>
        <v>45850</v>
      </c>
      <c r="AA213" s="1"/>
      <c r="AB213" s="1"/>
      <c r="AC213" s="1"/>
      <c r="AD213" s="1"/>
      <c r="AE213" s="1"/>
      <c r="AF213" s="1"/>
      <c r="AG213" s="1"/>
    </row>
    <row r="214" spans="1:33" ht="20">
      <c r="A214" s="1"/>
      <c r="B214" s="11"/>
      <c r="C214" s="50">
        <v>194</v>
      </c>
      <c r="D214" s="51">
        <v>0</v>
      </c>
      <c r="E214" s="52">
        <f t="shared" ref="E214:E277" si="55">MONTH(Y214)</f>
        <v>7</v>
      </c>
      <c r="F214" s="53">
        <f t="shared" ref="F214:F277" si="56">F213+1</f>
        <v>45851</v>
      </c>
      <c r="G214" s="54" t="str">
        <f t="shared" ref="G214:G277" si="57">TEXT(Z214,"ddd")</f>
        <v>Sun</v>
      </c>
      <c r="H214" s="55"/>
      <c r="I214" s="56"/>
      <c r="J214" s="82"/>
      <c r="K214" s="83"/>
      <c r="L214" s="59">
        <f t="shared" si="51"/>
        <v>0</v>
      </c>
      <c r="M214" s="60">
        <f t="shared" si="52"/>
        <v>0</v>
      </c>
      <c r="N214" s="61" t="str">
        <f t="shared" si="9"/>
        <v>¥0</v>
      </c>
      <c r="O214" s="81"/>
      <c r="P214" s="59">
        <f>IF(D214=0,0,SUM($L$202:L214))</f>
        <v>0</v>
      </c>
      <c r="Q214" s="59">
        <f>IF(D214=0,0,SUM($J$202:J214))</f>
        <v>0</v>
      </c>
      <c r="R214" s="63">
        <f t="shared" si="53"/>
        <v>0</v>
      </c>
      <c r="S214" s="64">
        <f t="shared" ref="S214:S277" si="58">IF(D214=0,0,Q214/P214)</f>
        <v>0</v>
      </c>
      <c r="T214" s="78"/>
      <c r="U214" s="59">
        <f>IF(D214=0,0,SUM($L$21:L214))</f>
        <v>0</v>
      </c>
      <c r="V214" s="59">
        <f>IF(D214=0,0,SUM($J$21:J214))</f>
        <v>0</v>
      </c>
      <c r="W214" s="66">
        <f t="shared" si="54"/>
        <v>0</v>
      </c>
      <c r="X214" s="67">
        <f t="shared" ref="X214:X277" si="59">IF(D214=0,0,V214/U214)</f>
        <v>0</v>
      </c>
      <c r="Y214" s="68">
        <f t="shared" si="50"/>
        <v>45851</v>
      </c>
      <c r="Z214" s="69">
        <f t="shared" si="50"/>
        <v>45851</v>
      </c>
      <c r="AA214" s="1"/>
      <c r="AB214" s="1"/>
      <c r="AC214" s="1"/>
      <c r="AD214" s="1"/>
      <c r="AE214" s="1"/>
      <c r="AF214" s="1"/>
      <c r="AG214" s="1"/>
    </row>
    <row r="215" spans="1:33" ht="20">
      <c r="A215" s="1"/>
      <c r="B215" s="11"/>
      <c r="C215" s="50">
        <v>195</v>
      </c>
      <c r="D215" s="51">
        <v>1</v>
      </c>
      <c r="E215" s="52">
        <f t="shared" si="55"/>
        <v>7</v>
      </c>
      <c r="F215" s="53">
        <f t="shared" si="56"/>
        <v>45852</v>
      </c>
      <c r="G215" s="54" t="str">
        <f t="shared" si="57"/>
        <v>Mon</v>
      </c>
      <c r="H215" s="55"/>
      <c r="I215" s="56"/>
      <c r="J215" s="82"/>
      <c r="K215" s="83"/>
      <c r="L215" s="59">
        <f t="shared" si="51"/>
        <v>251748.25174825176</v>
      </c>
      <c r="M215" s="60">
        <f t="shared" si="52"/>
        <v>-251748.25174825176</v>
      </c>
      <c r="N215" s="61">
        <f t="shared" si="9"/>
        <v>0</v>
      </c>
      <c r="O215" s="80"/>
      <c r="P215" s="59">
        <f>IF(D215=0,0,SUM($L$202:L215))</f>
        <v>3020979.0209790212</v>
      </c>
      <c r="Q215" s="59">
        <f>IF(D215=0,0,SUM($J$202:J215))</f>
        <v>0</v>
      </c>
      <c r="R215" s="63">
        <f t="shared" si="53"/>
        <v>-3020979.0209790212</v>
      </c>
      <c r="S215" s="64">
        <f t="shared" si="58"/>
        <v>0</v>
      </c>
      <c r="T215" s="73"/>
      <c r="U215" s="59">
        <f>IF(D215=0,0,SUM($L$21:L215))</f>
        <v>40783216.783216737</v>
      </c>
      <c r="V215" s="59">
        <f>IF(D215=0,0,SUM($J$21:J215))</f>
        <v>31748860</v>
      </c>
      <c r="W215" s="66">
        <f t="shared" si="54"/>
        <v>-9034356.7832167372</v>
      </c>
      <c r="X215" s="67">
        <f t="shared" si="59"/>
        <v>0.77847856310013808</v>
      </c>
      <c r="Y215" s="68">
        <f t="shared" ref="Y215:Z230" si="60">Y214+1</f>
        <v>45852</v>
      </c>
      <c r="Z215" s="69">
        <f t="shared" si="60"/>
        <v>45852</v>
      </c>
      <c r="AA215" s="1"/>
      <c r="AB215" s="1"/>
      <c r="AC215" s="1"/>
      <c r="AD215" s="1"/>
      <c r="AE215" s="1"/>
      <c r="AF215" s="1"/>
      <c r="AG215" s="1"/>
    </row>
    <row r="216" spans="1:33" ht="20">
      <c r="A216" s="1"/>
      <c r="B216" s="11"/>
      <c r="C216" s="50">
        <v>196</v>
      </c>
      <c r="D216" s="51">
        <v>1</v>
      </c>
      <c r="E216" s="52">
        <f t="shared" si="55"/>
        <v>7</v>
      </c>
      <c r="F216" s="53">
        <f t="shared" si="56"/>
        <v>45853</v>
      </c>
      <c r="G216" s="54" t="str">
        <f t="shared" si="57"/>
        <v>Tue</v>
      </c>
      <c r="H216" s="55"/>
      <c r="I216" s="56"/>
      <c r="J216" s="82"/>
      <c r="K216" s="83"/>
      <c r="L216" s="59">
        <f t="shared" si="51"/>
        <v>251748.25174825176</v>
      </c>
      <c r="M216" s="60">
        <f t="shared" si="52"/>
        <v>-251748.25174825176</v>
      </c>
      <c r="N216" s="61">
        <f t="shared" si="9"/>
        <v>0</v>
      </c>
      <c r="O216" s="80"/>
      <c r="P216" s="59">
        <f>IF(D216=0,0,SUM($L$202:L216))</f>
        <v>3272727.2727272729</v>
      </c>
      <c r="Q216" s="59">
        <f>IF(D216=0,0,SUM($J$202:J216))</f>
        <v>0</v>
      </c>
      <c r="R216" s="63">
        <f t="shared" si="53"/>
        <v>-3272727.2727272729</v>
      </c>
      <c r="S216" s="64">
        <f t="shared" si="58"/>
        <v>0</v>
      </c>
      <c r="T216" s="73"/>
      <c r="U216" s="59">
        <f>IF(D216=0,0,SUM($L$21:L216))</f>
        <v>41034965.034964986</v>
      </c>
      <c r="V216" s="59">
        <f>IF(D216=0,0,SUM($J$21:J216))</f>
        <v>31748860</v>
      </c>
      <c r="W216" s="66">
        <f t="shared" si="54"/>
        <v>-9286105.0349649861</v>
      </c>
      <c r="X216" s="67">
        <f t="shared" si="59"/>
        <v>0.77370262099522924</v>
      </c>
      <c r="Y216" s="68">
        <f t="shared" si="60"/>
        <v>45853</v>
      </c>
      <c r="Z216" s="69">
        <f t="shared" si="60"/>
        <v>45853</v>
      </c>
      <c r="AA216" s="1"/>
      <c r="AB216" s="1"/>
      <c r="AC216" s="1"/>
      <c r="AD216" s="1"/>
      <c r="AE216" s="1"/>
      <c r="AF216" s="1"/>
      <c r="AG216" s="1"/>
    </row>
    <row r="217" spans="1:33" ht="20">
      <c r="A217" s="1"/>
      <c r="B217" s="11"/>
      <c r="C217" s="50">
        <v>197</v>
      </c>
      <c r="D217" s="51">
        <v>1</v>
      </c>
      <c r="E217" s="52">
        <f t="shared" si="55"/>
        <v>7</v>
      </c>
      <c r="F217" s="53">
        <f t="shared" si="56"/>
        <v>45854</v>
      </c>
      <c r="G217" s="54" t="str">
        <f t="shared" si="57"/>
        <v>Wed</v>
      </c>
      <c r="H217" s="55"/>
      <c r="I217" s="56"/>
      <c r="J217" s="82"/>
      <c r="K217" s="83"/>
      <c r="L217" s="59">
        <f t="shared" si="51"/>
        <v>251748.25174825176</v>
      </c>
      <c r="M217" s="60">
        <f t="shared" si="52"/>
        <v>-251748.25174825176</v>
      </c>
      <c r="N217" s="61">
        <f t="shared" si="9"/>
        <v>0</v>
      </c>
      <c r="O217" s="80"/>
      <c r="P217" s="59">
        <f>IF(D217=0,0,SUM($L$202:L217))</f>
        <v>3524475.5244755247</v>
      </c>
      <c r="Q217" s="59">
        <f>IF(D217=0,0,SUM($J$202:J217))</f>
        <v>0</v>
      </c>
      <c r="R217" s="63">
        <f t="shared" si="53"/>
        <v>-3524475.5244755247</v>
      </c>
      <c r="S217" s="64">
        <f t="shared" si="58"/>
        <v>0</v>
      </c>
      <c r="T217" s="73"/>
      <c r="U217" s="59">
        <f>IF(D217=0,0,SUM($L$21:L217))</f>
        <v>41286713.286713235</v>
      </c>
      <c r="V217" s="59">
        <f>IF(D217=0,0,SUM($J$21:J217))</f>
        <v>31748860</v>
      </c>
      <c r="W217" s="66">
        <f t="shared" si="54"/>
        <v>-9537853.2867132351</v>
      </c>
      <c r="X217" s="67">
        <f t="shared" si="59"/>
        <v>0.76898492208672187</v>
      </c>
      <c r="Y217" s="68">
        <f t="shared" si="60"/>
        <v>45854</v>
      </c>
      <c r="Z217" s="69">
        <f t="shared" si="60"/>
        <v>45854</v>
      </c>
      <c r="AA217" s="1"/>
      <c r="AB217" s="1"/>
      <c r="AC217" s="1"/>
      <c r="AD217" s="1"/>
      <c r="AE217" s="1"/>
      <c r="AF217" s="1"/>
      <c r="AG217" s="1"/>
    </row>
    <row r="218" spans="1:33" ht="20">
      <c r="A218" s="1"/>
      <c r="B218" s="11"/>
      <c r="C218" s="50">
        <v>198</v>
      </c>
      <c r="D218" s="51">
        <v>1</v>
      </c>
      <c r="E218" s="52">
        <f t="shared" si="55"/>
        <v>7</v>
      </c>
      <c r="F218" s="53">
        <f t="shared" si="56"/>
        <v>45855</v>
      </c>
      <c r="G218" s="54" t="str">
        <f t="shared" si="57"/>
        <v>Thu</v>
      </c>
      <c r="H218" s="55"/>
      <c r="I218" s="56"/>
      <c r="J218" s="82"/>
      <c r="K218" s="83"/>
      <c r="L218" s="59">
        <f t="shared" si="51"/>
        <v>251748.25174825176</v>
      </c>
      <c r="M218" s="60">
        <f t="shared" si="52"/>
        <v>-251748.25174825176</v>
      </c>
      <c r="N218" s="61">
        <f t="shared" si="9"/>
        <v>0</v>
      </c>
      <c r="O218" s="80"/>
      <c r="P218" s="59">
        <f>IF(D218=0,0,SUM($L$202:L218))</f>
        <v>3776223.7762237764</v>
      </c>
      <c r="Q218" s="59">
        <f>IF(D218=0,0,SUM($J$202:J218))</f>
        <v>0</v>
      </c>
      <c r="R218" s="63">
        <f t="shared" si="53"/>
        <v>-3776223.7762237764</v>
      </c>
      <c r="S218" s="64">
        <f t="shared" si="58"/>
        <v>0</v>
      </c>
      <c r="T218" s="73"/>
      <c r="U218" s="59">
        <f>IF(D218=0,0,SUM($L$21:L218))</f>
        <v>41538461.538461484</v>
      </c>
      <c r="V218" s="59">
        <f>IF(D218=0,0,SUM($J$21:J218))</f>
        <v>31748860</v>
      </c>
      <c r="W218" s="66">
        <f t="shared" si="54"/>
        <v>-9789601.538461484</v>
      </c>
      <c r="X218" s="67">
        <f t="shared" si="59"/>
        <v>0.76432440740740837</v>
      </c>
      <c r="Y218" s="68">
        <f t="shared" si="60"/>
        <v>45855</v>
      </c>
      <c r="Z218" s="69">
        <f t="shared" si="60"/>
        <v>45855</v>
      </c>
      <c r="AA218" s="1"/>
      <c r="AB218" s="1"/>
      <c r="AC218" s="1"/>
      <c r="AD218" s="1"/>
      <c r="AE218" s="1"/>
      <c r="AF218" s="1"/>
      <c r="AG218" s="1"/>
    </row>
    <row r="219" spans="1:33" ht="20">
      <c r="A219" s="1"/>
      <c r="B219" s="11"/>
      <c r="C219" s="50">
        <v>199</v>
      </c>
      <c r="D219" s="51">
        <v>1</v>
      </c>
      <c r="E219" s="52">
        <f t="shared" si="55"/>
        <v>7</v>
      </c>
      <c r="F219" s="53">
        <f t="shared" si="56"/>
        <v>45856</v>
      </c>
      <c r="G219" s="54" t="str">
        <f t="shared" si="57"/>
        <v>Fri</v>
      </c>
      <c r="H219" s="55"/>
      <c r="I219" s="56"/>
      <c r="J219" s="82"/>
      <c r="K219" s="83"/>
      <c r="L219" s="59">
        <f t="shared" si="51"/>
        <v>251748.25174825176</v>
      </c>
      <c r="M219" s="60">
        <f t="shared" si="52"/>
        <v>-251748.25174825176</v>
      </c>
      <c r="N219" s="61">
        <f t="shared" si="9"/>
        <v>0</v>
      </c>
      <c r="O219" s="80"/>
      <c r="P219" s="59">
        <f>IF(D219=0,0,SUM($L$202:L219))</f>
        <v>4027972.0279720281</v>
      </c>
      <c r="Q219" s="59">
        <f>IF(D219=0,0,SUM($J$202:J219))</f>
        <v>0</v>
      </c>
      <c r="R219" s="63">
        <f t="shared" si="53"/>
        <v>-4027972.0279720281</v>
      </c>
      <c r="S219" s="64">
        <f t="shared" si="58"/>
        <v>0</v>
      </c>
      <c r="T219" s="73"/>
      <c r="U219" s="59">
        <f>IF(D219=0,0,SUM($L$21:L219))</f>
        <v>41790209.790209733</v>
      </c>
      <c r="V219" s="59">
        <f>IF(D219=0,0,SUM($J$21:J219))</f>
        <v>31748860</v>
      </c>
      <c r="W219" s="66">
        <f t="shared" si="54"/>
        <v>-10041349.790209733</v>
      </c>
      <c r="X219" s="67">
        <f t="shared" si="59"/>
        <v>0.75972004350736377</v>
      </c>
      <c r="Y219" s="68">
        <f t="shared" si="60"/>
        <v>45856</v>
      </c>
      <c r="Z219" s="69">
        <f t="shared" si="60"/>
        <v>45856</v>
      </c>
      <c r="AA219" s="1"/>
      <c r="AB219" s="1"/>
      <c r="AC219" s="1"/>
      <c r="AD219" s="1"/>
      <c r="AE219" s="1"/>
      <c r="AF219" s="1"/>
      <c r="AG219" s="1"/>
    </row>
    <row r="220" spans="1:33" ht="20">
      <c r="A220" s="1"/>
      <c r="B220" s="11"/>
      <c r="C220" s="50">
        <v>200</v>
      </c>
      <c r="D220" s="51">
        <v>1</v>
      </c>
      <c r="E220" s="52">
        <f t="shared" si="55"/>
        <v>7</v>
      </c>
      <c r="F220" s="53">
        <f t="shared" si="56"/>
        <v>45857</v>
      </c>
      <c r="G220" s="54" t="str">
        <f t="shared" si="57"/>
        <v>Sat</v>
      </c>
      <c r="H220" s="55"/>
      <c r="I220" s="56"/>
      <c r="J220" s="82"/>
      <c r="K220" s="83"/>
      <c r="L220" s="59">
        <f t="shared" si="51"/>
        <v>251748.25174825176</v>
      </c>
      <c r="M220" s="60">
        <f t="shared" si="52"/>
        <v>-251748.25174825176</v>
      </c>
      <c r="N220" s="61">
        <f t="shared" si="9"/>
        <v>0</v>
      </c>
      <c r="O220" s="80"/>
      <c r="P220" s="59">
        <f>IF(D220=0,0,SUM($L$202:L220))</f>
        <v>4279720.2797202803</v>
      </c>
      <c r="Q220" s="59">
        <f>IF(D220=0,0,SUM($J$202:J220))</f>
        <v>0</v>
      </c>
      <c r="R220" s="63">
        <f t="shared" si="53"/>
        <v>-4279720.2797202803</v>
      </c>
      <c r="S220" s="64">
        <f t="shared" si="58"/>
        <v>0</v>
      </c>
      <c r="T220" s="73"/>
      <c r="U220" s="59">
        <f>IF(D220=0,0,SUM($L$21:L220))</f>
        <v>42041958.041957982</v>
      </c>
      <c r="V220" s="59">
        <f>IF(D220=0,0,SUM($J$21:J220))</f>
        <v>31748860</v>
      </c>
      <c r="W220" s="66">
        <f t="shared" si="54"/>
        <v>-10293098.041957982</v>
      </c>
      <c r="X220" s="67">
        <f t="shared" si="59"/>
        <v>0.75517082168995453</v>
      </c>
      <c r="Y220" s="68">
        <f t="shared" si="60"/>
        <v>45857</v>
      </c>
      <c r="Z220" s="69">
        <f t="shared" si="60"/>
        <v>45857</v>
      </c>
      <c r="AA220" s="1"/>
      <c r="AB220" s="1"/>
      <c r="AC220" s="1"/>
      <c r="AD220" s="1"/>
      <c r="AE220" s="1"/>
      <c r="AF220" s="1"/>
      <c r="AG220" s="1"/>
    </row>
    <row r="221" spans="1:33" ht="20">
      <c r="A221" s="1"/>
      <c r="B221" s="11"/>
      <c r="C221" s="50">
        <v>201</v>
      </c>
      <c r="D221" s="51">
        <v>0</v>
      </c>
      <c r="E221" s="52">
        <f t="shared" si="55"/>
        <v>7</v>
      </c>
      <c r="F221" s="53">
        <f t="shared" si="56"/>
        <v>45858</v>
      </c>
      <c r="G221" s="54" t="str">
        <f t="shared" si="57"/>
        <v>Sun</v>
      </c>
      <c r="H221" s="55"/>
      <c r="I221" s="56"/>
      <c r="J221" s="82"/>
      <c r="K221" s="83"/>
      <c r="L221" s="59">
        <f t="shared" si="51"/>
        <v>0</v>
      </c>
      <c r="M221" s="60">
        <f t="shared" si="52"/>
        <v>0</v>
      </c>
      <c r="N221" s="61" t="str">
        <f t="shared" si="9"/>
        <v>¥0</v>
      </c>
      <c r="O221" s="81"/>
      <c r="P221" s="59">
        <f>IF(D221=0,0,SUM($L$202:L221))</f>
        <v>0</v>
      </c>
      <c r="Q221" s="59">
        <f>IF(D221=0,0,SUM($J$202:J221))</f>
        <v>0</v>
      </c>
      <c r="R221" s="63">
        <f t="shared" si="53"/>
        <v>0</v>
      </c>
      <c r="S221" s="64">
        <f t="shared" si="58"/>
        <v>0</v>
      </c>
      <c r="T221" s="78"/>
      <c r="U221" s="59">
        <f>IF(D221=0,0,SUM($L$21:L221))</f>
        <v>0</v>
      </c>
      <c r="V221" s="59">
        <f>IF(D221=0,0,SUM($J$21:J221))</f>
        <v>0</v>
      </c>
      <c r="W221" s="66">
        <f t="shared" si="54"/>
        <v>0</v>
      </c>
      <c r="X221" s="67">
        <f t="shared" si="59"/>
        <v>0</v>
      </c>
      <c r="Y221" s="68">
        <f t="shared" si="60"/>
        <v>45858</v>
      </c>
      <c r="Z221" s="69">
        <f t="shared" si="60"/>
        <v>45858</v>
      </c>
      <c r="AA221" s="1"/>
      <c r="AB221" s="1"/>
      <c r="AC221" s="1"/>
      <c r="AD221" s="1"/>
      <c r="AE221" s="1"/>
      <c r="AF221" s="1"/>
      <c r="AG221" s="1"/>
    </row>
    <row r="222" spans="1:33" ht="20">
      <c r="A222" s="1"/>
      <c r="B222" s="11"/>
      <c r="C222" s="50">
        <v>202</v>
      </c>
      <c r="D222" s="51">
        <v>0</v>
      </c>
      <c r="E222" s="52">
        <f t="shared" si="55"/>
        <v>7</v>
      </c>
      <c r="F222" s="53">
        <f t="shared" si="56"/>
        <v>45859</v>
      </c>
      <c r="G222" s="54" t="str">
        <f t="shared" si="57"/>
        <v>Mon</v>
      </c>
      <c r="H222" s="55"/>
      <c r="I222" s="56"/>
      <c r="J222" s="82"/>
      <c r="K222" s="83"/>
      <c r="L222" s="59">
        <f t="shared" si="51"/>
        <v>0</v>
      </c>
      <c r="M222" s="60">
        <f t="shared" si="52"/>
        <v>0</v>
      </c>
      <c r="N222" s="61" t="str">
        <f t="shared" si="9"/>
        <v>¥0</v>
      </c>
      <c r="O222" s="81"/>
      <c r="P222" s="59">
        <f>IF(D222=0,0,SUM($L$202:L222))</f>
        <v>0</v>
      </c>
      <c r="Q222" s="59">
        <f>IF(D222=0,0,SUM($J$202:J222))</f>
        <v>0</v>
      </c>
      <c r="R222" s="63">
        <f t="shared" si="53"/>
        <v>0</v>
      </c>
      <c r="S222" s="64">
        <f t="shared" si="58"/>
        <v>0</v>
      </c>
      <c r="T222" s="78"/>
      <c r="U222" s="59">
        <f>IF(D222=0,0,SUM($L$21:L222))</f>
        <v>0</v>
      </c>
      <c r="V222" s="59">
        <f>IF(D222=0,0,SUM($J$21:J222))</f>
        <v>0</v>
      </c>
      <c r="W222" s="66">
        <f t="shared" si="54"/>
        <v>0</v>
      </c>
      <c r="X222" s="67">
        <f t="shared" si="59"/>
        <v>0</v>
      </c>
      <c r="Y222" s="68">
        <f t="shared" si="60"/>
        <v>45859</v>
      </c>
      <c r="Z222" s="69">
        <f t="shared" si="60"/>
        <v>45859</v>
      </c>
      <c r="AA222" s="1"/>
      <c r="AB222" s="1"/>
      <c r="AC222" s="1"/>
      <c r="AD222" s="1"/>
      <c r="AE222" s="1"/>
      <c r="AF222" s="1"/>
      <c r="AG222" s="1"/>
    </row>
    <row r="223" spans="1:33" ht="20">
      <c r="A223" s="1"/>
      <c r="B223" s="11"/>
      <c r="C223" s="50">
        <v>203</v>
      </c>
      <c r="D223" s="51">
        <v>1</v>
      </c>
      <c r="E223" s="52">
        <f t="shared" si="55"/>
        <v>7</v>
      </c>
      <c r="F223" s="53">
        <f t="shared" si="56"/>
        <v>45860</v>
      </c>
      <c r="G223" s="54" t="str">
        <f t="shared" si="57"/>
        <v>Tue</v>
      </c>
      <c r="H223" s="55"/>
      <c r="I223" s="56"/>
      <c r="J223" s="82"/>
      <c r="K223" s="83"/>
      <c r="L223" s="59">
        <f t="shared" si="51"/>
        <v>251748.25174825176</v>
      </c>
      <c r="M223" s="60">
        <f t="shared" si="52"/>
        <v>-251748.25174825176</v>
      </c>
      <c r="N223" s="61">
        <f t="shared" si="9"/>
        <v>0</v>
      </c>
      <c r="O223" s="80"/>
      <c r="P223" s="59">
        <f>IF(D223=0,0,SUM($L$202:L223))</f>
        <v>4531468.531468532</v>
      </c>
      <c r="Q223" s="59">
        <f>IF(D223=0,0,SUM($J$202:J223))</f>
        <v>0</v>
      </c>
      <c r="R223" s="63">
        <f t="shared" si="53"/>
        <v>-4531468.531468532</v>
      </c>
      <c r="S223" s="64">
        <f t="shared" si="58"/>
        <v>0</v>
      </c>
      <c r="T223" s="73"/>
      <c r="U223" s="59">
        <f>IF(D223=0,0,SUM($L$21:L223))</f>
        <v>42293706.293706231</v>
      </c>
      <c r="V223" s="59">
        <f>IF(D223=0,0,SUM($J$21:J223))</f>
        <v>31748860</v>
      </c>
      <c r="W223" s="66">
        <f t="shared" si="54"/>
        <v>-10544846.293706231</v>
      </c>
      <c r="X223" s="67">
        <f t="shared" si="59"/>
        <v>0.75067575727513336</v>
      </c>
      <c r="Y223" s="68">
        <f t="shared" si="60"/>
        <v>45860</v>
      </c>
      <c r="Z223" s="69">
        <f t="shared" si="60"/>
        <v>45860</v>
      </c>
      <c r="AA223" s="1"/>
      <c r="AB223" s="1"/>
      <c r="AC223" s="1"/>
      <c r="AD223" s="1"/>
      <c r="AE223" s="1"/>
      <c r="AF223" s="1"/>
      <c r="AG223" s="1"/>
    </row>
    <row r="224" spans="1:33" ht="20">
      <c r="A224" s="1"/>
      <c r="B224" s="11"/>
      <c r="C224" s="50">
        <v>204</v>
      </c>
      <c r="D224" s="51">
        <v>1</v>
      </c>
      <c r="E224" s="52">
        <f t="shared" si="55"/>
        <v>7</v>
      </c>
      <c r="F224" s="53">
        <f t="shared" si="56"/>
        <v>45861</v>
      </c>
      <c r="G224" s="54" t="str">
        <f t="shared" si="57"/>
        <v>Wed</v>
      </c>
      <c r="H224" s="55"/>
      <c r="I224" s="56"/>
      <c r="J224" s="82"/>
      <c r="K224" s="83"/>
      <c r="L224" s="59">
        <f t="shared" si="51"/>
        <v>251748.25174825176</v>
      </c>
      <c r="M224" s="60">
        <f t="shared" si="52"/>
        <v>-251748.25174825176</v>
      </c>
      <c r="N224" s="61">
        <f t="shared" si="9"/>
        <v>0</v>
      </c>
      <c r="O224" s="80"/>
      <c r="P224" s="59">
        <f>IF(D224=0,0,SUM($L$202:L224))</f>
        <v>4783216.7832167838</v>
      </c>
      <c r="Q224" s="59">
        <f>IF(D224=0,0,SUM($J$202:J224))</f>
        <v>0</v>
      </c>
      <c r="R224" s="63">
        <f t="shared" si="53"/>
        <v>-4783216.7832167838</v>
      </c>
      <c r="S224" s="64">
        <f t="shared" si="58"/>
        <v>0</v>
      </c>
      <c r="T224" s="73"/>
      <c r="U224" s="59">
        <f>IF(D224=0,0,SUM($L$21:L224))</f>
        <v>42545454.54545448</v>
      </c>
      <c r="V224" s="59">
        <f>IF(D224=0,0,SUM($J$21:J224))</f>
        <v>31748860</v>
      </c>
      <c r="W224" s="66">
        <f t="shared" si="54"/>
        <v>-10796594.54545448</v>
      </c>
      <c r="X224" s="67">
        <f t="shared" si="59"/>
        <v>0.74623388888889008</v>
      </c>
      <c r="Y224" s="68">
        <f t="shared" si="60"/>
        <v>45861</v>
      </c>
      <c r="Z224" s="69">
        <f t="shared" si="60"/>
        <v>45861</v>
      </c>
      <c r="AA224" s="1"/>
      <c r="AB224" s="1"/>
      <c r="AC224" s="1"/>
      <c r="AD224" s="1"/>
      <c r="AE224" s="1"/>
      <c r="AF224" s="1"/>
      <c r="AG224" s="1"/>
    </row>
    <row r="225" spans="1:33" ht="20">
      <c r="A225" s="1"/>
      <c r="B225" s="11"/>
      <c r="C225" s="50">
        <v>205</v>
      </c>
      <c r="D225" s="51">
        <v>1</v>
      </c>
      <c r="E225" s="52">
        <f t="shared" si="55"/>
        <v>7</v>
      </c>
      <c r="F225" s="53">
        <f t="shared" si="56"/>
        <v>45862</v>
      </c>
      <c r="G225" s="54" t="str">
        <f t="shared" si="57"/>
        <v>Thu</v>
      </c>
      <c r="H225" s="55"/>
      <c r="I225" s="56"/>
      <c r="J225" s="82"/>
      <c r="K225" s="83"/>
      <c r="L225" s="59">
        <f t="shared" si="51"/>
        <v>251748.25174825176</v>
      </c>
      <c r="M225" s="60">
        <f t="shared" si="52"/>
        <v>-251748.25174825176</v>
      </c>
      <c r="N225" s="61">
        <f t="shared" si="9"/>
        <v>0</v>
      </c>
      <c r="O225" s="80"/>
      <c r="P225" s="59">
        <f>IF(D225=0,0,SUM($L$202:L225))</f>
        <v>5034965.0349650355</v>
      </c>
      <c r="Q225" s="59">
        <f>IF(D225=0,0,SUM($J$202:J225))</f>
        <v>0</v>
      </c>
      <c r="R225" s="63">
        <f t="shared" si="53"/>
        <v>-5034965.0349650355</v>
      </c>
      <c r="S225" s="64">
        <f t="shared" si="58"/>
        <v>0</v>
      </c>
      <c r="T225" s="73"/>
      <c r="U225" s="59">
        <f>IF(D225=0,0,SUM($L$21:L225))</f>
        <v>42797202.797202729</v>
      </c>
      <c r="V225" s="59">
        <f>IF(D225=0,0,SUM($J$21:J225))</f>
        <v>31748860</v>
      </c>
      <c r="W225" s="66">
        <f t="shared" si="54"/>
        <v>-11048342.797202729</v>
      </c>
      <c r="X225" s="67">
        <f t="shared" si="59"/>
        <v>0.74184427777777895</v>
      </c>
      <c r="Y225" s="68">
        <f t="shared" si="60"/>
        <v>45862</v>
      </c>
      <c r="Z225" s="69">
        <f t="shared" si="60"/>
        <v>45862</v>
      </c>
      <c r="AA225" s="1"/>
      <c r="AB225" s="1"/>
      <c r="AC225" s="1"/>
      <c r="AD225" s="1"/>
      <c r="AE225" s="1"/>
      <c r="AF225" s="1"/>
      <c r="AG225" s="1"/>
    </row>
    <row r="226" spans="1:33" ht="20">
      <c r="A226" s="1"/>
      <c r="B226" s="11"/>
      <c r="C226" s="50">
        <v>206</v>
      </c>
      <c r="D226" s="51">
        <v>1</v>
      </c>
      <c r="E226" s="52">
        <f t="shared" si="55"/>
        <v>7</v>
      </c>
      <c r="F226" s="53">
        <f t="shared" si="56"/>
        <v>45863</v>
      </c>
      <c r="G226" s="54" t="str">
        <f t="shared" si="57"/>
        <v>Fri</v>
      </c>
      <c r="H226" s="55"/>
      <c r="I226" s="56"/>
      <c r="J226" s="82"/>
      <c r="K226" s="83"/>
      <c r="L226" s="59">
        <f t="shared" si="51"/>
        <v>251748.25174825176</v>
      </c>
      <c r="M226" s="60">
        <f t="shared" si="52"/>
        <v>-251748.25174825176</v>
      </c>
      <c r="N226" s="61">
        <f t="shared" si="9"/>
        <v>0</v>
      </c>
      <c r="O226" s="80"/>
      <c r="P226" s="59">
        <f>IF(D226=0,0,SUM($L$202:L226))</f>
        <v>5286713.2867132872</v>
      </c>
      <c r="Q226" s="59">
        <f>IF(D226=0,0,SUM($J$202:J226))</f>
        <v>0</v>
      </c>
      <c r="R226" s="63">
        <f t="shared" si="53"/>
        <v>-5286713.2867132872</v>
      </c>
      <c r="S226" s="64">
        <f t="shared" si="58"/>
        <v>0</v>
      </c>
      <c r="T226" s="73"/>
      <c r="U226" s="59">
        <f>IF(D226=0,0,SUM($L$21:L226))</f>
        <v>43048951.048950978</v>
      </c>
      <c r="V226" s="59">
        <f>IF(D226=0,0,SUM($J$21:J226))</f>
        <v>31748860</v>
      </c>
      <c r="W226" s="66">
        <f t="shared" si="54"/>
        <v>-11300091.048950978</v>
      </c>
      <c r="X226" s="67">
        <f t="shared" si="59"/>
        <v>0.73750600714749959</v>
      </c>
      <c r="Y226" s="68">
        <f t="shared" si="60"/>
        <v>45863</v>
      </c>
      <c r="Z226" s="69">
        <f t="shared" si="60"/>
        <v>45863</v>
      </c>
      <c r="AA226" s="1"/>
      <c r="AB226" s="1"/>
      <c r="AC226" s="1"/>
      <c r="AD226" s="1"/>
      <c r="AE226" s="1"/>
      <c r="AF226" s="1"/>
      <c r="AG226" s="1"/>
    </row>
    <row r="227" spans="1:33" ht="20">
      <c r="A227" s="1"/>
      <c r="B227" s="11"/>
      <c r="C227" s="50">
        <v>207</v>
      </c>
      <c r="D227" s="51">
        <v>1</v>
      </c>
      <c r="E227" s="52">
        <f t="shared" si="55"/>
        <v>7</v>
      </c>
      <c r="F227" s="53">
        <f t="shared" si="56"/>
        <v>45864</v>
      </c>
      <c r="G227" s="54" t="str">
        <f t="shared" si="57"/>
        <v>Sat</v>
      </c>
      <c r="H227" s="55"/>
      <c r="I227" s="56"/>
      <c r="J227" s="82"/>
      <c r="K227" s="83"/>
      <c r="L227" s="59">
        <f t="shared" si="51"/>
        <v>251748.25174825176</v>
      </c>
      <c r="M227" s="60">
        <f t="shared" si="52"/>
        <v>-251748.25174825176</v>
      </c>
      <c r="N227" s="61">
        <f t="shared" si="9"/>
        <v>0</v>
      </c>
      <c r="O227" s="80"/>
      <c r="P227" s="59">
        <f>IF(D227=0,0,SUM($L$202:L227))</f>
        <v>5538461.538461539</v>
      </c>
      <c r="Q227" s="59">
        <f>IF(D227=0,0,SUM($J$202:J227))</f>
        <v>0</v>
      </c>
      <c r="R227" s="63">
        <f t="shared" si="53"/>
        <v>-5538461.538461539</v>
      </c>
      <c r="S227" s="64">
        <f t="shared" si="58"/>
        <v>0</v>
      </c>
      <c r="T227" s="73"/>
      <c r="U227" s="59">
        <f>IF(D227=0,0,SUM($L$21:L227))</f>
        <v>43300699.300699227</v>
      </c>
      <c r="V227" s="59">
        <f>IF(D227=0,0,SUM($J$21:J227))</f>
        <v>31748860</v>
      </c>
      <c r="W227" s="66">
        <f t="shared" si="54"/>
        <v>-11551839.300699227</v>
      </c>
      <c r="X227" s="67">
        <f t="shared" si="59"/>
        <v>0.7332181815245491</v>
      </c>
      <c r="Y227" s="68">
        <f t="shared" si="60"/>
        <v>45864</v>
      </c>
      <c r="Z227" s="69">
        <f t="shared" si="60"/>
        <v>45864</v>
      </c>
      <c r="AA227" s="1"/>
      <c r="AB227" s="1"/>
      <c r="AC227" s="1"/>
      <c r="AD227" s="1"/>
      <c r="AE227" s="1"/>
      <c r="AF227" s="1"/>
      <c r="AG227" s="1"/>
    </row>
    <row r="228" spans="1:33" ht="20">
      <c r="A228" s="1"/>
      <c r="B228" s="11"/>
      <c r="C228" s="50">
        <v>208</v>
      </c>
      <c r="D228" s="51">
        <v>0</v>
      </c>
      <c r="E228" s="52">
        <f t="shared" si="55"/>
        <v>7</v>
      </c>
      <c r="F228" s="53">
        <f t="shared" si="56"/>
        <v>45865</v>
      </c>
      <c r="G228" s="54" t="str">
        <f t="shared" si="57"/>
        <v>Sun</v>
      </c>
      <c r="H228" s="55"/>
      <c r="I228" s="56"/>
      <c r="J228" s="82"/>
      <c r="K228" s="83"/>
      <c r="L228" s="59">
        <f t="shared" si="51"/>
        <v>0</v>
      </c>
      <c r="M228" s="60">
        <f t="shared" si="52"/>
        <v>0</v>
      </c>
      <c r="N228" s="61" t="str">
        <f t="shared" si="9"/>
        <v>¥0</v>
      </c>
      <c r="O228" s="81"/>
      <c r="P228" s="59">
        <f>IF(D228=0,0,SUM($L$202:L228))</f>
        <v>0</v>
      </c>
      <c r="Q228" s="59">
        <f>IF(D228=0,0,SUM($J$202:J228))</f>
        <v>0</v>
      </c>
      <c r="R228" s="63">
        <f t="shared" si="53"/>
        <v>0</v>
      </c>
      <c r="S228" s="64">
        <f t="shared" si="58"/>
        <v>0</v>
      </c>
      <c r="T228" s="78"/>
      <c r="U228" s="59">
        <f>IF(D228=0,0,SUM($L$21:L228))</f>
        <v>0</v>
      </c>
      <c r="V228" s="59">
        <f>IF(D228=0,0,SUM($J$21:J228))</f>
        <v>0</v>
      </c>
      <c r="W228" s="66">
        <f t="shared" si="54"/>
        <v>0</v>
      </c>
      <c r="X228" s="67">
        <f t="shared" si="59"/>
        <v>0</v>
      </c>
      <c r="Y228" s="68">
        <f t="shared" si="60"/>
        <v>45865</v>
      </c>
      <c r="Z228" s="69">
        <f t="shared" si="60"/>
        <v>45865</v>
      </c>
      <c r="AA228" s="1"/>
      <c r="AB228" s="1"/>
      <c r="AC228" s="1"/>
      <c r="AD228" s="1"/>
      <c r="AE228" s="1"/>
      <c r="AF228" s="1"/>
      <c r="AG228" s="1"/>
    </row>
    <row r="229" spans="1:33" ht="20">
      <c r="A229" s="1"/>
      <c r="B229" s="11"/>
      <c r="C229" s="50">
        <v>209</v>
      </c>
      <c r="D229" s="51">
        <v>1</v>
      </c>
      <c r="E229" s="52">
        <f t="shared" si="55"/>
        <v>7</v>
      </c>
      <c r="F229" s="53">
        <f t="shared" si="56"/>
        <v>45866</v>
      </c>
      <c r="G229" s="54" t="str">
        <f t="shared" si="57"/>
        <v>Mon</v>
      </c>
      <c r="H229" s="55"/>
      <c r="I229" s="56"/>
      <c r="J229" s="82"/>
      <c r="K229" s="83"/>
      <c r="L229" s="59">
        <f t="shared" si="51"/>
        <v>251748.25174825176</v>
      </c>
      <c r="M229" s="60">
        <f t="shared" si="52"/>
        <v>-251748.25174825176</v>
      </c>
      <c r="N229" s="61">
        <f t="shared" si="9"/>
        <v>0</v>
      </c>
      <c r="O229" s="80"/>
      <c r="P229" s="59">
        <f>IF(D229=0,0,SUM($L$202:L229))</f>
        <v>5790209.7902097907</v>
      </c>
      <c r="Q229" s="59">
        <f>IF(D229=0,0,SUM($J$202:J229))</f>
        <v>0</v>
      </c>
      <c r="R229" s="63">
        <f t="shared" si="53"/>
        <v>-5790209.7902097907</v>
      </c>
      <c r="S229" s="64">
        <f t="shared" si="58"/>
        <v>0</v>
      </c>
      <c r="T229" s="73"/>
      <c r="U229" s="59">
        <f>IF(D229=0,0,SUM($L$21:L229))</f>
        <v>43552447.552447475</v>
      </c>
      <c r="V229" s="59">
        <f>IF(D229=0,0,SUM($J$21:J229))</f>
        <v>31748860</v>
      </c>
      <c r="W229" s="66">
        <f t="shared" si="54"/>
        <v>-11803587.552447475</v>
      </c>
      <c r="X229" s="67">
        <f t="shared" si="59"/>
        <v>0.72897992614001417</v>
      </c>
      <c r="Y229" s="68">
        <f t="shared" si="60"/>
        <v>45866</v>
      </c>
      <c r="Z229" s="69">
        <f t="shared" si="60"/>
        <v>45866</v>
      </c>
      <c r="AA229" s="1"/>
      <c r="AB229" s="1"/>
      <c r="AC229" s="1"/>
      <c r="AD229" s="1"/>
      <c r="AE229" s="1"/>
      <c r="AF229" s="1"/>
      <c r="AG229" s="1"/>
    </row>
    <row r="230" spans="1:33" ht="20">
      <c r="A230" s="1"/>
      <c r="B230" s="11"/>
      <c r="C230" s="50">
        <v>210</v>
      </c>
      <c r="D230" s="51">
        <v>1</v>
      </c>
      <c r="E230" s="52">
        <f t="shared" si="55"/>
        <v>7</v>
      </c>
      <c r="F230" s="53">
        <f t="shared" si="56"/>
        <v>45867</v>
      </c>
      <c r="G230" s="54" t="str">
        <f t="shared" si="57"/>
        <v>Tue</v>
      </c>
      <c r="H230" s="55"/>
      <c r="I230" s="56"/>
      <c r="J230" s="82"/>
      <c r="K230" s="83"/>
      <c r="L230" s="59">
        <f t="shared" si="51"/>
        <v>251748.25174825176</v>
      </c>
      <c r="M230" s="60">
        <f t="shared" si="52"/>
        <v>-251748.25174825176</v>
      </c>
      <c r="N230" s="61">
        <f t="shared" si="9"/>
        <v>0</v>
      </c>
      <c r="O230" s="80"/>
      <c r="P230" s="59">
        <f>IF(D230=0,0,SUM($L$202:L230))</f>
        <v>6041958.0419580424</v>
      </c>
      <c r="Q230" s="59">
        <f>IF(D230=0,0,SUM($J$202:J230))</f>
        <v>0</v>
      </c>
      <c r="R230" s="63">
        <f t="shared" si="53"/>
        <v>-6041958.0419580424</v>
      </c>
      <c r="S230" s="64">
        <f t="shared" si="58"/>
        <v>0</v>
      </c>
      <c r="T230" s="73"/>
      <c r="U230" s="59">
        <f>IF(D230=0,0,SUM($L$21:L230))</f>
        <v>43804195.804195724</v>
      </c>
      <c r="V230" s="59">
        <f>IF(D230=0,0,SUM($J$21:J230))</f>
        <v>31748860</v>
      </c>
      <c r="W230" s="66">
        <f t="shared" si="54"/>
        <v>-12055335.804195724</v>
      </c>
      <c r="X230" s="67">
        <f t="shared" si="59"/>
        <v>0.72479038633461179</v>
      </c>
      <c r="Y230" s="68">
        <f t="shared" si="60"/>
        <v>45867</v>
      </c>
      <c r="Z230" s="69">
        <f t="shared" si="60"/>
        <v>45867</v>
      </c>
      <c r="AA230" s="1"/>
      <c r="AB230" s="1"/>
      <c r="AC230" s="1"/>
      <c r="AD230" s="1"/>
      <c r="AE230" s="1"/>
      <c r="AF230" s="1"/>
      <c r="AG230" s="1"/>
    </row>
    <row r="231" spans="1:33" ht="20">
      <c r="A231" s="1"/>
      <c r="B231" s="11"/>
      <c r="C231" s="50">
        <v>211</v>
      </c>
      <c r="D231" s="51">
        <v>1</v>
      </c>
      <c r="E231" s="52">
        <f t="shared" si="55"/>
        <v>7</v>
      </c>
      <c r="F231" s="53">
        <f t="shared" si="56"/>
        <v>45868</v>
      </c>
      <c r="G231" s="54" t="str">
        <f t="shared" si="57"/>
        <v>Wed</v>
      </c>
      <c r="H231" s="55"/>
      <c r="I231" s="56"/>
      <c r="J231" s="82"/>
      <c r="K231" s="83"/>
      <c r="L231" s="59">
        <f t="shared" si="51"/>
        <v>251748.25174825176</v>
      </c>
      <c r="M231" s="60">
        <f t="shared" si="52"/>
        <v>-251748.25174825176</v>
      </c>
      <c r="N231" s="61">
        <f t="shared" si="9"/>
        <v>0</v>
      </c>
      <c r="O231" s="80"/>
      <c r="P231" s="59">
        <f>IF(D231=0,0,SUM($L$202:L231))</f>
        <v>6293706.2937062941</v>
      </c>
      <c r="Q231" s="59">
        <f>IF(D231=0,0,SUM($J$202:J231))</f>
        <v>0</v>
      </c>
      <c r="R231" s="63">
        <f t="shared" si="53"/>
        <v>-6293706.2937062941</v>
      </c>
      <c r="S231" s="64">
        <f t="shared" si="58"/>
        <v>0</v>
      </c>
      <c r="T231" s="73"/>
      <c r="U231" s="59">
        <f>IF(D231=0,0,SUM($L$21:L231))</f>
        <v>44055944.055943973</v>
      </c>
      <c r="V231" s="59">
        <f>IF(D231=0,0,SUM($J$21:J231))</f>
        <v>31748860</v>
      </c>
      <c r="W231" s="66">
        <f t="shared" si="54"/>
        <v>-12307084.055943973</v>
      </c>
      <c r="X231" s="67">
        <f t="shared" si="59"/>
        <v>0.7206487269841283</v>
      </c>
      <c r="Y231" s="68">
        <f t="shared" ref="Y231:Z246" si="61">Y230+1</f>
        <v>45868</v>
      </c>
      <c r="Z231" s="69">
        <f t="shared" si="61"/>
        <v>45868</v>
      </c>
      <c r="AA231" s="1"/>
      <c r="AB231" s="1"/>
      <c r="AC231" s="1"/>
      <c r="AD231" s="1"/>
      <c r="AE231" s="1"/>
      <c r="AF231" s="1"/>
      <c r="AG231" s="1"/>
    </row>
    <row r="232" spans="1:33" ht="21" thickBot="1">
      <c r="A232" s="1"/>
      <c r="B232" s="11"/>
      <c r="C232" s="100">
        <v>212</v>
      </c>
      <c r="D232" s="85">
        <v>1</v>
      </c>
      <c r="E232" s="501">
        <f t="shared" si="55"/>
        <v>7</v>
      </c>
      <c r="F232" s="101">
        <f t="shared" si="56"/>
        <v>45869</v>
      </c>
      <c r="G232" s="87" t="str">
        <f t="shared" si="57"/>
        <v>Thu</v>
      </c>
      <c r="H232" s="508"/>
      <c r="I232" s="502"/>
      <c r="J232" s="102"/>
      <c r="K232" s="503"/>
      <c r="L232" s="103">
        <f t="shared" si="51"/>
        <v>251748.25174825176</v>
      </c>
      <c r="M232" s="91">
        <f t="shared" si="52"/>
        <v>-251748.25174825176</v>
      </c>
      <c r="N232" s="92">
        <f t="shared" si="9"/>
        <v>0</v>
      </c>
      <c r="O232" s="504"/>
      <c r="P232" s="104">
        <f>IF(D232=0,0,SUM($L$202:L232))</f>
        <v>6545454.5454545459</v>
      </c>
      <c r="Q232" s="103">
        <f>IF(D232=0,0,SUM($J$202:J232))</f>
        <v>0</v>
      </c>
      <c r="R232" s="105">
        <f t="shared" si="53"/>
        <v>-6545454.5454545459</v>
      </c>
      <c r="S232" s="505">
        <f t="shared" si="58"/>
        <v>0</v>
      </c>
      <c r="T232" s="506"/>
      <c r="U232" s="94">
        <f>IF(D232=0,0,SUM($L$21:L232))</f>
        <v>44307692.307692222</v>
      </c>
      <c r="V232" s="90">
        <f>IF(D232=0,0,SUM($J$21:J232))</f>
        <v>31748860</v>
      </c>
      <c r="W232" s="95">
        <f t="shared" si="54"/>
        <v>-12558832.307692222</v>
      </c>
      <c r="X232" s="507">
        <f t="shared" si="59"/>
        <v>0.71655413194444584</v>
      </c>
      <c r="Y232" s="68">
        <f t="shared" si="61"/>
        <v>45869</v>
      </c>
      <c r="Z232" s="69">
        <f t="shared" si="61"/>
        <v>45869</v>
      </c>
      <c r="AA232" s="1"/>
      <c r="AB232" s="1"/>
      <c r="AC232" s="1"/>
      <c r="AD232" s="1"/>
      <c r="AE232" s="1"/>
      <c r="AF232" s="1"/>
      <c r="AG232" s="1"/>
    </row>
    <row r="233" spans="1:33" ht="21" thickTop="1">
      <c r="A233" s="1"/>
      <c r="B233" s="11"/>
      <c r="C233" s="50">
        <v>213</v>
      </c>
      <c r="D233" s="96">
        <v>1</v>
      </c>
      <c r="E233" s="52">
        <f t="shared" si="55"/>
        <v>8</v>
      </c>
      <c r="F233" s="53">
        <f t="shared" si="56"/>
        <v>45870</v>
      </c>
      <c r="G233" s="54" t="str">
        <f t="shared" si="57"/>
        <v>Fri</v>
      </c>
      <c r="H233" s="55"/>
      <c r="I233" s="56"/>
      <c r="J233" s="82"/>
      <c r="K233" s="83"/>
      <c r="L233" s="59">
        <f t="shared" ref="L233:L263" si="62">IF(D233=0,0,$K$14)</f>
        <v>279720.27972027974</v>
      </c>
      <c r="M233" s="63">
        <f t="shared" si="52"/>
        <v>-279720.27972027974</v>
      </c>
      <c r="N233" s="97">
        <f t="shared" si="9"/>
        <v>0</v>
      </c>
      <c r="O233" s="80"/>
      <c r="P233" s="59">
        <f>IF(D233=0,0,$L$233)</f>
        <v>279720.27972027974</v>
      </c>
      <c r="Q233" s="59">
        <f>IF(D233=0,0,$J$233)</f>
        <v>0</v>
      </c>
      <c r="R233" s="63">
        <f t="shared" si="53"/>
        <v>-279720.27972027974</v>
      </c>
      <c r="S233" s="499">
        <f t="shared" si="58"/>
        <v>0</v>
      </c>
      <c r="T233" s="73"/>
      <c r="U233" s="59">
        <f>IF(D233=0,0,SUM($L$21:L233))</f>
        <v>44587412.587412499</v>
      </c>
      <c r="V233" s="59">
        <f>IF(D233=0,0,SUM($J$21:J233))</f>
        <v>31748860</v>
      </c>
      <c r="W233" s="66">
        <f t="shared" si="54"/>
        <v>-12838552.587412499</v>
      </c>
      <c r="X233" s="500">
        <f t="shared" si="59"/>
        <v>0.71205881116687719</v>
      </c>
      <c r="Y233" s="68">
        <f t="shared" si="61"/>
        <v>45870</v>
      </c>
      <c r="Z233" s="69">
        <f t="shared" si="61"/>
        <v>45870</v>
      </c>
      <c r="AA233" s="1"/>
      <c r="AB233" s="1"/>
      <c r="AC233" s="1"/>
      <c r="AD233" s="1"/>
      <c r="AE233" s="1"/>
      <c r="AF233" s="1"/>
      <c r="AG233" s="1"/>
    </row>
    <row r="234" spans="1:33" ht="20">
      <c r="A234" s="1"/>
      <c r="B234" s="11"/>
      <c r="C234" s="50">
        <v>214</v>
      </c>
      <c r="D234" s="51">
        <v>1</v>
      </c>
      <c r="E234" s="52">
        <f t="shared" si="55"/>
        <v>8</v>
      </c>
      <c r="F234" s="53">
        <f t="shared" si="56"/>
        <v>45871</v>
      </c>
      <c r="G234" s="54" t="str">
        <f t="shared" si="57"/>
        <v>Sat</v>
      </c>
      <c r="H234" s="55"/>
      <c r="I234" s="56"/>
      <c r="J234" s="82"/>
      <c r="K234" s="83"/>
      <c r="L234" s="59">
        <f t="shared" si="62"/>
        <v>279720.27972027974</v>
      </c>
      <c r="M234" s="60">
        <f t="shared" si="52"/>
        <v>-279720.27972027974</v>
      </c>
      <c r="N234" s="61">
        <f t="shared" si="9"/>
        <v>0</v>
      </c>
      <c r="O234" s="80"/>
      <c r="P234" s="59">
        <f>IF(D234=0,0,SUM($L$233:L234))</f>
        <v>559440.55944055947</v>
      </c>
      <c r="Q234" s="59">
        <f>IF(D234=0,0,SUM($J$233:J234))</f>
        <v>0</v>
      </c>
      <c r="R234" s="63">
        <f t="shared" si="53"/>
        <v>-559440.55944055947</v>
      </c>
      <c r="S234" s="64">
        <f t="shared" si="58"/>
        <v>0</v>
      </c>
      <c r="T234" s="73"/>
      <c r="U234" s="59">
        <f>IF(D234=0,0,SUM($L$21:L234))</f>
        <v>44867132.867132775</v>
      </c>
      <c r="V234" s="59">
        <f>IF(D234=0,0,SUM($J$21:J234))</f>
        <v>31748860</v>
      </c>
      <c r="W234" s="66">
        <f t="shared" si="54"/>
        <v>-13118272.867132775</v>
      </c>
      <c r="X234" s="67">
        <f t="shared" si="59"/>
        <v>0.70761954177057507</v>
      </c>
      <c r="Y234" s="68">
        <f t="shared" si="61"/>
        <v>45871</v>
      </c>
      <c r="Z234" s="69">
        <f t="shared" si="61"/>
        <v>45871</v>
      </c>
      <c r="AA234" s="1"/>
      <c r="AB234" s="1"/>
      <c r="AC234" s="1"/>
      <c r="AD234" s="1"/>
      <c r="AE234" s="1"/>
      <c r="AF234" s="1"/>
      <c r="AG234" s="1"/>
    </row>
    <row r="235" spans="1:33" ht="20">
      <c r="A235" s="1"/>
      <c r="B235" s="11"/>
      <c r="C235" s="50">
        <v>215</v>
      </c>
      <c r="D235" s="51">
        <v>0</v>
      </c>
      <c r="E235" s="52">
        <f t="shared" si="55"/>
        <v>8</v>
      </c>
      <c r="F235" s="53">
        <f t="shared" si="56"/>
        <v>45872</v>
      </c>
      <c r="G235" s="54" t="str">
        <f t="shared" si="57"/>
        <v>Sun</v>
      </c>
      <c r="H235" s="55"/>
      <c r="I235" s="56"/>
      <c r="J235" s="82"/>
      <c r="K235" s="83"/>
      <c r="L235" s="59">
        <f t="shared" si="62"/>
        <v>0</v>
      </c>
      <c r="M235" s="60">
        <f t="shared" si="52"/>
        <v>0</v>
      </c>
      <c r="N235" s="61" t="str">
        <f t="shared" si="9"/>
        <v>¥0</v>
      </c>
      <c r="O235" s="81"/>
      <c r="P235" s="59">
        <f>IF(D235=0,0,SUM($L$233:L235))</f>
        <v>0</v>
      </c>
      <c r="Q235" s="59">
        <f>IF(D235=0,0,SUM($J$233:J235))</f>
        <v>0</v>
      </c>
      <c r="R235" s="63">
        <f t="shared" si="53"/>
        <v>0</v>
      </c>
      <c r="S235" s="64">
        <f t="shared" si="58"/>
        <v>0</v>
      </c>
      <c r="T235" s="78"/>
      <c r="U235" s="59">
        <f>IF(D235=0,0,SUM($L$21:L235))</f>
        <v>0</v>
      </c>
      <c r="V235" s="59">
        <f>IF(D235=0,0,SUM($J$21:J235))</f>
        <v>0</v>
      </c>
      <c r="W235" s="66">
        <f t="shared" si="54"/>
        <v>0</v>
      </c>
      <c r="X235" s="67">
        <f t="shared" si="59"/>
        <v>0</v>
      </c>
      <c r="Y235" s="68">
        <f t="shared" si="61"/>
        <v>45872</v>
      </c>
      <c r="Z235" s="69">
        <f t="shared" si="61"/>
        <v>45872</v>
      </c>
      <c r="AA235" s="1"/>
      <c r="AB235" s="1"/>
      <c r="AC235" s="1"/>
      <c r="AD235" s="1"/>
      <c r="AE235" s="1"/>
      <c r="AF235" s="1"/>
      <c r="AG235" s="1"/>
    </row>
    <row r="236" spans="1:33" ht="20">
      <c r="A236" s="1"/>
      <c r="B236" s="11"/>
      <c r="C236" s="50">
        <v>216</v>
      </c>
      <c r="D236" s="51">
        <v>1</v>
      </c>
      <c r="E236" s="52">
        <f t="shared" si="55"/>
        <v>8</v>
      </c>
      <c r="F236" s="53">
        <f t="shared" si="56"/>
        <v>45873</v>
      </c>
      <c r="G236" s="54" t="str">
        <f t="shared" si="57"/>
        <v>Mon</v>
      </c>
      <c r="H236" s="55"/>
      <c r="I236" s="56"/>
      <c r="J236" s="82"/>
      <c r="K236" s="83"/>
      <c r="L236" s="59">
        <f t="shared" si="62"/>
        <v>279720.27972027974</v>
      </c>
      <c r="M236" s="60">
        <f t="shared" si="52"/>
        <v>-279720.27972027974</v>
      </c>
      <c r="N236" s="61">
        <f t="shared" si="9"/>
        <v>0</v>
      </c>
      <c r="O236" s="80"/>
      <c r="P236" s="59">
        <f>IF(D236=0,0,SUM($L$233:L236))</f>
        <v>839160.83916083921</v>
      </c>
      <c r="Q236" s="59">
        <f>IF(D236=0,0,SUM($J$233:J236))</f>
        <v>0</v>
      </c>
      <c r="R236" s="63">
        <f t="shared" si="53"/>
        <v>-839160.83916083921</v>
      </c>
      <c r="S236" s="64">
        <f t="shared" si="58"/>
        <v>0</v>
      </c>
      <c r="T236" s="73"/>
      <c r="U236" s="59">
        <f>IF(D236=0,0,SUM($L$21:L236))</f>
        <v>45146853.146853052</v>
      </c>
      <c r="V236" s="59">
        <f>IF(D236=0,0,SUM($J$21:J236))</f>
        <v>31748860</v>
      </c>
      <c r="W236" s="66">
        <f t="shared" si="54"/>
        <v>-13397993.146853052</v>
      </c>
      <c r="X236" s="67">
        <f t="shared" si="59"/>
        <v>0.70323528190830387</v>
      </c>
      <c r="Y236" s="68">
        <f t="shared" si="61"/>
        <v>45873</v>
      </c>
      <c r="Z236" s="69">
        <f t="shared" si="61"/>
        <v>45873</v>
      </c>
      <c r="AA236" s="1"/>
      <c r="AB236" s="1"/>
      <c r="AC236" s="1"/>
      <c r="AD236" s="1"/>
      <c r="AE236" s="1"/>
      <c r="AF236" s="1"/>
      <c r="AG236" s="1"/>
    </row>
    <row r="237" spans="1:33" ht="20">
      <c r="A237" s="1"/>
      <c r="B237" s="11"/>
      <c r="C237" s="50">
        <v>217</v>
      </c>
      <c r="D237" s="51">
        <v>1</v>
      </c>
      <c r="E237" s="52">
        <f t="shared" si="55"/>
        <v>8</v>
      </c>
      <c r="F237" s="53">
        <f t="shared" si="56"/>
        <v>45874</v>
      </c>
      <c r="G237" s="54" t="str">
        <f t="shared" si="57"/>
        <v>Tue</v>
      </c>
      <c r="H237" s="55"/>
      <c r="I237" s="56"/>
      <c r="J237" s="82"/>
      <c r="K237" s="83"/>
      <c r="L237" s="59">
        <f t="shared" si="62"/>
        <v>279720.27972027974</v>
      </c>
      <c r="M237" s="60">
        <f t="shared" si="52"/>
        <v>-279720.27972027974</v>
      </c>
      <c r="N237" s="61">
        <f t="shared" si="9"/>
        <v>0</v>
      </c>
      <c r="O237" s="80"/>
      <c r="P237" s="59">
        <f>IF(D237=0,0,SUM($L$233:L237))</f>
        <v>1118881.1188811189</v>
      </c>
      <c r="Q237" s="59">
        <f>IF(D237=0,0,SUM($J$233:J237))</f>
        <v>0</v>
      </c>
      <c r="R237" s="63">
        <f t="shared" si="53"/>
        <v>-1118881.1188811189</v>
      </c>
      <c r="S237" s="64">
        <f t="shared" si="58"/>
        <v>0</v>
      </c>
      <c r="T237" s="73"/>
      <c r="U237" s="59">
        <f>IF(D237=0,0,SUM($L$21:L237))</f>
        <v>45426573.426573329</v>
      </c>
      <c r="V237" s="59">
        <f>IF(D237=0,0,SUM($J$21:J237))</f>
        <v>31748860</v>
      </c>
      <c r="W237" s="66">
        <f t="shared" si="54"/>
        <v>-13677713.426573329</v>
      </c>
      <c r="X237" s="67">
        <f t="shared" si="59"/>
        <v>0.69890501539409022</v>
      </c>
      <c r="Y237" s="68">
        <f t="shared" si="61"/>
        <v>45874</v>
      </c>
      <c r="Z237" s="69">
        <f t="shared" si="61"/>
        <v>45874</v>
      </c>
      <c r="AA237" s="1"/>
      <c r="AB237" s="1"/>
      <c r="AC237" s="1"/>
      <c r="AD237" s="1"/>
      <c r="AE237" s="1"/>
      <c r="AF237" s="1"/>
      <c r="AG237" s="1"/>
    </row>
    <row r="238" spans="1:33" ht="20">
      <c r="A238" s="1"/>
      <c r="B238" s="11"/>
      <c r="C238" s="50">
        <v>218</v>
      </c>
      <c r="D238" s="51">
        <v>1</v>
      </c>
      <c r="E238" s="52">
        <f t="shared" si="55"/>
        <v>8</v>
      </c>
      <c r="F238" s="53">
        <f t="shared" si="56"/>
        <v>45875</v>
      </c>
      <c r="G238" s="54" t="str">
        <f t="shared" si="57"/>
        <v>Wed</v>
      </c>
      <c r="H238" s="55"/>
      <c r="I238" s="56"/>
      <c r="J238" s="82"/>
      <c r="K238" s="83"/>
      <c r="L238" s="59">
        <f t="shared" si="62"/>
        <v>279720.27972027974</v>
      </c>
      <c r="M238" s="60">
        <f t="shared" si="52"/>
        <v>-279720.27972027974</v>
      </c>
      <c r="N238" s="61">
        <f t="shared" si="9"/>
        <v>0</v>
      </c>
      <c r="O238" s="80"/>
      <c r="P238" s="59">
        <f>IF(D238=0,0,SUM($L$233:L238))</f>
        <v>1398601.3986013988</v>
      </c>
      <c r="Q238" s="59">
        <f>IF(D238=0,0,SUM($J$233:J238))</f>
        <v>0</v>
      </c>
      <c r="R238" s="63">
        <f t="shared" si="53"/>
        <v>-1398601.3986013988</v>
      </c>
      <c r="S238" s="64">
        <f t="shared" si="58"/>
        <v>0</v>
      </c>
      <c r="T238" s="73"/>
      <c r="U238" s="59">
        <f>IF(D238=0,0,SUM($L$21:L238))</f>
        <v>45706293.706293605</v>
      </c>
      <c r="V238" s="59">
        <f>IF(D238=0,0,SUM($J$21:J238))</f>
        <v>31748860</v>
      </c>
      <c r="W238" s="66">
        <f t="shared" si="54"/>
        <v>-13957433.706293605</v>
      </c>
      <c r="X238" s="67">
        <f t="shared" si="59"/>
        <v>0.69462775091799422</v>
      </c>
      <c r="Y238" s="68">
        <f t="shared" si="61"/>
        <v>45875</v>
      </c>
      <c r="Z238" s="69">
        <f t="shared" si="61"/>
        <v>45875</v>
      </c>
      <c r="AA238" s="1"/>
      <c r="AB238" s="1"/>
      <c r="AC238" s="1"/>
      <c r="AD238" s="1"/>
      <c r="AE238" s="1"/>
      <c r="AF238" s="1"/>
      <c r="AG238" s="1"/>
    </row>
    <row r="239" spans="1:33" ht="20">
      <c r="A239" s="1"/>
      <c r="B239" s="11"/>
      <c r="C239" s="50">
        <v>219</v>
      </c>
      <c r="D239" s="51">
        <v>1</v>
      </c>
      <c r="E239" s="52">
        <f t="shared" si="55"/>
        <v>8</v>
      </c>
      <c r="F239" s="53">
        <f t="shared" si="56"/>
        <v>45876</v>
      </c>
      <c r="G239" s="54" t="str">
        <f t="shared" si="57"/>
        <v>Thu</v>
      </c>
      <c r="H239" s="55"/>
      <c r="I239" s="56"/>
      <c r="J239" s="82"/>
      <c r="K239" s="83"/>
      <c r="L239" s="59">
        <f t="shared" si="62"/>
        <v>279720.27972027974</v>
      </c>
      <c r="M239" s="60">
        <f t="shared" si="52"/>
        <v>-279720.27972027974</v>
      </c>
      <c r="N239" s="61">
        <f t="shared" si="9"/>
        <v>0</v>
      </c>
      <c r="O239" s="80"/>
      <c r="P239" s="59">
        <f>IF(D239=0,0,SUM($L$233:L239))</f>
        <v>1678321.6783216787</v>
      </c>
      <c r="Q239" s="59">
        <f>IF(D239=0,0,SUM($J$233:J239))</f>
        <v>0</v>
      </c>
      <c r="R239" s="63">
        <f t="shared" si="53"/>
        <v>-1678321.6783216787</v>
      </c>
      <c r="S239" s="64">
        <f t="shared" si="58"/>
        <v>0</v>
      </c>
      <c r="T239" s="73"/>
      <c r="U239" s="59">
        <f>IF(D239=0,0,SUM($L$21:L239))</f>
        <v>45986013.986013882</v>
      </c>
      <c r="V239" s="59">
        <f>IF(D239=0,0,SUM($J$21:J239))</f>
        <v>31748860</v>
      </c>
      <c r="W239" s="66">
        <f t="shared" si="54"/>
        <v>-14237153.986013882</v>
      </c>
      <c r="X239" s="67">
        <f t="shared" si="59"/>
        <v>0.69040252128953927</v>
      </c>
      <c r="Y239" s="68">
        <f t="shared" si="61"/>
        <v>45876</v>
      </c>
      <c r="Z239" s="69">
        <f t="shared" si="61"/>
        <v>45876</v>
      </c>
      <c r="AA239" s="1"/>
      <c r="AB239" s="1"/>
      <c r="AC239" s="1"/>
      <c r="AD239" s="1"/>
      <c r="AE239" s="1"/>
      <c r="AF239" s="1"/>
      <c r="AG239" s="1"/>
    </row>
    <row r="240" spans="1:33" ht="20">
      <c r="A240" s="1"/>
      <c r="B240" s="11"/>
      <c r="C240" s="50">
        <v>220</v>
      </c>
      <c r="D240" s="51">
        <v>1</v>
      </c>
      <c r="E240" s="52">
        <f t="shared" si="55"/>
        <v>8</v>
      </c>
      <c r="F240" s="53">
        <f t="shared" si="56"/>
        <v>45877</v>
      </c>
      <c r="G240" s="54" t="str">
        <f t="shared" si="57"/>
        <v>Fri</v>
      </c>
      <c r="H240" s="55"/>
      <c r="I240" s="56"/>
      <c r="J240" s="82"/>
      <c r="K240" s="83"/>
      <c r="L240" s="59">
        <f t="shared" si="62"/>
        <v>279720.27972027974</v>
      </c>
      <c r="M240" s="60">
        <f t="shared" si="52"/>
        <v>-279720.27972027974</v>
      </c>
      <c r="N240" s="61">
        <f t="shared" si="9"/>
        <v>0</v>
      </c>
      <c r="O240" s="80"/>
      <c r="P240" s="59">
        <f>IF(D240=0,0,SUM($L$233:L240))</f>
        <v>1958041.9580419585</v>
      </c>
      <c r="Q240" s="59">
        <f>IF(D240=0,0,SUM($J$233:J240))</f>
        <v>0</v>
      </c>
      <c r="R240" s="63">
        <f t="shared" si="53"/>
        <v>-1958041.9580419585</v>
      </c>
      <c r="S240" s="64">
        <f t="shared" si="58"/>
        <v>0</v>
      </c>
      <c r="T240" s="73"/>
      <c r="U240" s="59">
        <f>IF(D240=0,0,SUM($L$21:L240))</f>
        <v>46265734.265734158</v>
      </c>
      <c r="V240" s="59">
        <f>IF(D240=0,0,SUM($J$21:J240))</f>
        <v>31748860</v>
      </c>
      <c r="W240" s="66">
        <f t="shared" si="54"/>
        <v>-14516874.265734158</v>
      </c>
      <c r="X240" s="67">
        <f t="shared" si="59"/>
        <v>0.68622838270858688</v>
      </c>
      <c r="Y240" s="68">
        <f t="shared" si="61"/>
        <v>45877</v>
      </c>
      <c r="Z240" s="69">
        <f t="shared" si="61"/>
        <v>45877</v>
      </c>
      <c r="AA240" s="1"/>
      <c r="AB240" s="1"/>
      <c r="AC240" s="1"/>
      <c r="AD240" s="1"/>
      <c r="AE240" s="1"/>
      <c r="AF240" s="1"/>
      <c r="AG240" s="1"/>
    </row>
    <row r="241" spans="1:33" ht="20">
      <c r="A241" s="1"/>
      <c r="B241" s="11"/>
      <c r="C241" s="50">
        <v>221</v>
      </c>
      <c r="D241" s="51">
        <v>1</v>
      </c>
      <c r="E241" s="52">
        <f t="shared" si="55"/>
        <v>8</v>
      </c>
      <c r="F241" s="53">
        <f t="shared" si="56"/>
        <v>45878</v>
      </c>
      <c r="G241" s="54" t="str">
        <f t="shared" si="57"/>
        <v>Sat</v>
      </c>
      <c r="H241" s="55"/>
      <c r="I241" s="56"/>
      <c r="J241" s="82"/>
      <c r="K241" s="83"/>
      <c r="L241" s="59">
        <f t="shared" si="62"/>
        <v>279720.27972027974</v>
      </c>
      <c r="M241" s="60">
        <f t="shared" si="52"/>
        <v>-279720.27972027974</v>
      </c>
      <c r="N241" s="61">
        <f t="shared" si="9"/>
        <v>0</v>
      </c>
      <c r="O241" s="80"/>
      <c r="P241" s="59">
        <f>IF(D241=0,0,SUM($L$233:L241))</f>
        <v>2237762.2377622384</v>
      </c>
      <c r="Q241" s="59">
        <f>IF(D241=0,0,SUM($J$233:J241))</f>
        <v>0</v>
      </c>
      <c r="R241" s="63">
        <f t="shared" si="53"/>
        <v>-2237762.2377622384</v>
      </c>
      <c r="S241" s="64">
        <f t="shared" si="58"/>
        <v>0</v>
      </c>
      <c r="T241" s="73"/>
      <c r="U241" s="59">
        <f>IF(D241=0,0,SUM($L$21:L241))</f>
        <v>46545454.545454435</v>
      </c>
      <c r="V241" s="59">
        <f>IF(D241=0,0,SUM($J$21:J241))</f>
        <v>31748860</v>
      </c>
      <c r="W241" s="66">
        <f t="shared" si="54"/>
        <v>-14796594.545454435</v>
      </c>
      <c r="X241" s="67">
        <f t="shared" si="59"/>
        <v>0.68210441406250166</v>
      </c>
      <c r="Y241" s="68">
        <f t="shared" si="61"/>
        <v>45878</v>
      </c>
      <c r="Z241" s="69">
        <f t="shared" si="61"/>
        <v>45878</v>
      </c>
      <c r="AA241" s="1"/>
      <c r="AB241" s="1"/>
      <c r="AC241" s="1"/>
      <c r="AD241" s="1"/>
      <c r="AE241" s="1"/>
      <c r="AF241" s="1"/>
      <c r="AG241" s="1"/>
    </row>
    <row r="242" spans="1:33" ht="20">
      <c r="A242" s="1"/>
      <c r="B242" s="11"/>
      <c r="C242" s="50">
        <v>222</v>
      </c>
      <c r="D242" s="51">
        <v>0</v>
      </c>
      <c r="E242" s="52">
        <f t="shared" si="55"/>
        <v>8</v>
      </c>
      <c r="F242" s="53">
        <f t="shared" si="56"/>
        <v>45879</v>
      </c>
      <c r="G242" s="54" t="str">
        <f t="shared" si="57"/>
        <v>Sun</v>
      </c>
      <c r="H242" s="55"/>
      <c r="I242" s="56"/>
      <c r="J242" s="82"/>
      <c r="K242" s="83"/>
      <c r="L242" s="59">
        <f t="shared" si="62"/>
        <v>0</v>
      </c>
      <c r="M242" s="60">
        <f t="shared" si="52"/>
        <v>0</v>
      </c>
      <c r="N242" s="61" t="str">
        <f t="shared" si="9"/>
        <v>¥0</v>
      </c>
      <c r="O242" s="81"/>
      <c r="P242" s="59">
        <f>IF(D242=0,0,SUM($L$233:L242))</f>
        <v>0</v>
      </c>
      <c r="Q242" s="59">
        <f>IF(D242=0,0,SUM($J$233:J242))</f>
        <v>0</v>
      </c>
      <c r="R242" s="63">
        <f t="shared" si="53"/>
        <v>0</v>
      </c>
      <c r="S242" s="64">
        <f t="shared" si="58"/>
        <v>0</v>
      </c>
      <c r="T242" s="78"/>
      <c r="U242" s="59">
        <f>IF(D242=0,0,SUM($L$21:L242))</f>
        <v>0</v>
      </c>
      <c r="V242" s="59">
        <f>IF(D242=0,0,SUM($J$21:J242))</f>
        <v>0</v>
      </c>
      <c r="W242" s="66">
        <f t="shared" si="54"/>
        <v>0</v>
      </c>
      <c r="X242" s="67">
        <f t="shared" si="59"/>
        <v>0</v>
      </c>
      <c r="Y242" s="68">
        <f t="shared" si="61"/>
        <v>45879</v>
      </c>
      <c r="Z242" s="69">
        <f t="shared" si="61"/>
        <v>45879</v>
      </c>
      <c r="AA242" s="1"/>
      <c r="AB242" s="1"/>
      <c r="AC242" s="1"/>
      <c r="AD242" s="1"/>
      <c r="AE242" s="1"/>
      <c r="AF242" s="1"/>
      <c r="AG242" s="1"/>
    </row>
    <row r="243" spans="1:33" ht="20">
      <c r="A243" s="1"/>
      <c r="B243" s="11"/>
      <c r="C243" s="50">
        <v>223</v>
      </c>
      <c r="D243" s="51">
        <v>0</v>
      </c>
      <c r="E243" s="52">
        <f t="shared" si="55"/>
        <v>8</v>
      </c>
      <c r="F243" s="53">
        <f t="shared" si="56"/>
        <v>45880</v>
      </c>
      <c r="G243" s="54" t="str">
        <f t="shared" si="57"/>
        <v>Mon</v>
      </c>
      <c r="H243" s="55"/>
      <c r="I243" s="56"/>
      <c r="J243" s="82"/>
      <c r="K243" s="83"/>
      <c r="L243" s="59">
        <f t="shared" si="62"/>
        <v>0</v>
      </c>
      <c r="M243" s="60">
        <f t="shared" si="52"/>
        <v>0</v>
      </c>
      <c r="N243" s="61" t="str">
        <f t="shared" si="9"/>
        <v>¥0</v>
      </c>
      <c r="O243" s="81"/>
      <c r="P243" s="59">
        <f>IF(D243=0,0,SUM($L$233:L243))</f>
        <v>0</v>
      </c>
      <c r="Q243" s="59">
        <f>IF(D243=0,0,SUM($J$233:J243))</f>
        <v>0</v>
      </c>
      <c r="R243" s="63">
        <f t="shared" si="53"/>
        <v>0</v>
      </c>
      <c r="S243" s="64">
        <f t="shared" si="58"/>
        <v>0</v>
      </c>
      <c r="T243" s="78"/>
      <c r="U243" s="59">
        <f>IF(D243=0,0,SUM($L$21:L243))</f>
        <v>0</v>
      </c>
      <c r="V243" s="59">
        <f>IF(D243=0,0,SUM($J$21:J243))</f>
        <v>0</v>
      </c>
      <c r="W243" s="66">
        <f t="shared" si="54"/>
        <v>0</v>
      </c>
      <c r="X243" s="67">
        <f t="shared" si="59"/>
        <v>0</v>
      </c>
      <c r="Y243" s="68">
        <f t="shared" si="61"/>
        <v>45880</v>
      </c>
      <c r="Z243" s="69">
        <f t="shared" si="61"/>
        <v>45880</v>
      </c>
      <c r="AA243" s="1"/>
      <c r="AB243" s="1"/>
      <c r="AC243" s="1"/>
      <c r="AD243" s="1"/>
      <c r="AE243" s="1"/>
      <c r="AF243" s="1"/>
      <c r="AG243" s="1"/>
    </row>
    <row r="244" spans="1:33" ht="20">
      <c r="A244" s="1"/>
      <c r="B244" s="11"/>
      <c r="C244" s="50">
        <v>224</v>
      </c>
      <c r="D244" s="51">
        <v>0</v>
      </c>
      <c r="E244" s="52">
        <f t="shared" si="55"/>
        <v>8</v>
      </c>
      <c r="F244" s="53">
        <f t="shared" si="56"/>
        <v>45881</v>
      </c>
      <c r="G244" s="54" t="str">
        <f t="shared" si="57"/>
        <v>Tue</v>
      </c>
      <c r="H244" s="55"/>
      <c r="I244" s="56"/>
      <c r="J244" s="82"/>
      <c r="K244" s="83"/>
      <c r="L244" s="59">
        <f t="shared" si="62"/>
        <v>0</v>
      </c>
      <c r="M244" s="60">
        <f t="shared" si="52"/>
        <v>0</v>
      </c>
      <c r="N244" s="61" t="str">
        <f t="shared" si="9"/>
        <v>¥0</v>
      </c>
      <c r="O244" s="81"/>
      <c r="P244" s="59">
        <f>IF(D244=0,0,SUM($L$233:L244))</f>
        <v>0</v>
      </c>
      <c r="Q244" s="59">
        <f>IF(D244=0,0,SUM($J$233:J244))</f>
        <v>0</v>
      </c>
      <c r="R244" s="63">
        <f t="shared" si="53"/>
        <v>0</v>
      </c>
      <c r="S244" s="64">
        <f t="shared" si="58"/>
        <v>0</v>
      </c>
      <c r="T244" s="78"/>
      <c r="U244" s="59">
        <f>IF(D244=0,0,SUM($L$21:L244))</f>
        <v>0</v>
      </c>
      <c r="V244" s="59">
        <f>IF(D244=0,0,SUM($J$21:J244))</f>
        <v>0</v>
      </c>
      <c r="W244" s="66">
        <f t="shared" si="54"/>
        <v>0</v>
      </c>
      <c r="X244" s="67">
        <f t="shared" si="59"/>
        <v>0</v>
      </c>
      <c r="Y244" s="68">
        <f t="shared" si="61"/>
        <v>45881</v>
      </c>
      <c r="Z244" s="69">
        <f t="shared" si="61"/>
        <v>45881</v>
      </c>
      <c r="AA244" s="1"/>
      <c r="AB244" s="1"/>
      <c r="AC244" s="1"/>
      <c r="AD244" s="1"/>
      <c r="AE244" s="1"/>
      <c r="AF244" s="1"/>
      <c r="AG244" s="1"/>
    </row>
    <row r="245" spans="1:33" ht="20">
      <c r="A245" s="1"/>
      <c r="B245" s="11"/>
      <c r="C245" s="50">
        <v>225</v>
      </c>
      <c r="D245" s="51">
        <v>0</v>
      </c>
      <c r="E245" s="52">
        <f t="shared" si="55"/>
        <v>8</v>
      </c>
      <c r="F245" s="53">
        <f t="shared" si="56"/>
        <v>45882</v>
      </c>
      <c r="G245" s="54" t="str">
        <f t="shared" si="57"/>
        <v>Wed</v>
      </c>
      <c r="H245" s="55"/>
      <c r="I245" s="56"/>
      <c r="J245" s="82"/>
      <c r="K245" s="83"/>
      <c r="L245" s="59">
        <f t="shared" si="62"/>
        <v>0</v>
      </c>
      <c r="M245" s="60">
        <f t="shared" si="52"/>
        <v>0</v>
      </c>
      <c r="N245" s="61" t="str">
        <f t="shared" si="9"/>
        <v>¥0</v>
      </c>
      <c r="O245" s="81"/>
      <c r="P245" s="59">
        <f>IF(D245=0,0,SUM($L$233:L245))</f>
        <v>0</v>
      </c>
      <c r="Q245" s="59">
        <f>IF(D245=0,0,SUM($J$233:J245))</f>
        <v>0</v>
      </c>
      <c r="R245" s="63">
        <f t="shared" si="53"/>
        <v>0</v>
      </c>
      <c r="S245" s="64">
        <f t="shared" si="58"/>
        <v>0</v>
      </c>
      <c r="T245" s="78"/>
      <c r="U245" s="59">
        <f>IF(D245=0,0,SUM($L$21:L245))</f>
        <v>0</v>
      </c>
      <c r="V245" s="59">
        <f>IF(D245=0,0,SUM($J$21:J245))</f>
        <v>0</v>
      </c>
      <c r="W245" s="66">
        <f t="shared" si="54"/>
        <v>0</v>
      </c>
      <c r="X245" s="67">
        <f t="shared" si="59"/>
        <v>0</v>
      </c>
      <c r="Y245" s="68">
        <f t="shared" si="61"/>
        <v>45882</v>
      </c>
      <c r="Z245" s="69">
        <f t="shared" si="61"/>
        <v>45882</v>
      </c>
      <c r="AA245" s="1"/>
      <c r="AB245" s="1"/>
      <c r="AC245" s="1"/>
      <c r="AD245" s="1"/>
      <c r="AE245" s="1"/>
      <c r="AF245" s="1"/>
      <c r="AG245" s="1"/>
    </row>
    <row r="246" spans="1:33" ht="20">
      <c r="A246" s="1"/>
      <c r="B246" s="11"/>
      <c r="C246" s="50">
        <v>226</v>
      </c>
      <c r="D246" s="51">
        <v>0</v>
      </c>
      <c r="E246" s="52">
        <f t="shared" si="55"/>
        <v>8</v>
      </c>
      <c r="F246" s="53">
        <f t="shared" si="56"/>
        <v>45883</v>
      </c>
      <c r="G246" s="54" t="str">
        <f t="shared" si="57"/>
        <v>Thu</v>
      </c>
      <c r="H246" s="55"/>
      <c r="I246" s="56"/>
      <c r="J246" s="82"/>
      <c r="K246" s="83"/>
      <c r="L246" s="59">
        <f t="shared" si="62"/>
        <v>0</v>
      </c>
      <c r="M246" s="60">
        <f t="shared" si="52"/>
        <v>0</v>
      </c>
      <c r="N246" s="61" t="str">
        <f t="shared" si="9"/>
        <v>¥0</v>
      </c>
      <c r="O246" s="81"/>
      <c r="P246" s="59">
        <f>IF(D246=0,0,SUM($L$233:L246))</f>
        <v>0</v>
      </c>
      <c r="Q246" s="59">
        <f>IF(D246=0,0,SUM($J$233:J246))</f>
        <v>0</v>
      </c>
      <c r="R246" s="63">
        <f t="shared" si="53"/>
        <v>0</v>
      </c>
      <c r="S246" s="64">
        <f t="shared" si="58"/>
        <v>0</v>
      </c>
      <c r="T246" s="78"/>
      <c r="U246" s="59">
        <f>IF(D246=0,0,SUM($L$21:L246))</f>
        <v>0</v>
      </c>
      <c r="V246" s="59">
        <f>IF(D246=0,0,SUM($J$21:J246))</f>
        <v>0</v>
      </c>
      <c r="W246" s="66">
        <f t="shared" si="54"/>
        <v>0</v>
      </c>
      <c r="X246" s="67">
        <f t="shared" si="59"/>
        <v>0</v>
      </c>
      <c r="Y246" s="68">
        <f t="shared" si="61"/>
        <v>45883</v>
      </c>
      <c r="Z246" s="69">
        <f t="shared" si="61"/>
        <v>45883</v>
      </c>
      <c r="AA246" s="1"/>
      <c r="AB246" s="1"/>
      <c r="AC246" s="1"/>
      <c r="AD246" s="1"/>
      <c r="AE246" s="1"/>
      <c r="AF246" s="1"/>
      <c r="AG246" s="1"/>
    </row>
    <row r="247" spans="1:33" ht="20">
      <c r="A247" s="1"/>
      <c r="B247" s="11"/>
      <c r="C247" s="50">
        <v>227</v>
      </c>
      <c r="D247" s="51">
        <v>0</v>
      </c>
      <c r="E247" s="52">
        <f t="shared" si="55"/>
        <v>8</v>
      </c>
      <c r="F247" s="53">
        <f t="shared" si="56"/>
        <v>45884</v>
      </c>
      <c r="G247" s="54" t="str">
        <f t="shared" si="57"/>
        <v>Fri</v>
      </c>
      <c r="H247" s="55"/>
      <c r="I247" s="56"/>
      <c r="J247" s="82"/>
      <c r="K247" s="83"/>
      <c r="L247" s="59">
        <f t="shared" si="62"/>
        <v>0</v>
      </c>
      <c r="M247" s="60">
        <f t="shared" si="52"/>
        <v>0</v>
      </c>
      <c r="N247" s="61" t="str">
        <f t="shared" si="9"/>
        <v>¥0</v>
      </c>
      <c r="O247" s="81"/>
      <c r="P247" s="59">
        <f>IF(D247=0,0,SUM($L$233:L247))</f>
        <v>0</v>
      </c>
      <c r="Q247" s="59">
        <f>IF(D247=0,0,SUM($J$233:J247))</f>
        <v>0</v>
      </c>
      <c r="R247" s="63">
        <f t="shared" si="53"/>
        <v>0</v>
      </c>
      <c r="S247" s="64">
        <f t="shared" si="58"/>
        <v>0</v>
      </c>
      <c r="T247" s="78"/>
      <c r="U247" s="59">
        <f>IF(D247=0,0,SUM($L$21:L247))</f>
        <v>0</v>
      </c>
      <c r="V247" s="59">
        <f>IF(D247=0,0,SUM($J$21:J247))</f>
        <v>0</v>
      </c>
      <c r="W247" s="66">
        <f t="shared" si="54"/>
        <v>0</v>
      </c>
      <c r="X247" s="67">
        <f t="shared" si="59"/>
        <v>0</v>
      </c>
      <c r="Y247" s="68">
        <f t="shared" ref="Y247:Z262" si="63">Y246+1</f>
        <v>45884</v>
      </c>
      <c r="Z247" s="69">
        <f t="shared" si="63"/>
        <v>45884</v>
      </c>
      <c r="AA247" s="1"/>
      <c r="AB247" s="1"/>
      <c r="AC247" s="1"/>
      <c r="AD247" s="1"/>
      <c r="AE247" s="1"/>
      <c r="AF247" s="1"/>
      <c r="AG247" s="1"/>
    </row>
    <row r="248" spans="1:33" ht="20">
      <c r="A248" s="1"/>
      <c r="B248" s="11"/>
      <c r="C248" s="50">
        <v>228</v>
      </c>
      <c r="D248" s="51">
        <v>0</v>
      </c>
      <c r="E248" s="52">
        <f t="shared" si="55"/>
        <v>8</v>
      </c>
      <c r="F248" s="53">
        <f t="shared" si="56"/>
        <v>45885</v>
      </c>
      <c r="G248" s="54" t="str">
        <f t="shared" si="57"/>
        <v>Sat</v>
      </c>
      <c r="H248" s="55"/>
      <c r="I248" s="56"/>
      <c r="J248" s="82"/>
      <c r="K248" s="83"/>
      <c r="L248" s="59">
        <f t="shared" si="62"/>
        <v>0</v>
      </c>
      <c r="M248" s="60">
        <f t="shared" si="52"/>
        <v>0</v>
      </c>
      <c r="N248" s="61" t="str">
        <f t="shared" si="9"/>
        <v>¥0</v>
      </c>
      <c r="O248" s="81"/>
      <c r="P248" s="59">
        <f>IF(D248=0,0,SUM($L$233:L248))</f>
        <v>0</v>
      </c>
      <c r="Q248" s="59">
        <f>IF(D248=0,0,SUM($J$233:J248))</f>
        <v>0</v>
      </c>
      <c r="R248" s="63">
        <f t="shared" si="53"/>
        <v>0</v>
      </c>
      <c r="S248" s="64">
        <f t="shared" si="58"/>
        <v>0</v>
      </c>
      <c r="T248" s="78"/>
      <c r="U248" s="59">
        <f>IF(D248=0,0,SUM($L$21:L248))</f>
        <v>0</v>
      </c>
      <c r="V248" s="59">
        <f>IF(D248=0,0,SUM($J$21:J248))</f>
        <v>0</v>
      </c>
      <c r="W248" s="66">
        <f t="shared" si="54"/>
        <v>0</v>
      </c>
      <c r="X248" s="67">
        <f t="shared" si="59"/>
        <v>0</v>
      </c>
      <c r="Y248" s="68">
        <f t="shared" si="63"/>
        <v>45885</v>
      </c>
      <c r="Z248" s="69">
        <f t="shared" si="63"/>
        <v>45885</v>
      </c>
      <c r="AA248" s="1"/>
      <c r="AB248" s="1"/>
      <c r="AC248" s="1"/>
      <c r="AD248" s="1"/>
      <c r="AE248" s="1"/>
      <c r="AF248" s="1"/>
      <c r="AG248" s="1"/>
    </row>
    <row r="249" spans="1:33" ht="20">
      <c r="A249" s="1"/>
      <c r="B249" s="11"/>
      <c r="C249" s="50">
        <v>229</v>
      </c>
      <c r="D249" s="51">
        <v>0</v>
      </c>
      <c r="E249" s="52">
        <f t="shared" si="55"/>
        <v>8</v>
      </c>
      <c r="F249" s="53">
        <f t="shared" si="56"/>
        <v>45886</v>
      </c>
      <c r="G249" s="54" t="str">
        <f t="shared" si="57"/>
        <v>Sun</v>
      </c>
      <c r="H249" s="55"/>
      <c r="I249" s="56"/>
      <c r="J249" s="82"/>
      <c r="K249" s="83"/>
      <c r="L249" s="59">
        <f t="shared" si="62"/>
        <v>0</v>
      </c>
      <c r="M249" s="60">
        <f t="shared" si="52"/>
        <v>0</v>
      </c>
      <c r="N249" s="61" t="str">
        <f t="shared" si="9"/>
        <v>¥0</v>
      </c>
      <c r="O249" s="81"/>
      <c r="P249" s="59">
        <f>IF(D249=0,0,SUM($L$233:L249))</f>
        <v>0</v>
      </c>
      <c r="Q249" s="59">
        <f>IF(D249=0,0,SUM($J$233:J249))</f>
        <v>0</v>
      </c>
      <c r="R249" s="63">
        <f t="shared" si="53"/>
        <v>0</v>
      </c>
      <c r="S249" s="64">
        <f t="shared" si="58"/>
        <v>0</v>
      </c>
      <c r="T249" s="78"/>
      <c r="U249" s="59">
        <f>IF(D249=0,0,SUM($L$21:L249))</f>
        <v>0</v>
      </c>
      <c r="V249" s="59">
        <f>IF(D249=0,0,SUM($J$21:J249))</f>
        <v>0</v>
      </c>
      <c r="W249" s="66">
        <f t="shared" si="54"/>
        <v>0</v>
      </c>
      <c r="X249" s="67">
        <f t="shared" si="59"/>
        <v>0</v>
      </c>
      <c r="Y249" s="68">
        <f t="shared" si="63"/>
        <v>45886</v>
      </c>
      <c r="Z249" s="69">
        <f t="shared" si="63"/>
        <v>45886</v>
      </c>
      <c r="AA249" s="1"/>
      <c r="AB249" s="1"/>
      <c r="AC249" s="1"/>
      <c r="AD249" s="1"/>
      <c r="AE249" s="1"/>
      <c r="AF249" s="1"/>
      <c r="AG249" s="1"/>
    </row>
    <row r="250" spans="1:33" ht="20">
      <c r="A250" s="1"/>
      <c r="B250" s="11"/>
      <c r="C250" s="50">
        <v>230</v>
      </c>
      <c r="D250" s="51">
        <v>1</v>
      </c>
      <c r="E250" s="52">
        <f t="shared" si="55"/>
        <v>8</v>
      </c>
      <c r="F250" s="53">
        <f t="shared" si="56"/>
        <v>45887</v>
      </c>
      <c r="G250" s="54" t="str">
        <f t="shared" si="57"/>
        <v>Mon</v>
      </c>
      <c r="H250" s="55"/>
      <c r="I250" s="56"/>
      <c r="J250" s="82"/>
      <c r="K250" s="83"/>
      <c r="L250" s="59">
        <f t="shared" si="62"/>
        <v>279720.27972027974</v>
      </c>
      <c r="M250" s="60">
        <f t="shared" si="52"/>
        <v>-279720.27972027974</v>
      </c>
      <c r="N250" s="61">
        <f t="shared" si="9"/>
        <v>0</v>
      </c>
      <c r="O250" s="80"/>
      <c r="P250" s="59">
        <f>IF(D250=0,0,SUM($L$233:L250))</f>
        <v>2517482.5174825182</v>
      </c>
      <c r="Q250" s="59">
        <f>IF(D250=0,0,SUM($J$233:J250))</f>
        <v>0</v>
      </c>
      <c r="R250" s="63">
        <f t="shared" si="53"/>
        <v>-2517482.5174825182</v>
      </c>
      <c r="S250" s="64">
        <f t="shared" si="58"/>
        <v>0</v>
      </c>
      <c r="T250" s="73"/>
      <c r="U250" s="59">
        <f>IF(D250=0,0,SUM($L$21:L250))</f>
        <v>46825174.825174712</v>
      </c>
      <c r="V250" s="59">
        <f>IF(D250=0,0,SUM($J$21:J250))</f>
        <v>31748860</v>
      </c>
      <c r="W250" s="66">
        <f t="shared" si="54"/>
        <v>-15076314.825174712</v>
      </c>
      <c r="X250" s="67">
        <f t="shared" si="59"/>
        <v>0.67802971624850816</v>
      </c>
      <c r="Y250" s="68">
        <f t="shared" si="63"/>
        <v>45887</v>
      </c>
      <c r="Z250" s="69">
        <f t="shared" si="63"/>
        <v>45887</v>
      </c>
      <c r="AA250" s="1"/>
      <c r="AB250" s="1"/>
      <c r="AC250" s="1"/>
      <c r="AD250" s="1"/>
      <c r="AE250" s="1"/>
      <c r="AF250" s="1"/>
      <c r="AG250" s="1"/>
    </row>
    <row r="251" spans="1:33" ht="20">
      <c r="A251" s="1"/>
      <c r="B251" s="11"/>
      <c r="C251" s="50">
        <v>231</v>
      </c>
      <c r="D251" s="51">
        <v>1</v>
      </c>
      <c r="E251" s="52">
        <f t="shared" si="55"/>
        <v>8</v>
      </c>
      <c r="F251" s="53">
        <f t="shared" si="56"/>
        <v>45888</v>
      </c>
      <c r="G251" s="54" t="str">
        <f t="shared" si="57"/>
        <v>Tue</v>
      </c>
      <c r="H251" s="55"/>
      <c r="I251" s="56"/>
      <c r="J251" s="82"/>
      <c r="K251" s="83"/>
      <c r="L251" s="59">
        <f t="shared" si="62"/>
        <v>279720.27972027974</v>
      </c>
      <c r="M251" s="60">
        <f t="shared" si="52"/>
        <v>-279720.27972027974</v>
      </c>
      <c r="N251" s="61">
        <f t="shared" si="9"/>
        <v>0</v>
      </c>
      <c r="O251" s="80"/>
      <c r="P251" s="59">
        <f>IF(D251=0,0,SUM($L$233:L251))</f>
        <v>2797202.7972027981</v>
      </c>
      <c r="Q251" s="59">
        <f>IF(D251=0,0,SUM($J$233:J251))</f>
        <v>0</v>
      </c>
      <c r="R251" s="63">
        <f t="shared" si="53"/>
        <v>-2797202.7972027981</v>
      </c>
      <c r="S251" s="64">
        <f t="shared" si="58"/>
        <v>0</v>
      </c>
      <c r="T251" s="73"/>
      <c r="U251" s="59">
        <f>IF(D251=0,0,SUM($L$21:L251))</f>
        <v>47104895.104894988</v>
      </c>
      <c r="V251" s="59">
        <f>IF(D251=0,0,SUM($J$21:J251))</f>
        <v>31748860</v>
      </c>
      <c r="W251" s="66">
        <f t="shared" si="54"/>
        <v>-15356035.104894988</v>
      </c>
      <c r="X251" s="67">
        <f t="shared" si="59"/>
        <v>0.67400341152019172</v>
      </c>
      <c r="Y251" s="68">
        <f t="shared" si="63"/>
        <v>45888</v>
      </c>
      <c r="Z251" s="69">
        <f t="shared" si="63"/>
        <v>45888</v>
      </c>
      <c r="AA251" s="1"/>
      <c r="AB251" s="1"/>
      <c r="AC251" s="1"/>
      <c r="AD251" s="1"/>
      <c r="AE251" s="1"/>
      <c r="AF251" s="1"/>
      <c r="AG251" s="1"/>
    </row>
    <row r="252" spans="1:33" ht="20">
      <c r="A252" s="1"/>
      <c r="B252" s="11"/>
      <c r="C252" s="50">
        <v>232</v>
      </c>
      <c r="D252" s="51">
        <v>1</v>
      </c>
      <c r="E252" s="52">
        <f t="shared" si="55"/>
        <v>8</v>
      </c>
      <c r="F252" s="53">
        <f t="shared" si="56"/>
        <v>45889</v>
      </c>
      <c r="G252" s="54" t="str">
        <f t="shared" si="57"/>
        <v>Wed</v>
      </c>
      <c r="H252" s="55"/>
      <c r="I252" s="56"/>
      <c r="J252" s="82"/>
      <c r="K252" s="83"/>
      <c r="L252" s="59">
        <f t="shared" si="62"/>
        <v>279720.27972027974</v>
      </c>
      <c r="M252" s="60">
        <f t="shared" si="52"/>
        <v>-279720.27972027974</v>
      </c>
      <c r="N252" s="61">
        <f t="shared" si="9"/>
        <v>0</v>
      </c>
      <c r="O252" s="80"/>
      <c r="P252" s="59">
        <f>IF(D252=0,0,SUM($L$233:L252))</f>
        <v>3076923.0769230779</v>
      </c>
      <c r="Q252" s="59">
        <f>IF(D252=0,0,SUM($J$233:J252))</f>
        <v>0</v>
      </c>
      <c r="R252" s="63">
        <f t="shared" si="53"/>
        <v>-3076923.0769230779</v>
      </c>
      <c r="S252" s="64">
        <f t="shared" si="58"/>
        <v>0</v>
      </c>
      <c r="T252" s="73"/>
      <c r="U252" s="59">
        <f>IF(D252=0,0,SUM($L$21:L252))</f>
        <v>47384615.384615265</v>
      </c>
      <c r="V252" s="59">
        <f>IF(D252=0,0,SUM($J$21:J252))</f>
        <v>31748860</v>
      </c>
      <c r="W252" s="66">
        <f t="shared" si="54"/>
        <v>-15635755.384615265</v>
      </c>
      <c r="X252" s="67">
        <f t="shared" si="59"/>
        <v>0.67002464285714458</v>
      </c>
      <c r="Y252" s="68">
        <f t="shared" si="63"/>
        <v>45889</v>
      </c>
      <c r="Z252" s="69">
        <f t="shared" si="63"/>
        <v>45889</v>
      </c>
      <c r="AA252" s="1"/>
      <c r="AB252" s="1"/>
      <c r="AC252" s="1"/>
      <c r="AD252" s="1"/>
      <c r="AE252" s="1"/>
      <c r="AF252" s="1"/>
      <c r="AG252" s="1"/>
    </row>
    <row r="253" spans="1:33" ht="20">
      <c r="A253" s="1"/>
      <c r="B253" s="11"/>
      <c r="C253" s="50">
        <v>233</v>
      </c>
      <c r="D253" s="51">
        <v>1</v>
      </c>
      <c r="E253" s="52">
        <f t="shared" si="55"/>
        <v>8</v>
      </c>
      <c r="F253" s="53">
        <f t="shared" si="56"/>
        <v>45890</v>
      </c>
      <c r="G253" s="54" t="str">
        <f t="shared" si="57"/>
        <v>Thu</v>
      </c>
      <c r="H253" s="55"/>
      <c r="I253" s="56"/>
      <c r="J253" s="82"/>
      <c r="K253" s="83"/>
      <c r="L253" s="59">
        <f t="shared" si="62"/>
        <v>279720.27972027974</v>
      </c>
      <c r="M253" s="60">
        <f t="shared" si="52"/>
        <v>-279720.27972027974</v>
      </c>
      <c r="N253" s="61">
        <f t="shared" si="9"/>
        <v>0</v>
      </c>
      <c r="O253" s="80"/>
      <c r="P253" s="59">
        <f>IF(D253=0,0,SUM($L$233:L253))</f>
        <v>3356643.3566433578</v>
      </c>
      <c r="Q253" s="59">
        <f>IF(D253=0,0,SUM($J$233:J253))</f>
        <v>0</v>
      </c>
      <c r="R253" s="63">
        <f t="shared" si="53"/>
        <v>-3356643.3566433578</v>
      </c>
      <c r="S253" s="64">
        <f t="shared" si="58"/>
        <v>0</v>
      </c>
      <c r="T253" s="73"/>
      <c r="U253" s="59">
        <f>IF(D253=0,0,SUM($L$21:L253))</f>
        <v>47664335.664335541</v>
      </c>
      <c r="V253" s="59">
        <f>IF(D253=0,0,SUM($J$21:J253))</f>
        <v>31748860</v>
      </c>
      <c r="W253" s="66">
        <f t="shared" si="54"/>
        <v>-15915475.664335541</v>
      </c>
      <c r="X253" s="67">
        <f t="shared" si="59"/>
        <v>0.66609257335680927</v>
      </c>
      <c r="Y253" s="68">
        <f t="shared" si="63"/>
        <v>45890</v>
      </c>
      <c r="Z253" s="69">
        <f t="shared" si="63"/>
        <v>45890</v>
      </c>
      <c r="AA253" s="1"/>
      <c r="AB253" s="1"/>
      <c r="AC253" s="1"/>
      <c r="AD253" s="1"/>
      <c r="AE253" s="1"/>
      <c r="AF253" s="1"/>
      <c r="AG253" s="1"/>
    </row>
    <row r="254" spans="1:33" ht="20">
      <c r="A254" s="1"/>
      <c r="B254" s="11"/>
      <c r="C254" s="50">
        <v>234</v>
      </c>
      <c r="D254" s="51">
        <v>1</v>
      </c>
      <c r="E254" s="52">
        <f t="shared" si="55"/>
        <v>8</v>
      </c>
      <c r="F254" s="53">
        <f t="shared" si="56"/>
        <v>45891</v>
      </c>
      <c r="G254" s="54" t="str">
        <f t="shared" si="57"/>
        <v>Fri</v>
      </c>
      <c r="H254" s="55"/>
      <c r="I254" s="56"/>
      <c r="J254" s="82"/>
      <c r="K254" s="83"/>
      <c r="L254" s="59">
        <f t="shared" si="62"/>
        <v>279720.27972027974</v>
      </c>
      <c r="M254" s="60">
        <f t="shared" si="52"/>
        <v>-279720.27972027974</v>
      </c>
      <c r="N254" s="61">
        <f t="shared" si="9"/>
        <v>0</v>
      </c>
      <c r="O254" s="80"/>
      <c r="P254" s="59">
        <f>IF(D254=0,0,SUM($L$233:L254))</f>
        <v>3636363.6363636376</v>
      </c>
      <c r="Q254" s="59">
        <f>IF(D254=0,0,SUM($J$233:J254))</f>
        <v>0</v>
      </c>
      <c r="R254" s="63">
        <f t="shared" si="53"/>
        <v>-3636363.6363636376</v>
      </c>
      <c r="S254" s="64">
        <f t="shared" si="58"/>
        <v>0</v>
      </c>
      <c r="T254" s="73"/>
      <c r="U254" s="59">
        <f>IF(D254=0,0,SUM($L$21:L254))</f>
        <v>47944055.944055818</v>
      </c>
      <c r="V254" s="59">
        <f>IF(D254=0,0,SUM($J$21:J254))</f>
        <v>31748860</v>
      </c>
      <c r="W254" s="66">
        <f t="shared" si="54"/>
        <v>-16195195.944055818</v>
      </c>
      <c r="X254" s="67">
        <f t="shared" si="59"/>
        <v>0.6622063856476097</v>
      </c>
      <c r="Y254" s="68">
        <f t="shared" si="63"/>
        <v>45891</v>
      </c>
      <c r="Z254" s="69">
        <f t="shared" si="63"/>
        <v>45891</v>
      </c>
      <c r="AA254" s="1"/>
      <c r="AB254" s="1"/>
      <c r="AC254" s="1"/>
      <c r="AD254" s="1"/>
      <c r="AE254" s="1"/>
      <c r="AF254" s="1"/>
      <c r="AG254" s="1"/>
    </row>
    <row r="255" spans="1:33" ht="20">
      <c r="A255" s="1"/>
      <c r="B255" s="11"/>
      <c r="C255" s="50">
        <v>235</v>
      </c>
      <c r="D255" s="51">
        <v>1</v>
      </c>
      <c r="E255" s="52">
        <f t="shared" si="55"/>
        <v>8</v>
      </c>
      <c r="F255" s="53">
        <f t="shared" si="56"/>
        <v>45892</v>
      </c>
      <c r="G255" s="54" t="str">
        <f t="shared" si="57"/>
        <v>Sat</v>
      </c>
      <c r="H255" s="55"/>
      <c r="I255" s="56"/>
      <c r="J255" s="82"/>
      <c r="K255" s="83"/>
      <c r="L255" s="59">
        <f t="shared" si="62"/>
        <v>279720.27972027974</v>
      </c>
      <c r="M255" s="60">
        <f t="shared" si="52"/>
        <v>-279720.27972027974</v>
      </c>
      <c r="N255" s="61">
        <f t="shared" si="9"/>
        <v>0</v>
      </c>
      <c r="O255" s="80"/>
      <c r="P255" s="59">
        <f>IF(D255=0,0,SUM($L$233:L255))</f>
        <v>3916083.9160839175</v>
      </c>
      <c r="Q255" s="59">
        <f>IF(D255=0,0,SUM($J$233:J255))</f>
        <v>0</v>
      </c>
      <c r="R255" s="63">
        <f t="shared" si="53"/>
        <v>-3916083.9160839175</v>
      </c>
      <c r="S255" s="64">
        <f t="shared" si="58"/>
        <v>0</v>
      </c>
      <c r="T255" s="73"/>
      <c r="U255" s="59">
        <f>IF(D255=0,0,SUM($L$21:L255))</f>
        <v>48223776.223776095</v>
      </c>
      <c r="V255" s="59">
        <f>IF(D255=0,0,SUM($J$21:J255))</f>
        <v>31748860</v>
      </c>
      <c r="W255" s="66">
        <f t="shared" si="54"/>
        <v>-16474916.223776095</v>
      </c>
      <c r="X255" s="67">
        <f t="shared" si="59"/>
        <v>0.6583652813225076</v>
      </c>
      <c r="Y255" s="68">
        <f t="shared" si="63"/>
        <v>45892</v>
      </c>
      <c r="Z255" s="69">
        <f t="shared" si="63"/>
        <v>45892</v>
      </c>
      <c r="AA255" s="1"/>
      <c r="AB255" s="1"/>
      <c r="AC255" s="1"/>
      <c r="AD255" s="1"/>
      <c r="AE255" s="1"/>
      <c r="AF255" s="1"/>
      <c r="AG255" s="1"/>
    </row>
    <row r="256" spans="1:33" ht="20">
      <c r="A256" s="1"/>
      <c r="B256" s="11"/>
      <c r="C256" s="50">
        <v>236</v>
      </c>
      <c r="D256" s="51">
        <v>0</v>
      </c>
      <c r="E256" s="52">
        <f t="shared" si="55"/>
        <v>8</v>
      </c>
      <c r="F256" s="53">
        <f t="shared" si="56"/>
        <v>45893</v>
      </c>
      <c r="G256" s="54" t="str">
        <f t="shared" si="57"/>
        <v>Sun</v>
      </c>
      <c r="H256" s="55"/>
      <c r="I256" s="56"/>
      <c r="J256" s="82"/>
      <c r="K256" s="83"/>
      <c r="L256" s="59">
        <f t="shared" si="62"/>
        <v>0</v>
      </c>
      <c r="M256" s="60">
        <f t="shared" si="52"/>
        <v>0</v>
      </c>
      <c r="N256" s="61" t="str">
        <f t="shared" si="9"/>
        <v>¥0</v>
      </c>
      <c r="O256" s="81"/>
      <c r="P256" s="59">
        <f>IF(D256=0,0,SUM($L$233:L256))</f>
        <v>0</v>
      </c>
      <c r="Q256" s="59">
        <f>IF(D256=0,0,SUM($J$233:J256))</f>
        <v>0</v>
      </c>
      <c r="R256" s="63">
        <f t="shared" si="53"/>
        <v>0</v>
      </c>
      <c r="S256" s="64">
        <f t="shared" si="58"/>
        <v>0</v>
      </c>
      <c r="T256" s="78"/>
      <c r="U256" s="59">
        <f>IF(D256=0,0,SUM($L$21:L256))</f>
        <v>0</v>
      </c>
      <c r="V256" s="59">
        <f>IF(D256=0,0,SUM($J$21:J256))</f>
        <v>0</v>
      </c>
      <c r="W256" s="66">
        <f t="shared" si="54"/>
        <v>0</v>
      </c>
      <c r="X256" s="67">
        <f t="shared" si="59"/>
        <v>0</v>
      </c>
      <c r="Y256" s="68">
        <f t="shared" si="63"/>
        <v>45893</v>
      </c>
      <c r="Z256" s="69">
        <f t="shared" si="63"/>
        <v>45893</v>
      </c>
      <c r="AA256" s="1"/>
      <c r="AB256" s="1"/>
      <c r="AC256" s="1"/>
      <c r="AD256" s="1"/>
      <c r="AE256" s="1"/>
      <c r="AF256" s="1"/>
      <c r="AG256" s="1"/>
    </row>
    <row r="257" spans="1:33" ht="20">
      <c r="A257" s="1"/>
      <c r="B257" s="11"/>
      <c r="C257" s="50">
        <v>237</v>
      </c>
      <c r="D257" s="51">
        <v>1</v>
      </c>
      <c r="E257" s="52">
        <f t="shared" si="55"/>
        <v>8</v>
      </c>
      <c r="F257" s="53">
        <f t="shared" si="56"/>
        <v>45894</v>
      </c>
      <c r="G257" s="54" t="str">
        <f t="shared" si="57"/>
        <v>Mon</v>
      </c>
      <c r="H257" s="55"/>
      <c r="I257" s="56"/>
      <c r="J257" s="82"/>
      <c r="K257" s="83"/>
      <c r="L257" s="59">
        <f t="shared" si="62"/>
        <v>279720.27972027974</v>
      </c>
      <c r="M257" s="60">
        <f t="shared" si="52"/>
        <v>-279720.27972027974</v>
      </c>
      <c r="N257" s="61">
        <f t="shared" si="9"/>
        <v>0</v>
      </c>
      <c r="O257" s="80"/>
      <c r="P257" s="59">
        <f>IF(D257=0,0,SUM($L$233:L257))</f>
        <v>4195804.1958041973</v>
      </c>
      <c r="Q257" s="59">
        <f>IF(D257=0,0,SUM($J$233:J257))</f>
        <v>0</v>
      </c>
      <c r="R257" s="63">
        <f t="shared" si="53"/>
        <v>-4195804.1958041973</v>
      </c>
      <c r="S257" s="64">
        <f t="shared" si="58"/>
        <v>0</v>
      </c>
      <c r="T257" s="73"/>
      <c r="U257" s="59">
        <f>IF(D257=0,0,SUM($L$21:L257))</f>
        <v>48503496.503496371</v>
      </c>
      <c r="V257" s="59">
        <f>IF(D257=0,0,SUM($J$21:J257))</f>
        <v>31748860</v>
      </c>
      <c r="W257" s="66">
        <f t="shared" si="54"/>
        <v>-16754636.503496371</v>
      </c>
      <c r="X257" s="67">
        <f t="shared" si="59"/>
        <v>0.65456848039215865</v>
      </c>
      <c r="Y257" s="68">
        <f t="shared" si="63"/>
        <v>45894</v>
      </c>
      <c r="Z257" s="69">
        <f t="shared" si="63"/>
        <v>45894</v>
      </c>
      <c r="AA257" s="1"/>
      <c r="AB257" s="1"/>
      <c r="AC257" s="1"/>
      <c r="AD257" s="1"/>
      <c r="AE257" s="1"/>
      <c r="AF257" s="1"/>
      <c r="AG257" s="1"/>
    </row>
    <row r="258" spans="1:33" ht="20">
      <c r="A258" s="1"/>
      <c r="B258" s="11"/>
      <c r="C258" s="50">
        <v>238</v>
      </c>
      <c r="D258" s="51">
        <v>1</v>
      </c>
      <c r="E258" s="52">
        <f t="shared" si="55"/>
        <v>8</v>
      </c>
      <c r="F258" s="53">
        <f t="shared" si="56"/>
        <v>45895</v>
      </c>
      <c r="G258" s="54" t="str">
        <f t="shared" si="57"/>
        <v>Tue</v>
      </c>
      <c r="H258" s="55"/>
      <c r="I258" s="56"/>
      <c r="J258" s="82"/>
      <c r="K258" s="83"/>
      <c r="L258" s="59">
        <f t="shared" si="62"/>
        <v>279720.27972027974</v>
      </c>
      <c r="M258" s="60">
        <f t="shared" si="52"/>
        <v>-279720.27972027974</v>
      </c>
      <c r="N258" s="61">
        <f t="shared" si="9"/>
        <v>0</v>
      </c>
      <c r="O258" s="80"/>
      <c r="P258" s="59">
        <f>IF(D258=0,0,SUM($L$233:L258))</f>
        <v>4475524.4755244767</v>
      </c>
      <c r="Q258" s="59">
        <f>IF(D258=0,0,SUM($J$233:J258))</f>
        <v>0</v>
      </c>
      <c r="R258" s="63">
        <f t="shared" si="53"/>
        <v>-4475524.4755244767</v>
      </c>
      <c r="S258" s="64">
        <f t="shared" si="58"/>
        <v>0</v>
      </c>
      <c r="T258" s="73"/>
      <c r="U258" s="59">
        <f>IF(D258=0,0,SUM($L$21:L258))</f>
        <v>48783216.783216648</v>
      </c>
      <c r="V258" s="59">
        <f>IF(D258=0,0,SUM($J$21:J258))</f>
        <v>31748860</v>
      </c>
      <c r="W258" s="66">
        <f t="shared" si="54"/>
        <v>-17034356.783216648</v>
      </c>
      <c r="X258" s="67">
        <f t="shared" si="59"/>
        <v>0.65081522075688258</v>
      </c>
      <c r="Y258" s="68">
        <f t="shared" si="63"/>
        <v>45895</v>
      </c>
      <c r="Z258" s="69">
        <f t="shared" si="63"/>
        <v>45895</v>
      </c>
      <c r="AA258" s="1"/>
      <c r="AB258" s="1"/>
      <c r="AC258" s="1"/>
      <c r="AD258" s="1"/>
      <c r="AE258" s="1"/>
      <c r="AF258" s="1"/>
      <c r="AG258" s="1"/>
    </row>
    <row r="259" spans="1:33" ht="20">
      <c r="A259" s="1"/>
      <c r="B259" s="11"/>
      <c r="C259" s="50">
        <v>239</v>
      </c>
      <c r="D259" s="51">
        <v>1</v>
      </c>
      <c r="E259" s="52">
        <f t="shared" si="55"/>
        <v>8</v>
      </c>
      <c r="F259" s="53">
        <f t="shared" si="56"/>
        <v>45896</v>
      </c>
      <c r="G259" s="54" t="str">
        <f t="shared" si="57"/>
        <v>Wed</v>
      </c>
      <c r="H259" s="55"/>
      <c r="I259" s="56"/>
      <c r="J259" s="82"/>
      <c r="K259" s="83"/>
      <c r="L259" s="59">
        <f t="shared" si="62"/>
        <v>279720.27972027974</v>
      </c>
      <c r="M259" s="60">
        <f t="shared" si="52"/>
        <v>-279720.27972027974</v>
      </c>
      <c r="N259" s="61">
        <f t="shared" si="9"/>
        <v>0</v>
      </c>
      <c r="O259" s="80"/>
      <c r="P259" s="59">
        <f>IF(D259=0,0,SUM($L$233:L259))</f>
        <v>4755244.7552447561</v>
      </c>
      <c r="Q259" s="59">
        <f>IF(D259=0,0,SUM($J$233:J259))</f>
        <v>0</v>
      </c>
      <c r="R259" s="63">
        <f t="shared" si="53"/>
        <v>-4755244.7552447561</v>
      </c>
      <c r="S259" s="64">
        <f t="shared" si="58"/>
        <v>0</v>
      </c>
      <c r="T259" s="73"/>
      <c r="U259" s="59">
        <f>IF(D259=0,0,SUM($L$21:L259))</f>
        <v>49062937.062936924</v>
      </c>
      <c r="V259" s="59">
        <f>IF(D259=0,0,SUM($J$21:J259))</f>
        <v>31748860</v>
      </c>
      <c r="W259" s="66">
        <f t="shared" si="54"/>
        <v>-17314077.062936924</v>
      </c>
      <c r="X259" s="67">
        <f t="shared" si="59"/>
        <v>0.64710475769669507</v>
      </c>
      <c r="Y259" s="68">
        <f t="shared" si="63"/>
        <v>45896</v>
      </c>
      <c r="Z259" s="69">
        <f t="shared" si="63"/>
        <v>45896</v>
      </c>
      <c r="AA259" s="1"/>
      <c r="AB259" s="1"/>
      <c r="AC259" s="1"/>
      <c r="AD259" s="1"/>
      <c r="AE259" s="1"/>
      <c r="AF259" s="1"/>
      <c r="AG259" s="1"/>
    </row>
    <row r="260" spans="1:33" ht="20">
      <c r="A260" s="1"/>
      <c r="B260" s="11"/>
      <c r="C260" s="50">
        <v>240</v>
      </c>
      <c r="D260" s="51">
        <v>1</v>
      </c>
      <c r="E260" s="52">
        <f t="shared" si="55"/>
        <v>8</v>
      </c>
      <c r="F260" s="53">
        <f t="shared" si="56"/>
        <v>45897</v>
      </c>
      <c r="G260" s="54" t="str">
        <f t="shared" si="57"/>
        <v>Thu</v>
      </c>
      <c r="H260" s="55"/>
      <c r="I260" s="56"/>
      <c r="J260" s="82"/>
      <c r="K260" s="83"/>
      <c r="L260" s="59">
        <f t="shared" si="62"/>
        <v>279720.27972027974</v>
      </c>
      <c r="M260" s="60">
        <f t="shared" si="52"/>
        <v>-279720.27972027974</v>
      </c>
      <c r="N260" s="61">
        <f t="shared" si="9"/>
        <v>0</v>
      </c>
      <c r="O260" s="80"/>
      <c r="P260" s="59">
        <f>IF(D260=0,0,SUM($L$233:L260))</f>
        <v>5034965.0349650355</v>
      </c>
      <c r="Q260" s="59">
        <f>IF(D260=0,0,SUM($J$233:J260))</f>
        <v>0</v>
      </c>
      <c r="R260" s="63">
        <f t="shared" si="53"/>
        <v>-5034965.0349650355</v>
      </c>
      <c r="S260" s="64">
        <f t="shared" si="58"/>
        <v>0</v>
      </c>
      <c r="T260" s="73"/>
      <c r="U260" s="59">
        <f>IF(D260=0,0,SUM($L$21:L260))</f>
        <v>49342657.342657201</v>
      </c>
      <c r="V260" s="59">
        <f>IF(D260=0,0,SUM($J$21:J260))</f>
        <v>31748860</v>
      </c>
      <c r="W260" s="66">
        <f t="shared" si="54"/>
        <v>-17593797.342657201</v>
      </c>
      <c r="X260" s="67">
        <f t="shared" si="59"/>
        <v>0.6434363633786867</v>
      </c>
      <c r="Y260" s="68">
        <f t="shared" si="63"/>
        <v>45897</v>
      </c>
      <c r="Z260" s="69">
        <f t="shared" si="63"/>
        <v>45897</v>
      </c>
      <c r="AA260" s="1"/>
      <c r="AB260" s="1"/>
      <c r="AC260" s="1"/>
      <c r="AD260" s="1"/>
      <c r="AE260" s="1"/>
      <c r="AF260" s="1"/>
      <c r="AG260" s="1"/>
    </row>
    <row r="261" spans="1:33" ht="20">
      <c r="A261" s="1"/>
      <c r="B261" s="11"/>
      <c r="C261" s="50">
        <v>241</v>
      </c>
      <c r="D261" s="51">
        <v>1</v>
      </c>
      <c r="E261" s="52">
        <f t="shared" si="55"/>
        <v>8</v>
      </c>
      <c r="F261" s="53">
        <f t="shared" si="56"/>
        <v>45898</v>
      </c>
      <c r="G261" s="54" t="str">
        <f t="shared" si="57"/>
        <v>Fri</v>
      </c>
      <c r="H261" s="55"/>
      <c r="I261" s="56"/>
      <c r="J261" s="82"/>
      <c r="K261" s="83"/>
      <c r="L261" s="59">
        <f t="shared" si="62"/>
        <v>279720.27972027974</v>
      </c>
      <c r="M261" s="60">
        <f t="shared" si="52"/>
        <v>-279720.27972027974</v>
      </c>
      <c r="N261" s="61">
        <f t="shared" si="9"/>
        <v>0</v>
      </c>
      <c r="O261" s="80"/>
      <c r="P261" s="59">
        <f>IF(D261=0,0,SUM($L$233:L261))</f>
        <v>5314685.3146853149</v>
      </c>
      <c r="Q261" s="59">
        <f>IF(D261=0,0,SUM($J$233:J261))</f>
        <v>0</v>
      </c>
      <c r="R261" s="63">
        <f t="shared" si="53"/>
        <v>-5314685.3146853149</v>
      </c>
      <c r="S261" s="64">
        <f t="shared" si="58"/>
        <v>0</v>
      </c>
      <c r="T261" s="73"/>
      <c r="U261" s="59">
        <f>IF(D261=0,0,SUM($L$21:L261))</f>
        <v>49622377.622377478</v>
      </c>
      <c r="V261" s="59">
        <f>IF(D261=0,0,SUM($J$21:J261))</f>
        <v>31748860</v>
      </c>
      <c r="W261" s="66">
        <f t="shared" si="54"/>
        <v>-17873517.622377478</v>
      </c>
      <c r="X261" s="67">
        <f t="shared" si="59"/>
        <v>0.63980932638106158</v>
      </c>
      <c r="Y261" s="68">
        <f t="shared" si="63"/>
        <v>45898</v>
      </c>
      <c r="Z261" s="69">
        <f t="shared" si="63"/>
        <v>45898</v>
      </c>
      <c r="AA261" s="1"/>
      <c r="AB261" s="1"/>
      <c r="AC261" s="1"/>
      <c r="AD261" s="1"/>
      <c r="AE261" s="1"/>
      <c r="AF261" s="1"/>
      <c r="AG261" s="1"/>
    </row>
    <row r="262" spans="1:33" ht="20">
      <c r="A262" s="1"/>
      <c r="B262" s="11"/>
      <c r="C262" s="50">
        <v>242</v>
      </c>
      <c r="D262" s="51">
        <v>1</v>
      </c>
      <c r="E262" s="52">
        <f t="shared" si="55"/>
        <v>8</v>
      </c>
      <c r="F262" s="53">
        <f t="shared" si="56"/>
        <v>45899</v>
      </c>
      <c r="G262" s="54" t="str">
        <f t="shared" si="57"/>
        <v>Sat</v>
      </c>
      <c r="H262" s="55"/>
      <c r="I262" s="56"/>
      <c r="J262" s="82"/>
      <c r="K262" s="83"/>
      <c r="L262" s="59">
        <f t="shared" si="62"/>
        <v>279720.27972027974</v>
      </c>
      <c r="M262" s="60">
        <f t="shared" si="52"/>
        <v>-279720.27972027974</v>
      </c>
      <c r="N262" s="61">
        <f t="shared" si="9"/>
        <v>0</v>
      </c>
      <c r="O262" s="80"/>
      <c r="P262" s="59">
        <f>IF(D262=0,0,SUM($L$233:L262))</f>
        <v>5594405.5944055943</v>
      </c>
      <c r="Q262" s="59">
        <f>IF(D262=0,0,SUM($J$233:J262))</f>
        <v>0</v>
      </c>
      <c r="R262" s="63">
        <f t="shared" si="53"/>
        <v>-5594405.5944055943</v>
      </c>
      <c r="S262" s="64">
        <f t="shared" si="58"/>
        <v>0</v>
      </c>
      <c r="T262" s="73"/>
      <c r="U262" s="59">
        <f>IF(D262=0,0,SUM($L$21:L262))</f>
        <v>49902097.902097754</v>
      </c>
      <c r="V262" s="59">
        <f>IF(D262=0,0,SUM($J$21:J262))</f>
        <v>31748860</v>
      </c>
      <c r="W262" s="66">
        <f t="shared" si="54"/>
        <v>-18153237.902097754</v>
      </c>
      <c r="X262" s="67">
        <f t="shared" si="59"/>
        <v>0.63622295123318573</v>
      </c>
      <c r="Y262" s="68">
        <f t="shared" si="63"/>
        <v>45899</v>
      </c>
      <c r="Z262" s="69">
        <f t="shared" si="63"/>
        <v>45899</v>
      </c>
      <c r="AA262" s="1"/>
      <c r="AB262" s="1"/>
      <c r="AC262" s="1"/>
      <c r="AD262" s="1"/>
      <c r="AE262" s="1"/>
      <c r="AF262" s="1"/>
      <c r="AG262" s="1"/>
    </row>
    <row r="263" spans="1:33" ht="21" thickBot="1">
      <c r="A263" s="1"/>
      <c r="B263" s="11"/>
      <c r="C263" s="100">
        <v>243</v>
      </c>
      <c r="D263" s="85">
        <v>0</v>
      </c>
      <c r="E263" s="501">
        <f t="shared" si="55"/>
        <v>8</v>
      </c>
      <c r="F263" s="101">
        <f t="shared" si="56"/>
        <v>45900</v>
      </c>
      <c r="G263" s="87" t="str">
        <f t="shared" si="57"/>
        <v>Sun</v>
      </c>
      <c r="H263" s="508"/>
      <c r="I263" s="502"/>
      <c r="J263" s="102"/>
      <c r="K263" s="503"/>
      <c r="L263" s="103">
        <f t="shared" si="62"/>
        <v>0</v>
      </c>
      <c r="M263" s="91">
        <f t="shared" si="52"/>
        <v>0</v>
      </c>
      <c r="N263" s="92" t="str">
        <f t="shared" si="9"/>
        <v>¥0</v>
      </c>
      <c r="O263" s="509"/>
      <c r="P263" s="104">
        <f>IF(D263=0,0,SUM($L$233:L263))</f>
        <v>0</v>
      </c>
      <c r="Q263" s="103">
        <f>IF(D263=0,0,SUM($J$233:J263))</f>
        <v>0</v>
      </c>
      <c r="R263" s="105">
        <f t="shared" si="53"/>
        <v>0</v>
      </c>
      <c r="S263" s="505">
        <f t="shared" si="58"/>
        <v>0</v>
      </c>
      <c r="T263" s="510"/>
      <c r="U263" s="94">
        <f>IF(D263=0,0,SUM($L$21:L263))</f>
        <v>0</v>
      </c>
      <c r="V263" s="90">
        <f>IF(D263=0,0,SUM($J$21:J263))</f>
        <v>0</v>
      </c>
      <c r="W263" s="95">
        <f t="shared" si="54"/>
        <v>0</v>
      </c>
      <c r="X263" s="507">
        <f t="shared" si="59"/>
        <v>0</v>
      </c>
      <c r="Y263" s="68">
        <f t="shared" ref="Y263:Z278" si="64">Y262+1</f>
        <v>45900</v>
      </c>
      <c r="Z263" s="69">
        <f t="shared" si="64"/>
        <v>45900</v>
      </c>
      <c r="AA263" s="1"/>
      <c r="AB263" s="1"/>
      <c r="AC263" s="1"/>
      <c r="AD263" s="1"/>
      <c r="AE263" s="1"/>
      <c r="AF263" s="1"/>
      <c r="AG263" s="1"/>
    </row>
    <row r="264" spans="1:33" ht="21" thickTop="1">
      <c r="A264" s="1"/>
      <c r="B264" s="11"/>
      <c r="C264" s="50">
        <v>244</v>
      </c>
      <c r="D264" s="96">
        <v>1</v>
      </c>
      <c r="E264" s="52">
        <f t="shared" si="55"/>
        <v>9</v>
      </c>
      <c r="F264" s="53">
        <f t="shared" si="56"/>
        <v>45901</v>
      </c>
      <c r="G264" s="54" t="str">
        <f t="shared" si="57"/>
        <v>Mon</v>
      </c>
      <c r="H264" s="55"/>
      <c r="I264" s="56"/>
      <c r="J264" s="82"/>
      <c r="K264" s="83"/>
      <c r="L264" s="59">
        <f t="shared" ref="L264:L293" si="65">IF(D264=0,0,$K$15)</f>
        <v>279720.27972027974</v>
      </c>
      <c r="M264" s="63">
        <f t="shared" si="52"/>
        <v>-279720.27972027974</v>
      </c>
      <c r="N264" s="97">
        <f t="shared" si="9"/>
        <v>0</v>
      </c>
      <c r="O264" s="80"/>
      <c r="P264" s="59">
        <f>IF(D264=0,0,$L$264)</f>
        <v>279720.27972027974</v>
      </c>
      <c r="Q264" s="59">
        <f>IF(D264=0,0,$J$264)</f>
        <v>0</v>
      </c>
      <c r="R264" s="63">
        <f t="shared" si="53"/>
        <v>-279720.27972027974</v>
      </c>
      <c r="S264" s="499">
        <f t="shared" si="58"/>
        <v>0</v>
      </c>
      <c r="T264" s="73"/>
      <c r="U264" s="59">
        <f>IF(D264=0,0,SUM($L$21:L264))</f>
        <v>50181818.181818031</v>
      </c>
      <c r="V264" s="59">
        <f>IF(D264=0,0,SUM($J$21:J264))</f>
        <v>31748860</v>
      </c>
      <c r="W264" s="66">
        <f t="shared" si="54"/>
        <v>-18432958.181818031</v>
      </c>
      <c r="X264" s="500">
        <f t="shared" si="59"/>
        <v>0.63267655797101641</v>
      </c>
      <c r="Y264" s="68">
        <f t="shared" si="64"/>
        <v>45901</v>
      </c>
      <c r="Z264" s="69">
        <f t="shared" si="64"/>
        <v>45901</v>
      </c>
      <c r="AA264" s="1"/>
      <c r="AB264" s="1"/>
      <c r="AC264" s="1"/>
      <c r="AD264" s="1"/>
      <c r="AE264" s="1"/>
      <c r="AF264" s="1"/>
      <c r="AG264" s="1"/>
    </row>
    <row r="265" spans="1:33" ht="20">
      <c r="A265" s="1"/>
      <c r="B265" s="11"/>
      <c r="C265" s="50">
        <v>245</v>
      </c>
      <c r="D265" s="51">
        <v>1</v>
      </c>
      <c r="E265" s="52">
        <f t="shared" si="55"/>
        <v>9</v>
      </c>
      <c r="F265" s="53">
        <f t="shared" si="56"/>
        <v>45902</v>
      </c>
      <c r="G265" s="54" t="str">
        <f t="shared" si="57"/>
        <v>Tue</v>
      </c>
      <c r="H265" s="55"/>
      <c r="I265" s="56"/>
      <c r="J265" s="82"/>
      <c r="K265" s="83"/>
      <c r="L265" s="59">
        <f t="shared" si="65"/>
        <v>279720.27972027974</v>
      </c>
      <c r="M265" s="60">
        <f t="shared" si="52"/>
        <v>-279720.27972027974</v>
      </c>
      <c r="N265" s="61">
        <f t="shared" si="9"/>
        <v>0</v>
      </c>
      <c r="O265" s="80"/>
      <c r="P265" s="59">
        <f>IF(D265=0,0,SUM($L$264:L265))</f>
        <v>559440.55944055947</v>
      </c>
      <c r="Q265" s="59">
        <f>IF(D265=0,0,SUM($J$264:J265))</f>
        <v>0</v>
      </c>
      <c r="R265" s="63">
        <f t="shared" si="53"/>
        <v>-559440.55944055947</v>
      </c>
      <c r="S265" s="64">
        <f t="shared" si="58"/>
        <v>0</v>
      </c>
      <c r="T265" s="73"/>
      <c r="U265" s="59">
        <f>IF(D265=0,0,SUM($L$21:L265))</f>
        <v>50461538.461538307</v>
      </c>
      <c r="V265" s="59">
        <f>IF(D265=0,0,SUM($J$21:J265))</f>
        <v>31748860</v>
      </c>
      <c r="W265" s="66">
        <f t="shared" si="54"/>
        <v>-18712678.461538307</v>
      </c>
      <c r="X265" s="67">
        <f t="shared" si="59"/>
        <v>0.62916948170731901</v>
      </c>
      <c r="Y265" s="68">
        <f t="shared" si="64"/>
        <v>45902</v>
      </c>
      <c r="Z265" s="69">
        <f t="shared" si="64"/>
        <v>45902</v>
      </c>
      <c r="AA265" s="1"/>
      <c r="AB265" s="1"/>
      <c r="AC265" s="1"/>
      <c r="AD265" s="1"/>
      <c r="AE265" s="1"/>
      <c r="AF265" s="1"/>
      <c r="AG265" s="1"/>
    </row>
    <row r="266" spans="1:33" ht="20">
      <c r="A266" s="1"/>
      <c r="B266" s="11"/>
      <c r="C266" s="50">
        <v>246</v>
      </c>
      <c r="D266" s="51">
        <v>1</v>
      </c>
      <c r="E266" s="52">
        <f t="shared" si="55"/>
        <v>9</v>
      </c>
      <c r="F266" s="53">
        <f t="shared" si="56"/>
        <v>45903</v>
      </c>
      <c r="G266" s="54" t="str">
        <f t="shared" si="57"/>
        <v>Wed</v>
      </c>
      <c r="H266" s="55"/>
      <c r="I266" s="56"/>
      <c r="J266" s="82"/>
      <c r="K266" s="83"/>
      <c r="L266" s="59">
        <f t="shared" si="65"/>
        <v>279720.27972027974</v>
      </c>
      <c r="M266" s="60">
        <f t="shared" si="52"/>
        <v>-279720.27972027974</v>
      </c>
      <c r="N266" s="61">
        <f t="shared" si="9"/>
        <v>0</v>
      </c>
      <c r="O266" s="80"/>
      <c r="P266" s="59">
        <f>IF(D266=0,0,SUM($L$264:L266))</f>
        <v>839160.83916083921</v>
      </c>
      <c r="Q266" s="59">
        <f>IF(D266=0,0,SUM($J$264:J266))</f>
        <v>0</v>
      </c>
      <c r="R266" s="63">
        <f t="shared" si="53"/>
        <v>-839160.83916083921</v>
      </c>
      <c r="S266" s="64">
        <f t="shared" si="58"/>
        <v>0</v>
      </c>
      <c r="T266" s="73"/>
      <c r="U266" s="59">
        <f>IF(D266=0,0,SUM($L$21:L266))</f>
        <v>50741258.741258584</v>
      </c>
      <c r="V266" s="59">
        <f>IF(D266=0,0,SUM($J$21:J266))</f>
        <v>31748860</v>
      </c>
      <c r="W266" s="66">
        <f t="shared" si="54"/>
        <v>-18992398.741258584</v>
      </c>
      <c r="X266" s="67">
        <f t="shared" si="59"/>
        <v>0.62570107221609894</v>
      </c>
      <c r="Y266" s="68">
        <f t="shared" si="64"/>
        <v>45903</v>
      </c>
      <c r="Z266" s="69">
        <f t="shared" si="64"/>
        <v>45903</v>
      </c>
      <c r="AA266" s="1"/>
      <c r="AB266" s="1"/>
      <c r="AC266" s="1"/>
      <c r="AD266" s="1"/>
      <c r="AE266" s="1"/>
      <c r="AF266" s="1"/>
      <c r="AG266" s="1"/>
    </row>
    <row r="267" spans="1:33" ht="20">
      <c r="A267" s="1"/>
      <c r="B267" s="11"/>
      <c r="C267" s="50">
        <v>247</v>
      </c>
      <c r="D267" s="51">
        <v>1</v>
      </c>
      <c r="E267" s="52">
        <f t="shared" si="55"/>
        <v>9</v>
      </c>
      <c r="F267" s="53">
        <f t="shared" si="56"/>
        <v>45904</v>
      </c>
      <c r="G267" s="54" t="str">
        <f t="shared" si="57"/>
        <v>Thu</v>
      </c>
      <c r="H267" s="55"/>
      <c r="I267" s="56"/>
      <c r="J267" s="82"/>
      <c r="K267" s="83"/>
      <c r="L267" s="59">
        <f t="shared" si="65"/>
        <v>279720.27972027974</v>
      </c>
      <c r="M267" s="60">
        <f t="shared" si="52"/>
        <v>-279720.27972027974</v>
      </c>
      <c r="N267" s="61">
        <f t="shared" si="9"/>
        <v>0</v>
      </c>
      <c r="O267" s="80"/>
      <c r="P267" s="59">
        <f>IF(D267=0,0,SUM($L$264:L267))</f>
        <v>1118881.1188811189</v>
      </c>
      <c r="Q267" s="59">
        <f>IF(D267=0,0,SUM($J$264:J267))</f>
        <v>0</v>
      </c>
      <c r="R267" s="63">
        <f t="shared" si="53"/>
        <v>-1118881.1188811189</v>
      </c>
      <c r="S267" s="64">
        <f t="shared" si="58"/>
        <v>0</v>
      </c>
      <c r="T267" s="73"/>
      <c r="U267" s="59">
        <f>IF(D267=0,0,SUM($L$21:L267))</f>
        <v>51020979.020978861</v>
      </c>
      <c r="V267" s="59">
        <f>IF(D267=0,0,SUM($J$21:J267))</f>
        <v>31748860</v>
      </c>
      <c r="W267" s="66">
        <f t="shared" si="54"/>
        <v>-19272119.020978861</v>
      </c>
      <c r="X267" s="67">
        <f t="shared" si="59"/>
        <v>0.62227069353070374</v>
      </c>
      <c r="Y267" s="68">
        <f t="shared" si="64"/>
        <v>45904</v>
      </c>
      <c r="Z267" s="69">
        <f t="shared" si="64"/>
        <v>45904</v>
      </c>
      <c r="AA267" s="1"/>
      <c r="AB267" s="1"/>
      <c r="AC267" s="1"/>
      <c r="AD267" s="1"/>
      <c r="AE267" s="1"/>
      <c r="AF267" s="1"/>
      <c r="AG267" s="1"/>
    </row>
    <row r="268" spans="1:33" ht="20">
      <c r="A268" s="1"/>
      <c r="B268" s="11"/>
      <c r="C268" s="50">
        <v>248</v>
      </c>
      <c r="D268" s="51">
        <v>1</v>
      </c>
      <c r="E268" s="52">
        <f t="shared" si="55"/>
        <v>9</v>
      </c>
      <c r="F268" s="53">
        <f t="shared" si="56"/>
        <v>45905</v>
      </c>
      <c r="G268" s="54" t="str">
        <f t="shared" si="57"/>
        <v>Fri</v>
      </c>
      <c r="H268" s="55"/>
      <c r="I268" s="56"/>
      <c r="J268" s="82"/>
      <c r="K268" s="83"/>
      <c r="L268" s="59">
        <f t="shared" si="65"/>
        <v>279720.27972027974</v>
      </c>
      <c r="M268" s="60">
        <f t="shared" si="52"/>
        <v>-279720.27972027974</v>
      </c>
      <c r="N268" s="61">
        <f t="shared" si="9"/>
        <v>0</v>
      </c>
      <c r="O268" s="80"/>
      <c r="P268" s="59">
        <f>IF(D268=0,0,SUM($L$264:L268))</f>
        <v>1398601.3986013988</v>
      </c>
      <c r="Q268" s="59">
        <f>IF(D268=0,0,SUM($J$264:J268))</f>
        <v>0</v>
      </c>
      <c r="R268" s="63">
        <f t="shared" si="53"/>
        <v>-1398601.3986013988</v>
      </c>
      <c r="S268" s="64">
        <f t="shared" si="58"/>
        <v>0</v>
      </c>
      <c r="T268" s="73"/>
      <c r="U268" s="59">
        <f>IF(D268=0,0,SUM($L$21:L268))</f>
        <v>51300699.300699137</v>
      </c>
      <c r="V268" s="59">
        <f>IF(D268=0,0,SUM($J$21:J268))</f>
        <v>31748860</v>
      </c>
      <c r="W268" s="66">
        <f t="shared" si="54"/>
        <v>-19551839.300699137</v>
      </c>
      <c r="X268" s="67">
        <f t="shared" si="59"/>
        <v>0.61887772355507287</v>
      </c>
      <c r="Y268" s="68">
        <f t="shared" si="64"/>
        <v>45905</v>
      </c>
      <c r="Z268" s="69">
        <f t="shared" si="64"/>
        <v>45905</v>
      </c>
      <c r="AA268" s="1"/>
      <c r="AB268" s="1"/>
      <c r="AC268" s="1"/>
      <c r="AD268" s="1"/>
      <c r="AE268" s="1"/>
      <c r="AF268" s="1"/>
      <c r="AG268" s="1"/>
    </row>
    <row r="269" spans="1:33" ht="20">
      <c r="A269" s="1"/>
      <c r="B269" s="11"/>
      <c r="C269" s="50">
        <v>249</v>
      </c>
      <c r="D269" s="51">
        <v>1</v>
      </c>
      <c r="E269" s="52">
        <f t="shared" si="55"/>
        <v>9</v>
      </c>
      <c r="F269" s="53">
        <f t="shared" si="56"/>
        <v>45906</v>
      </c>
      <c r="G269" s="54" t="str">
        <f t="shared" si="57"/>
        <v>Sat</v>
      </c>
      <c r="H269" s="55"/>
      <c r="I269" s="56"/>
      <c r="J269" s="82"/>
      <c r="K269" s="83"/>
      <c r="L269" s="59">
        <f t="shared" si="65"/>
        <v>279720.27972027974</v>
      </c>
      <c r="M269" s="60">
        <f t="shared" si="52"/>
        <v>-279720.27972027974</v>
      </c>
      <c r="N269" s="61">
        <f t="shared" si="9"/>
        <v>0</v>
      </c>
      <c r="O269" s="80"/>
      <c r="P269" s="59">
        <f>IF(D269=0,0,SUM($L$264:L269))</f>
        <v>1678321.6783216787</v>
      </c>
      <c r="Q269" s="59">
        <f>IF(D269=0,0,SUM($J$264:J269))</f>
        <v>0</v>
      </c>
      <c r="R269" s="63">
        <f t="shared" si="53"/>
        <v>-1678321.6783216787</v>
      </c>
      <c r="S269" s="64">
        <f t="shared" si="58"/>
        <v>0</v>
      </c>
      <c r="T269" s="73"/>
      <c r="U269" s="59">
        <f>IF(D269=0,0,SUM($L$21:L269))</f>
        <v>51580419.580419414</v>
      </c>
      <c r="V269" s="59">
        <f>IF(D269=0,0,SUM($J$21:J269))</f>
        <v>31748860</v>
      </c>
      <c r="W269" s="66">
        <f t="shared" si="54"/>
        <v>-19831559.580419414</v>
      </c>
      <c r="X269" s="67">
        <f t="shared" si="59"/>
        <v>0.61552155368763761</v>
      </c>
      <c r="Y269" s="68">
        <f t="shared" si="64"/>
        <v>45906</v>
      </c>
      <c r="Z269" s="69">
        <f t="shared" si="64"/>
        <v>45906</v>
      </c>
      <c r="AA269" s="1"/>
      <c r="AB269" s="1"/>
      <c r="AC269" s="1"/>
      <c r="AD269" s="1"/>
      <c r="AE269" s="1"/>
      <c r="AF269" s="1"/>
      <c r="AG269" s="1"/>
    </row>
    <row r="270" spans="1:33" ht="20">
      <c r="A270" s="1"/>
      <c r="B270" s="11"/>
      <c r="C270" s="50">
        <v>250</v>
      </c>
      <c r="D270" s="51">
        <v>0</v>
      </c>
      <c r="E270" s="52">
        <f t="shared" si="55"/>
        <v>9</v>
      </c>
      <c r="F270" s="53">
        <f t="shared" si="56"/>
        <v>45907</v>
      </c>
      <c r="G270" s="54" t="str">
        <f t="shared" si="57"/>
        <v>Sun</v>
      </c>
      <c r="H270" s="55"/>
      <c r="I270" s="56"/>
      <c r="J270" s="82"/>
      <c r="K270" s="83"/>
      <c r="L270" s="59">
        <f t="shared" si="65"/>
        <v>0</v>
      </c>
      <c r="M270" s="60">
        <f t="shared" si="52"/>
        <v>0</v>
      </c>
      <c r="N270" s="61" t="str">
        <f t="shared" si="9"/>
        <v>¥0</v>
      </c>
      <c r="O270" s="81"/>
      <c r="P270" s="59">
        <f>IF(D270=0,0,SUM($L$264:L270))</f>
        <v>0</v>
      </c>
      <c r="Q270" s="59">
        <f>IF(D270=0,0,SUM($J$264:J270))</f>
        <v>0</v>
      </c>
      <c r="R270" s="63">
        <f t="shared" si="53"/>
        <v>0</v>
      </c>
      <c r="S270" s="64">
        <f t="shared" si="58"/>
        <v>0</v>
      </c>
      <c r="T270" s="78"/>
      <c r="U270" s="59">
        <f>IF(D270=0,0,SUM($L$21:L270))</f>
        <v>0</v>
      </c>
      <c r="V270" s="59">
        <f>IF(D270=0,0,SUM($J$21:J270))</f>
        <v>0</v>
      </c>
      <c r="W270" s="66">
        <f t="shared" si="54"/>
        <v>0</v>
      </c>
      <c r="X270" s="67">
        <f t="shared" si="59"/>
        <v>0</v>
      </c>
      <c r="Y270" s="68">
        <f t="shared" si="64"/>
        <v>45907</v>
      </c>
      <c r="Z270" s="69">
        <f t="shared" si="64"/>
        <v>45907</v>
      </c>
      <c r="AA270" s="1"/>
      <c r="AB270" s="1"/>
      <c r="AC270" s="1"/>
      <c r="AD270" s="1"/>
      <c r="AE270" s="1"/>
      <c r="AF270" s="1"/>
      <c r="AG270" s="1"/>
    </row>
    <row r="271" spans="1:33" ht="20">
      <c r="A271" s="1"/>
      <c r="B271" s="11"/>
      <c r="C271" s="50">
        <v>251</v>
      </c>
      <c r="D271" s="51">
        <v>1</v>
      </c>
      <c r="E271" s="52">
        <f t="shared" si="55"/>
        <v>9</v>
      </c>
      <c r="F271" s="53">
        <f t="shared" si="56"/>
        <v>45908</v>
      </c>
      <c r="G271" s="54" t="str">
        <f t="shared" si="57"/>
        <v>Mon</v>
      </c>
      <c r="H271" s="55"/>
      <c r="I271" s="56"/>
      <c r="J271" s="82"/>
      <c r="K271" s="83"/>
      <c r="L271" s="59">
        <f t="shared" si="65"/>
        <v>279720.27972027974</v>
      </c>
      <c r="M271" s="60">
        <f t="shared" si="52"/>
        <v>-279720.27972027974</v>
      </c>
      <c r="N271" s="61">
        <f t="shared" si="9"/>
        <v>0</v>
      </c>
      <c r="O271" s="80"/>
      <c r="P271" s="59">
        <f>IF(D271=0,0,SUM($L$264:L271))</f>
        <v>1958041.9580419585</v>
      </c>
      <c r="Q271" s="59">
        <f>IF(D271=0,0,SUM($J$264:J271))</f>
        <v>0</v>
      </c>
      <c r="R271" s="63">
        <f t="shared" si="53"/>
        <v>-1958041.9580419585</v>
      </c>
      <c r="S271" s="64">
        <f t="shared" si="58"/>
        <v>0</v>
      </c>
      <c r="T271" s="73"/>
      <c r="U271" s="59">
        <f>IF(D271=0,0,SUM($L$21:L271))</f>
        <v>51860139.86013969</v>
      </c>
      <c r="V271" s="59">
        <f>IF(D271=0,0,SUM($J$21:J271))</f>
        <v>31748860</v>
      </c>
      <c r="W271" s="66">
        <f t="shared" si="54"/>
        <v>-20111279.86013969</v>
      </c>
      <c r="X271" s="67">
        <f t="shared" si="59"/>
        <v>0.61220158845739148</v>
      </c>
      <c r="Y271" s="68">
        <f t="shared" si="64"/>
        <v>45908</v>
      </c>
      <c r="Z271" s="69">
        <f t="shared" si="64"/>
        <v>45908</v>
      </c>
      <c r="AA271" s="1"/>
      <c r="AB271" s="1"/>
      <c r="AC271" s="1"/>
      <c r="AD271" s="1"/>
      <c r="AE271" s="1"/>
      <c r="AF271" s="1"/>
      <c r="AG271" s="1"/>
    </row>
    <row r="272" spans="1:33" ht="20">
      <c r="A272" s="1"/>
      <c r="B272" s="11"/>
      <c r="C272" s="50">
        <v>252</v>
      </c>
      <c r="D272" s="51">
        <v>1</v>
      </c>
      <c r="E272" s="52">
        <f t="shared" si="55"/>
        <v>9</v>
      </c>
      <c r="F272" s="53">
        <f t="shared" si="56"/>
        <v>45909</v>
      </c>
      <c r="G272" s="54" t="str">
        <f t="shared" si="57"/>
        <v>Tue</v>
      </c>
      <c r="H272" s="55"/>
      <c r="I272" s="56"/>
      <c r="J272" s="82"/>
      <c r="K272" s="83"/>
      <c r="L272" s="59">
        <f t="shared" si="65"/>
        <v>279720.27972027974</v>
      </c>
      <c r="M272" s="60">
        <f t="shared" si="52"/>
        <v>-279720.27972027974</v>
      </c>
      <c r="N272" s="61">
        <f t="shared" si="9"/>
        <v>0</v>
      </c>
      <c r="O272" s="80"/>
      <c r="P272" s="59">
        <f>IF(D272=0,0,SUM($L$264:L272))</f>
        <v>2237762.2377622384</v>
      </c>
      <c r="Q272" s="59">
        <f>IF(D272=0,0,SUM($J$264:J272))</f>
        <v>0</v>
      </c>
      <c r="R272" s="63">
        <f t="shared" si="53"/>
        <v>-2237762.2377622384</v>
      </c>
      <c r="S272" s="64">
        <f t="shared" si="58"/>
        <v>0</v>
      </c>
      <c r="T272" s="73"/>
      <c r="U272" s="59">
        <f>IF(D272=0,0,SUM($L$21:L272))</f>
        <v>52139860.139859967</v>
      </c>
      <c r="V272" s="59">
        <f>IF(D272=0,0,SUM($J$21:J272))</f>
        <v>31748860</v>
      </c>
      <c r="W272" s="66">
        <f t="shared" si="54"/>
        <v>-20391000.139859967</v>
      </c>
      <c r="X272" s="67">
        <f t="shared" si="59"/>
        <v>0.60891724517167589</v>
      </c>
      <c r="Y272" s="68">
        <f t="shared" si="64"/>
        <v>45909</v>
      </c>
      <c r="Z272" s="69">
        <f t="shared" si="64"/>
        <v>45909</v>
      </c>
      <c r="AA272" s="1"/>
      <c r="AB272" s="1"/>
      <c r="AC272" s="1"/>
      <c r="AD272" s="1"/>
      <c r="AE272" s="1"/>
      <c r="AF272" s="1"/>
      <c r="AG272" s="1"/>
    </row>
    <row r="273" spans="1:33" ht="20">
      <c r="A273" s="1"/>
      <c r="B273" s="11"/>
      <c r="C273" s="50">
        <v>253</v>
      </c>
      <c r="D273" s="51">
        <v>1</v>
      </c>
      <c r="E273" s="52">
        <f t="shared" si="55"/>
        <v>9</v>
      </c>
      <c r="F273" s="53">
        <f t="shared" si="56"/>
        <v>45910</v>
      </c>
      <c r="G273" s="54" t="str">
        <f t="shared" si="57"/>
        <v>Wed</v>
      </c>
      <c r="H273" s="55"/>
      <c r="I273" s="56"/>
      <c r="J273" s="82"/>
      <c r="K273" s="83"/>
      <c r="L273" s="59">
        <f t="shared" si="65"/>
        <v>279720.27972027974</v>
      </c>
      <c r="M273" s="60">
        <f t="shared" si="52"/>
        <v>-279720.27972027974</v>
      </c>
      <c r="N273" s="61">
        <f t="shared" si="9"/>
        <v>0</v>
      </c>
      <c r="O273" s="80"/>
      <c r="P273" s="59">
        <f>IF(D273=0,0,SUM($L$264:L273))</f>
        <v>2517482.5174825182</v>
      </c>
      <c r="Q273" s="59">
        <f>IF(D273=0,0,SUM($J$264:J273))</f>
        <v>0</v>
      </c>
      <c r="R273" s="63">
        <f t="shared" si="53"/>
        <v>-2517482.5174825182</v>
      </c>
      <c r="S273" s="64">
        <f t="shared" si="58"/>
        <v>0</v>
      </c>
      <c r="T273" s="73"/>
      <c r="U273" s="59">
        <f>IF(D273=0,0,SUM($L$21:L273))</f>
        <v>52419580.419580244</v>
      </c>
      <c r="V273" s="59">
        <f>IF(D273=0,0,SUM($J$21:J273))</f>
        <v>31748860</v>
      </c>
      <c r="W273" s="66">
        <f t="shared" si="54"/>
        <v>-20670720.419580244</v>
      </c>
      <c r="X273" s="67">
        <f t="shared" si="59"/>
        <v>0.60566795357524217</v>
      </c>
      <c r="Y273" s="68">
        <f t="shared" si="64"/>
        <v>45910</v>
      </c>
      <c r="Z273" s="69">
        <f t="shared" si="64"/>
        <v>45910</v>
      </c>
      <c r="AA273" s="1"/>
      <c r="AB273" s="1"/>
      <c r="AC273" s="1"/>
      <c r="AD273" s="1"/>
      <c r="AE273" s="1"/>
      <c r="AF273" s="1"/>
      <c r="AG273" s="1"/>
    </row>
    <row r="274" spans="1:33" ht="20">
      <c r="A274" s="1"/>
      <c r="B274" s="11"/>
      <c r="C274" s="50">
        <v>254</v>
      </c>
      <c r="D274" s="51">
        <v>1</v>
      </c>
      <c r="E274" s="52">
        <f t="shared" si="55"/>
        <v>9</v>
      </c>
      <c r="F274" s="53">
        <f t="shared" si="56"/>
        <v>45911</v>
      </c>
      <c r="G274" s="54" t="str">
        <f t="shared" si="57"/>
        <v>Thu</v>
      </c>
      <c r="H274" s="55"/>
      <c r="I274" s="56"/>
      <c r="J274" s="82"/>
      <c r="K274" s="83"/>
      <c r="L274" s="59">
        <f t="shared" si="65"/>
        <v>279720.27972027974</v>
      </c>
      <c r="M274" s="60">
        <f t="shared" si="52"/>
        <v>-279720.27972027974</v>
      </c>
      <c r="N274" s="61">
        <f t="shared" si="9"/>
        <v>0</v>
      </c>
      <c r="O274" s="80"/>
      <c r="P274" s="59">
        <f>IF(D274=0,0,SUM($L$264:L274))</f>
        <v>2797202.7972027981</v>
      </c>
      <c r="Q274" s="59">
        <f>IF(D274=0,0,SUM($J$264:J274))</f>
        <v>0</v>
      </c>
      <c r="R274" s="63">
        <f t="shared" si="53"/>
        <v>-2797202.7972027981</v>
      </c>
      <c r="S274" s="64">
        <f t="shared" si="58"/>
        <v>0</v>
      </c>
      <c r="T274" s="73"/>
      <c r="U274" s="59">
        <f>IF(D274=0,0,SUM($L$21:L274))</f>
        <v>52699300.69930052</v>
      </c>
      <c r="V274" s="59">
        <f>IF(D274=0,0,SUM($J$21:J274))</f>
        <v>31748860</v>
      </c>
      <c r="W274" s="66">
        <f t="shared" si="54"/>
        <v>-20950440.69930052</v>
      </c>
      <c r="X274" s="67">
        <f t="shared" si="59"/>
        <v>0.60245315552017187</v>
      </c>
      <c r="Y274" s="68">
        <f t="shared" si="64"/>
        <v>45911</v>
      </c>
      <c r="Z274" s="69">
        <f t="shared" si="64"/>
        <v>45911</v>
      </c>
      <c r="AA274" s="1"/>
      <c r="AB274" s="1"/>
      <c r="AC274" s="1"/>
      <c r="AD274" s="1"/>
      <c r="AE274" s="1"/>
      <c r="AF274" s="1"/>
      <c r="AG274" s="1"/>
    </row>
    <row r="275" spans="1:33" ht="20">
      <c r="A275" s="1"/>
      <c r="B275" s="11"/>
      <c r="C275" s="50">
        <v>255</v>
      </c>
      <c r="D275" s="51">
        <v>1</v>
      </c>
      <c r="E275" s="52">
        <f t="shared" si="55"/>
        <v>9</v>
      </c>
      <c r="F275" s="53">
        <f t="shared" si="56"/>
        <v>45912</v>
      </c>
      <c r="G275" s="54" t="str">
        <f t="shared" si="57"/>
        <v>Fri</v>
      </c>
      <c r="H275" s="55"/>
      <c r="I275" s="56"/>
      <c r="J275" s="82"/>
      <c r="K275" s="83"/>
      <c r="L275" s="59">
        <f t="shared" si="65"/>
        <v>279720.27972027974</v>
      </c>
      <c r="M275" s="60">
        <f t="shared" si="52"/>
        <v>-279720.27972027974</v>
      </c>
      <c r="N275" s="61">
        <f t="shared" si="9"/>
        <v>0</v>
      </c>
      <c r="O275" s="80"/>
      <c r="P275" s="59">
        <f>IF(D275=0,0,SUM($L$264:L275))</f>
        <v>3076923.0769230779</v>
      </c>
      <c r="Q275" s="59">
        <f>IF(D275=0,0,SUM($J$264:J275))</f>
        <v>0</v>
      </c>
      <c r="R275" s="63">
        <f t="shared" si="53"/>
        <v>-3076923.0769230779</v>
      </c>
      <c r="S275" s="64">
        <f t="shared" si="58"/>
        <v>0</v>
      </c>
      <c r="T275" s="73"/>
      <c r="U275" s="59">
        <f>IF(D275=0,0,SUM($L$21:L275))</f>
        <v>52979020.979020797</v>
      </c>
      <c r="V275" s="59">
        <f>IF(D275=0,0,SUM($J$21:J275))</f>
        <v>31748860</v>
      </c>
      <c r="W275" s="66">
        <f t="shared" si="54"/>
        <v>-21230160.979020797</v>
      </c>
      <c r="X275" s="67">
        <f t="shared" si="59"/>
        <v>0.59927230464625336</v>
      </c>
      <c r="Y275" s="68">
        <f t="shared" si="64"/>
        <v>45912</v>
      </c>
      <c r="Z275" s="69">
        <f t="shared" si="64"/>
        <v>45912</v>
      </c>
      <c r="AA275" s="1"/>
      <c r="AB275" s="1"/>
      <c r="AC275" s="1"/>
      <c r="AD275" s="1"/>
      <c r="AE275" s="1"/>
      <c r="AF275" s="1"/>
      <c r="AG275" s="1"/>
    </row>
    <row r="276" spans="1:33" ht="20">
      <c r="A276" s="1"/>
      <c r="B276" s="11"/>
      <c r="C276" s="50">
        <v>256</v>
      </c>
      <c r="D276" s="51">
        <v>1</v>
      </c>
      <c r="E276" s="52">
        <f t="shared" si="55"/>
        <v>9</v>
      </c>
      <c r="F276" s="53">
        <f t="shared" si="56"/>
        <v>45913</v>
      </c>
      <c r="G276" s="54" t="str">
        <f t="shared" si="57"/>
        <v>Sat</v>
      </c>
      <c r="H276" s="55"/>
      <c r="I276" s="56"/>
      <c r="J276" s="82"/>
      <c r="K276" s="83"/>
      <c r="L276" s="59">
        <f t="shared" si="65"/>
        <v>279720.27972027974</v>
      </c>
      <c r="M276" s="60">
        <f t="shared" si="52"/>
        <v>-279720.27972027974</v>
      </c>
      <c r="N276" s="61">
        <f t="shared" ref="N276:N385" si="66">IFERROR(J276/L276,"¥0")</f>
        <v>0</v>
      </c>
      <c r="O276" s="80"/>
      <c r="P276" s="59">
        <f>IF(D276=0,0,SUM($L$264:L276))</f>
        <v>3356643.3566433578</v>
      </c>
      <c r="Q276" s="59">
        <f>IF(D276=0,0,SUM($J$264:J276))</f>
        <v>0</v>
      </c>
      <c r="R276" s="63">
        <f t="shared" si="53"/>
        <v>-3356643.3566433578</v>
      </c>
      <c r="S276" s="64">
        <f t="shared" si="58"/>
        <v>0</v>
      </c>
      <c r="T276" s="73"/>
      <c r="U276" s="59">
        <f>IF(D276=0,0,SUM($L$21:L276))</f>
        <v>53258741.258741073</v>
      </c>
      <c r="V276" s="59">
        <f>IF(D276=0,0,SUM($J$21:J276))</f>
        <v>31748860</v>
      </c>
      <c r="W276" s="66">
        <f t="shared" si="54"/>
        <v>-21509881.258741073</v>
      </c>
      <c r="X276" s="67">
        <f t="shared" si="59"/>
        <v>0.59612486607143067</v>
      </c>
      <c r="Y276" s="68">
        <f t="shared" si="64"/>
        <v>45913</v>
      </c>
      <c r="Z276" s="69">
        <f t="shared" si="64"/>
        <v>45913</v>
      </c>
      <c r="AA276" s="1"/>
      <c r="AB276" s="1"/>
      <c r="AC276" s="1"/>
      <c r="AD276" s="1"/>
      <c r="AE276" s="1"/>
      <c r="AF276" s="1"/>
      <c r="AG276" s="1"/>
    </row>
    <row r="277" spans="1:33" ht="20">
      <c r="A277" s="1"/>
      <c r="B277" s="11"/>
      <c r="C277" s="50">
        <v>257</v>
      </c>
      <c r="D277" s="51">
        <v>0</v>
      </c>
      <c r="E277" s="52">
        <f t="shared" si="55"/>
        <v>9</v>
      </c>
      <c r="F277" s="53">
        <f t="shared" si="56"/>
        <v>45914</v>
      </c>
      <c r="G277" s="54" t="str">
        <f t="shared" si="57"/>
        <v>Sun</v>
      </c>
      <c r="H277" s="55"/>
      <c r="I277" s="56"/>
      <c r="J277" s="82"/>
      <c r="K277" s="83"/>
      <c r="L277" s="59">
        <f t="shared" si="65"/>
        <v>0</v>
      </c>
      <c r="M277" s="60">
        <f t="shared" ref="M277:M340" si="67">IF(D277=0,0,J277-L277)</f>
        <v>0</v>
      </c>
      <c r="N277" s="61" t="str">
        <f t="shared" si="66"/>
        <v>¥0</v>
      </c>
      <c r="O277" s="81"/>
      <c r="P277" s="59">
        <f>IF(D277=0,0,SUM($L$264:L277))</f>
        <v>0</v>
      </c>
      <c r="Q277" s="59">
        <f>IF(D277=0,0,SUM($J$264:J277))</f>
        <v>0</v>
      </c>
      <c r="R277" s="63">
        <f t="shared" ref="R277:R340" si="68">IF(D277=0,0,Q277-P277)</f>
        <v>0</v>
      </c>
      <c r="S277" s="64">
        <f t="shared" si="58"/>
        <v>0</v>
      </c>
      <c r="T277" s="78"/>
      <c r="U277" s="59">
        <f>IF(D277=0,0,SUM($L$21:L277))</f>
        <v>0</v>
      </c>
      <c r="V277" s="59">
        <f>IF(D277=0,0,SUM($J$21:J277))</f>
        <v>0</v>
      </c>
      <c r="W277" s="66">
        <f t="shared" ref="W277:W340" si="69">IF(D277=0,0,V277-U277)</f>
        <v>0</v>
      </c>
      <c r="X277" s="67">
        <f t="shared" si="59"/>
        <v>0</v>
      </c>
      <c r="Y277" s="68">
        <f t="shared" si="64"/>
        <v>45914</v>
      </c>
      <c r="Z277" s="69">
        <f t="shared" si="64"/>
        <v>45914</v>
      </c>
      <c r="AA277" s="1"/>
      <c r="AB277" s="1"/>
      <c r="AC277" s="1"/>
      <c r="AD277" s="1"/>
      <c r="AE277" s="1"/>
      <c r="AF277" s="1"/>
      <c r="AG277" s="1"/>
    </row>
    <row r="278" spans="1:33" ht="20">
      <c r="A278" s="1"/>
      <c r="B278" s="11"/>
      <c r="C278" s="50">
        <v>258</v>
      </c>
      <c r="D278" s="51">
        <v>0</v>
      </c>
      <c r="E278" s="52">
        <f t="shared" ref="E278:E341" si="70">MONTH(Y278)</f>
        <v>9</v>
      </c>
      <c r="F278" s="53">
        <f t="shared" ref="F278:F341" si="71">F277+1</f>
        <v>45915</v>
      </c>
      <c r="G278" s="54" t="str">
        <f t="shared" ref="G278:G341" si="72">TEXT(Z278,"ddd")</f>
        <v>Mon</v>
      </c>
      <c r="H278" s="55"/>
      <c r="I278" s="56"/>
      <c r="J278" s="82"/>
      <c r="K278" s="83"/>
      <c r="L278" s="59">
        <f t="shared" si="65"/>
        <v>0</v>
      </c>
      <c r="M278" s="60">
        <f t="shared" si="67"/>
        <v>0</v>
      </c>
      <c r="N278" s="61" t="str">
        <f t="shared" si="66"/>
        <v>¥0</v>
      </c>
      <c r="O278" s="81"/>
      <c r="P278" s="59">
        <f>IF(D278=0,0,SUM($L$264:L278))</f>
        <v>0</v>
      </c>
      <c r="Q278" s="59">
        <f>IF(D278=0,0,SUM($J$264:J278))</f>
        <v>0</v>
      </c>
      <c r="R278" s="63">
        <f t="shared" si="68"/>
        <v>0</v>
      </c>
      <c r="S278" s="64">
        <f t="shared" ref="S278:S341" si="73">IF(D278=0,0,Q278/P278)</f>
        <v>0</v>
      </c>
      <c r="T278" s="78"/>
      <c r="U278" s="59">
        <f>IF(D278=0,0,SUM($L$21:L278))</f>
        <v>0</v>
      </c>
      <c r="V278" s="59">
        <f>IF(D278=0,0,SUM($J$21:J278))</f>
        <v>0</v>
      </c>
      <c r="W278" s="66">
        <f t="shared" si="69"/>
        <v>0</v>
      </c>
      <c r="X278" s="67">
        <f t="shared" ref="X278:X341" si="74">IF(D278=0,0,V278/U278)</f>
        <v>0</v>
      </c>
      <c r="Y278" s="68">
        <f t="shared" si="64"/>
        <v>45915</v>
      </c>
      <c r="Z278" s="69">
        <f t="shared" si="64"/>
        <v>45915</v>
      </c>
      <c r="AA278" s="1"/>
      <c r="AB278" s="1"/>
      <c r="AC278" s="1"/>
      <c r="AD278" s="1"/>
      <c r="AE278" s="1"/>
      <c r="AF278" s="1"/>
      <c r="AG278" s="1"/>
    </row>
    <row r="279" spans="1:33" ht="20">
      <c r="A279" s="1"/>
      <c r="B279" s="11"/>
      <c r="C279" s="50">
        <v>259</v>
      </c>
      <c r="D279" s="51">
        <v>1</v>
      </c>
      <c r="E279" s="52">
        <f t="shared" si="70"/>
        <v>9</v>
      </c>
      <c r="F279" s="53">
        <f t="shared" si="71"/>
        <v>45916</v>
      </c>
      <c r="G279" s="54" t="str">
        <f t="shared" si="72"/>
        <v>Tue</v>
      </c>
      <c r="H279" s="55"/>
      <c r="I279" s="56"/>
      <c r="J279" s="82"/>
      <c r="K279" s="83"/>
      <c r="L279" s="59">
        <f t="shared" si="65"/>
        <v>279720.27972027974</v>
      </c>
      <c r="M279" s="60">
        <f t="shared" si="67"/>
        <v>-279720.27972027974</v>
      </c>
      <c r="N279" s="61">
        <f t="shared" si="66"/>
        <v>0</v>
      </c>
      <c r="O279" s="80"/>
      <c r="P279" s="59">
        <f>IF(D279=0,0,SUM($L$264:L279))</f>
        <v>3636363.6363636376</v>
      </c>
      <c r="Q279" s="59">
        <f>IF(D279=0,0,SUM($J$264:J279))</f>
        <v>0</v>
      </c>
      <c r="R279" s="63">
        <f t="shared" si="68"/>
        <v>-3636363.6363636376</v>
      </c>
      <c r="S279" s="64">
        <f t="shared" si="73"/>
        <v>0</v>
      </c>
      <c r="T279" s="73"/>
      <c r="U279" s="59">
        <f>IF(D279=0,0,SUM($L$21:L279))</f>
        <v>53538461.53846135</v>
      </c>
      <c r="V279" s="59">
        <f>IF(D279=0,0,SUM($J$21:J279))</f>
        <v>31748860</v>
      </c>
      <c r="W279" s="66">
        <f t="shared" si="69"/>
        <v>-21789601.53846135</v>
      </c>
      <c r="X279" s="67">
        <f t="shared" si="74"/>
        <v>0.59301031609195609</v>
      </c>
      <c r="Y279" s="68">
        <f t="shared" ref="Y279:Z294" si="75">Y278+1</f>
        <v>45916</v>
      </c>
      <c r="Z279" s="69">
        <f t="shared" si="75"/>
        <v>45916</v>
      </c>
      <c r="AA279" s="1"/>
      <c r="AB279" s="1"/>
      <c r="AC279" s="1"/>
      <c r="AD279" s="1"/>
      <c r="AE279" s="1"/>
      <c r="AF279" s="1"/>
      <c r="AG279" s="1"/>
    </row>
    <row r="280" spans="1:33" ht="20">
      <c r="A280" s="1"/>
      <c r="B280" s="11"/>
      <c r="C280" s="50">
        <v>260</v>
      </c>
      <c r="D280" s="51">
        <v>1</v>
      </c>
      <c r="E280" s="52">
        <f t="shared" si="70"/>
        <v>9</v>
      </c>
      <c r="F280" s="53">
        <f t="shared" si="71"/>
        <v>45917</v>
      </c>
      <c r="G280" s="54" t="str">
        <f t="shared" si="72"/>
        <v>Wed</v>
      </c>
      <c r="H280" s="55"/>
      <c r="I280" s="56"/>
      <c r="J280" s="82"/>
      <c r="K280" s="83"/>
      <c r="L280" s="59">
        <f t="shared" si="65"/>
        <v>279720.27972027974</v>
      </c>
      <c r="M280" s="60">
        <f t="shared" si="67"/>
        <v>-279720.27972027974</v>
      </c>
      <c r="N280" s="61">
        <f t="shared" si="66"/>
        <v>0</v>
      </c>
      <c r="O280" s="80"/>
      <c r="P280" s="59">
        <f>IF(D280=0,0,SUM($L$264:L280))</f>
        <v>3916083.9160839175</v>
      </c>
      <c r="Q280" s="59">
        <f>IF(D280=0,0,SUM($J$264:J280))</f>
        <v>0</v>
      </c>
      <c r="R280" s="63">
        <f t="shared" si="68"/>
        <v>-3916083.9160839175</v>
      </c>
      <c r="S280" s="64">
        <f t="shared" si="73"/>
        <v>0</v>
      </c>
      <c r="T280" s="73"/>
      <c r="U280" s="59">
        <f>IF(D280=0,0,SUM($L$21:L280))</f>
        <v>53818181.818181626</v>
      </c>
      <c r="V280" s="59">
        <f>IF(D280=0,0,SUM($J$21:J280))</f>
        <v>31748860</v>
      </c>
      <c r="W280" s="66">
        <f t="shared" si="69"/>
        <v>-22069321.818181626</v>
      </c>
      <c r="X280" s="67">
        <f t="shared" si="74"/>
        <v>0.58992814189189402</v>
      </c>
      <c r="Y280" s="68">
        <f t="shared" si="75"/>
        <v>45917</v>
      </c>
      <c r="Z280" s="69">
        <f t="shared" si="75"/>
        <v>45917</v>
      </c>
      <c r="AA280" s="1"/>
      <c r="AB280" s="1"/>
      <c r="AC280" s="1"/>
      <c r="AD280" s="1"/>
      <c r="AE280" s="1"/>
      <c r="AF280" s="1"/>
      <c r="AG280" s="1"/>
    </row>
    <row r="281" spans="1:33" ht="20">
      <c r="A281" s="1"/>
      <c r="B281" s="11"/>
      <c r="C281" s="50">
        <v>261</v>
      </c>
      <c r="D281" s="51">
        <v>1</v>
      </c>
      <c r="E281" s="52">
        <f t="shared" si="70"/>
        <v>9</v>
      </c>
      <c r="F281" s="53">
        <f t="shared" si="71"/>
        <v>45918</v>
      </c>
      <c r="G281" s="54" t="str">
        <f t="shared" si="72"/>
        <v>Thu</v>
      </c>
      <c r="H281" s="55"/>
      <c r="I281" s="56"/>
      <c r="J281" s="82"/>
      <c r="K281" s="83"/>
      <c r="L281" s="59">
        <f t="shared" si="65"/>
        <v>279720.27972027974</v>
      </c>
      <c r="M281" s="60">
        <f t="shared" si="67"/>
        <v>-279720.27972027974</v>
      </c>
      <c r="N281" s="61">
        <f t="shared" si="66"/>
        <v>0</v>
      </c>
      <c r="O281" s="80"/>
      <c r="P281" s="59">
        <f>IF(D281=0,0,SUM($L$264:L281))</f>
        <v>4195804.1958041973</v>
      </c>
      <c r="Q281" s="59">
        <f>IF(D281=0,0,SUM($J$264:J281))</f>
        <v>0</v>
      </c>
      <c r="R281" s="63">
        <f t="shared" si="68"/>
        <v>-4195804.1958041973</v>
      </c>
      <c r="S281" s="64">
        <f t="shared" si="73"/>
        <v>0</v>
      </c>
      <c r="T281" s="73"/>
      <c r="U281" s="59">
        <f>IF(D281=0,0,SUM($L$21:L281))</f>
        <v>54097902.097901903</v>
      </c>
      <c r="V281" s="59">
        <f>IF(D281=0,0,SUM($J$21:J281))</f>
        <v>31748860</v>
      </c>
      <c r="W281" s="66">
        <f t="shared" si="69"/>
        <v>-22349042.097901903</v>
      </c>
      <c r="X281" s="67">
        <f t="shared" si="74"/>
        <v>0.586877841261636</v>
      </c>
      <c r="Y281" s="68">
        <f t="shared" si="75"/>
        <v>45918</v>
      </c>
      <c r="Z281" s="69">
        <f t="shared" si="75"/>
        <v>45918</v>
      </c>
      <c r="AA281" s="1"/>
      <c r="AB281" s="1"/>
      <c r="AC281" s="1"/>
      <c r="AD281" s="1"/>
      <c r="AE281" s="1"/>
      <c r="AF281" s="1"/>
      <c r="AG281" s="1"/>
    </row>
    <row r="282" spans="1:33" ht="20">
      <c r="A282" s="1"/>
      <c r="B282" s="11"/>
      <c r="C282" s="50">
        <v>262</v>
      </c>
      <c r="D282" s="51">
        <v>1</v>
      </c>
      <c r="E282" s="52">
        <f t="shared" si="70"/>
        <v>9</v>
      </c>
      <c r="F282" s="53">
        <f t="shared" si="71"/>
        <v>45919</v>
      </c>
      <c r="G282" s="54" t="str">
        <f t="shared" si="72"/>
        <v>Fri</v>
      </c>
      <c r="H282" s="55"/>
      <c r="I282" s="56"/>
      <c r="J282" s="82"/>
      <c r="K282" s="83"/>
      <c r="L282" s="59">
        <f t="shared" si="65"/>
        <v>279720.27972027974</v>
      </c>
      <c r="M282" s="60">
        <f t="shared" si="67"/>
        <v>-279720.27972027974</v>
      </c>
      <c r="N282" s="61">
        <f t="shared" si="66"/>
        <v>0</v>
      </c>
      <c r="O282" s="80"/>
      <c r="P282" s="59">
        <f>IF(D282=0,0,SUM($L$264:L282))</f>
        <v>4475524.4755244767</v>
      </c>
      <c r="Q282" s="59">
        <f>IF(D282=0,0,SUM($J$264:J282))</f>
        <v>0</v>
      </c>
      <c r="R282" s="63">
        <f t="shared" si="68"/>
        <v>-4475524.4755244767</v>
      </c>
      <c r="S282" s="64">
        <f t="shared" si="73"/>
        <v>0</v>
      </c>
      <c r="T282" s="73"/>
      <c r="U282" s="59">
        <f>IF(D282=0,0,SUM($L$21:L282))</f>
        <v>54377622.37762218</v>
      </c>
      <c r="V282" s="59">
        <f>IF(D282=0,0,SUM($J$21:J282))</f>
        <v>31748860</v>
      </c>
      <c r="W282" s="66">
        <f t="shared" si="69"/>
        <v>-22628762.37762218</v>
      </c>
      <c r="X282" s="67">
        <f t="shared" si="74"/>
        <v>0.58385892232510506</v>
      </c>
      <c r="Y282" s="68">
        <f t="shared" si="75"/>
        <v>45919</v>
      </c>
      <c r="Z282" s="69">
        <f t="shared" si="75"/>
        <v>45919</v>
      </c>
      <c r="AA282" s="1"/>
      <c r="AB282" s="1"/>
      <c r="AC282" s="1"/>
      <c r="AD282" s="1"/>
      <c r="AE282" s="1"/>
      <c r="AF282" s="1"/>
      <c r="AG282" s="1"/>
    </row>
    <row r="283" spans="1:33" ht="20">
      <c r="A283" s="1"/>
      <c r="B283" s="11"/>
      <c r="C283" s="50">
        <v>263</v>
      </c>
      <c r="D283" s="51">
        <v>1</v>
      </c>
      <c r="E283" s="52">
        <f t="shared" si="70"/>
        <v>9</v>
      </c>
      <c r="F283" s="53">
        <f t="shared" si="71"/>
        <v>45920</v>
      </c>
      <c r="G283" s="54" t="str">
        <f t="shared" si="72"/>
        <v>Sat</v>
      </c>
      <c r="H283" s="55"/>
      <c r="I283" s="56"/>
      <c r="J283" s="82"/>
      <c r="K283" s="83"/>
      <c r="L283" s="59">
        <f t="shared" si="65"/>
        <v>279720.27972027974</v>
      </c>
      <c r="M283" s="60">
        <f t="shared" si="67"/>
        <v>-279720.27972027974</v>
      </c>
      <c r="N283" s="61">
        <f t="shared" si="66"/>
        <v>0</v>
      </c>
      <c r="O283" s="80"/>
      <c r="P283" s="59">
        <f>IF(D283=0,0,SUM($L$264:L283))</f>
        <v>4755244.7552447561</v>
      </c>
      <c r="Q283" s="59">
        <f>IF(D283=0,0,SUM($J$264:J283))</f>
        <v>0</v>
      </c>
      <c r="R283" s="63">
        <f t="shared" si="68"/>
        <v>-4755244.7552447561</v>
      </c>
      <c r="S283" s="64">
        <f t="shared" si="73"/>
        <v>0</v>
      </c>
      <c r="T283" s="73"/>
      <c r="U283" s="59">
        <f>IF(D283=0,0,SUM($L$21:L283))</f>
        <v>54657342.657342456</v>
      </c>
      <c r="V283" s="59">
        <f>IF(D283=0,0,SUM($J$21:J283))</f>
        <v>31748860</v>
      </c>
      <c r="W283" s="66">
        <f t="shared" si="69"/>
        <v>-22908482.657342456</v>
      </c>
      <c r="X283" s="67">
        <f t="shared" si="74"/>
        <v>0.58087090327533475</v>
      </c>
      <c r="Y283" s="68">
        <f t="shared" si="75"/>
        <v>45920</v>
      </c>
      <c r="Z283" s="69">
        <f t="shared" si="75"/>
        <v>45920</v>
      </c>
      <c r="AA283" s="1"/>
      <c r="AB283" s="1"/>
      <c r="AC283" s="1"/>
      <c r="AD283" s="1"/>
      <c r="AE283" s="1"/>
      <c r="AF283" s="1"/>
      <c r="AG283" s="1"/>
    </row>
    <row r="284" spans="1:33" ht="20">
      <c r="A284" s="1"/>
      <c r="B284" s="11"/>
      <c r="C284" s="50">
        <v>264</v>
      </c>
      <c r="D284" s="51">
        <v>0</v>
      </c>
      <c r="E284" s="52">
        <f t="shared" si="70"/>
        <v>9</v>
      </c>
      <c r="F284" s="53">
        <f t="shared" si="71"/>
        <v>45921</v>
      </c>
      <c r="G284" s="54" t="str">
        <f t="shared" si="72"/>
        <v>Sun</v>
      </c>
      <c r="H284" s="55"/>
      <c r="I284" s="56"/>
      <c r="J284" s="82"/>
      <c r="K284" s="83"/>
      <c r="L284" s="59">
        <f t="shared" si="65"/>
        <v>0</v>
      </c>
      <c r="M284" s="60">
        <f t="shared" si="67"/>
        <v>0</v>
      </c>
      <c r="N284" s="61" t="str">
        <f t="shared" si="66"/>
        <v>¥0</v>
      </c>
      <c r="O284" s="81"/>
      <c r="P284" s="59">
        <f>IF(D284=0,0,SUM($L$264:L284))</f>
        <v>0</v>
      </c>
      <c r="Q284" s="59">
        <f>IF(D284=0,0,SUM($J$264:J284))</f>
        <v>0</v>
      </c>
      <c r="R284" s="63">
        <f t="shared" si="68"/>
        <v>0</v>
      </c>
      <c r="S284" s="64">
        <f t="shared" si="73"/>
        <v>0</v>
      </c>
      <c r="T284" s="78"/>
      <c r="U284" s="59">
        <f>IF(D284=0,0,SUM($L$21:L284))</f>
        <v>0</v>
      </c>
      <c r="V284" s="59">
        <f>IF(D284=0,0,SUM($J$21:J284))</f>
        <v>0</v>
      </c>
      <c r="W284" s="66">
        <f t="shared" si="69"/>
        <v>0</v>
      </c>
      <c r="X284" s="67">
        <f t="shared" si="74"/>
        <v>0</v>
      </c>
      <c r="Y284" s="68">
        <f t="shared" si="75"/>
        <v>45921</v>
      </c>
      <c r="Z284" s="69">
        <f t="shared" si="75"/>
        <v>45921</v>
      </c>
      <c r="AA284" s="1"/>
      <c r="AB284" s="1"/>
      <c r="AC284" s="1"/>
      <c r="AD284" s="1"/>
      <c r="AE284" s="1"/>
      <c r="AF284" s="1"/>
      <c r="AG284" s="1"/>
    </row>
    <row r="285" spans="1:33" ht="20">
      <c r="A285" s="1"/>
      <c r="B285" s="11"/>
      <c r="C285" s="50">
        <v>265</v>
      </c>
      <c r="D285" s="51">
        <v>1</v>
      </c>
      <c r="E285" s="52">
        <f t="shared" si="70"/>
        <v>9</v>
      </c>
      <c r="F285" s="53">
        <f t="shared" si="71"/>
        <v>45922</v>
      </c>
      <c r="G285" s="54" t="str">
        <f t="shared" si="72"/>
        <v>Mon</v>
      </c>
      <c r="H285" s="55"/>
      <c r="I285" s="56"/>
      <c r="J285" s="82"/>
      <c r="K285" s="83"/>
      <c r="L285" s="59">
        <f t="shared" si="65"/>
        <v>279720.27972027974</v>
      </c>
      <c r="M285" s="60">
        <f t="shared" si="67"/>
        <v>-279720.27972027974</v>
      </c>
      <c r="N285" s="61">
        <f t="shared" si="66"/>
        <v>0</v>
      </c>
      <c r="O285" s="80"/>
      <c r="P285" s="59">
        <f>IF(D285=0,0,SUM($L$264:L285))</f>
        <v>5034965.0349650355</v>
      </c>
      <c r="Q285" s="59">
        <f>IF(D285=0,0,SUM($J$264:J285))</f>
        <v>0</v>
      </c>
      <c r="R285" s="63">
        <f t="shared" si="68"/>
        <v>-5034965.0349650355</v>
      </c>
      <c r="S285" s="64">
        <f t="shared" si="73"/>
        <v>0</v>
      </c>
      <c r="T285" s="73"/>
      <c r="U285" s="59">
        <f>IF(D285=0,0,SUM($L$21:L285))</f>
        <v>54937062.937062733</v>
      </c>
      <c r="V285" s="59">
        <f>IF(D285=0,0,SUM($J$21:J285))</f>
        <v>31748860</v>
      </c>
      <c r="W285" s="66">
        <f t="shared" si="69"/>
        <v>-23188202.937062733</v>
      </c>
      <c r="X285" s="67">
        <f t="shared" si="74"/>
        <v>0.57791331211812846</v>
      </c>
      <c r="Y285" s="68">
        <f t="shared" si="75"/>
        <v>45922</v>
      </c>
      <c r="Z285" s="69">
        <f t="shared" si="75"/>
        <v>45922</v>
      </c>
      <c r="AA285" s="1"/>
      <c r="AB285" s="1"/>
      <c r="AC285" s="1"/>
      <c r="AD285" s="1"/>
      <c r="AE285" s="1"/>
      <c r="AF285" s="1"/>
      <c r="AG285" s="1"/>
    </row>
    <row r="286" spans="1:33" ht="20">
      <c r="A286" s="1"/>
      <c r="B286" s="11"/>
      <c r="C286" s="50">
        <v>266</v>
      </c>
      <c r="D286" s="51">
        <v>0</v>
      </c>
      <c r="E286" s="52">
        <f t="shared" si="70"/>
        <v>9</v>
      </c>
      <c r="F286" s="53">
        <f t="shared" si="71"/>
        <v>45923</v>
      </c>
      <c r="G286" s="54" t="str">
        <f t="shared" si="72"/>
        <v>Tue</v>
      </c>
      <c r="H286" s="55"/>
      <c r="I286" s="56"/>
      <c r="J286" s="82"/>
      <c r="K286" s="83"/>
      <c r="L286" s="59">
        <f t="shared" si="65"/>
        <v>0</v>
      </c>
      <c r="M286" s="60">
        <f t="shared" si="67"/>
        <v>0</v>
      </c>
      <c r="N286" s="61" t="str">
        <f t="shared" si="66"/>
        <v>¥0</v>
      </c>
      <c r="O286" s="81"/>
      <c r="P286" s="59">
        <f>IF(D286=0,0,SUM($L$264:L286))</f>
        <v>0</v>
      </c>
      <c r="Q286" s="59">
        <f>IF(D286=0,0,SUM($J$264:J286))</f>
        <v>0</v>
      </c>
      <c r="R286" s="63">
        <f t="shared" si="68"/>
        <v>0</v>
      </c>
      <c r="S286" s="64">
        <f t="shared" si="73"/>
        <v>0</v>
      </c>
      <c r="T286" s="78"/>
      <c r="U286" s="59">
        <f>IF(D286=0,0,SUM($L$21:L286))</f>
        <v>0</v>
      </c>
      <c r="V286" s="59">
        <f>IF(D286=0,0,SUM($J$21:J286))</f>
        <v>0</v>
      </c>
      <c r="W286" s="66">
        <f t="shared" si="69"/>
        <v>0</v>
      </c>
      <c r="X286" s="67">
        <f t="shared" si="74"/>
        <v>0</v>
      </c>
      <c r="Y286" s="68">
        <f t="shared" si="75"/>
        <v>45923</v>
      </c>
      <c r="Z286" s="69">
        <f t="shared" si="75"/>
        <v>45923</v>
      </c>
      <c r="AA286" s="1"/>
      <c r="AB286" s="1"/>
      <c r="AC286" s="1"/>
      <c r="AD286" s="1"/>
      <c r="AE286" s="1"/>
      <c r="AF286" s="1"/>
      <c r="AG286" s="1"/>
    </row>
    <row r="287" spans="1:33" ht="20">
      <c r="A287" s="1"/>
      <c r="B287" s="11"/>
      <c r="C287" s="50">
        <v>267</v>
      </c>
      <c r="D287" s="51">
        <v>1</v>
      </c>
      <c r="E287" s="52">
        <f t="shared" si="70"/>
        <v>9</v>
      </c>
      <c r="F287" s="53">
        <f t="shared" si="71"/>
        <v>45924</v>
      </c>
      <c r="G287" s="54" t="str">
        <f t="shared" si="72"/>
        <v>Wed</v>
      </c>
      <c r="H287" s="55"/>
      <c r="I287" s="56"/>
      <c r="J287" s="82"/>
      <c r="K287" s="83"/>
      <c r="L287" s="59">
        <f t="shared" si="65"/>
        <v>279720.27972027974</v>
      </c>
      <c r="M287" s="60">
        <f t="shared" si="67"/>
        <v>-279720.27972027974</v>
      </c>
      <c r="N287" s="61">
        <f t="shared" si="66"/>
        <v>0</v>
      </c>
      <c r="O287" s="80"/>
      <c r="P287" s="59">
        <f>IF(D287=0,0,SUM($L$264:L287))</f>
        <v>5314685.3146853149</v>
      </c>
      <c r="Q287" s="59">
        <f>IF(D287=0,0,SUM($J$264:J287))</f>
        <v>0</v>
      </c>
      <c r="R287" s="63">
        <f t="shared" si="68"/>
        <v>-5314685.3146853149</v>
      </c>
      <c r="S287" s="64">
        <f t="shared" si="73"/>
        <v>0</v>
      </c>
      <c r="T287" s="73"/>
      <c r="U287" s="59">
        <f>IF(D287=0,0,SUM($L$21:L287))</f>
        <v>55216783.216783009</v>
      </c>
      <c r="V287" s="59">
        <f>IF(D287=0,0,SUM($J$21:J287))</f>
        <v>31748860</v>
      </c>
      <c r="W287" s="66">
        <f t="shared" si="69"/>
        <v>-23467923.216783009</v>
      </c>
      <c r="X287" s="67">
        <f t="shared" si="74"/>
        <v>0.57498568642350778</v>
      </c>
      <c r="Y287" s="68">
        <f t="shared" si="75"/>
        <v>45924</v>
      </c>
      <c r="Z287" s="69">
        <f t="shared" si="75"/>
        <v>45924</v>
      </c>
      <c r="AA287" s="1"/>
      <c r="AB287" s="1"/>
      <c r="AC287" s="1"/>
      <c r="AD287" s="1"/>
      <c r="AE287" s="1"/>
      <c r="AF287" s="1"/>
      <c r="AG287" s="1"/>
    </row>
    <row r="288" spans="1:33" ht="20">
      <c r="A288" s="1"/>
      <c r="B288" s="11"/>
      <c r="C288" s="50">
        <v>268</v>
      </c>
      <c r="D288" s="51">
        <v>1</v>
      </c>
      <c r="E288" s="52">
        <f t="shared" si="70"/>
        <v>9</v>
      </c>
      <c r="F288" s="53">
        <f t="shared" si="71"/>
        <v>45925</v>
      </c>
      <c r="G288" s="54" t="str">
        <f t="shared" si="72"/>
        <v>Thu</v>
      </c>
      <c r="H288" s="55"/>
      <c r="I288" s="56"/>
      <c r="J288" s="82"/>
      <c r="K288" s="83"/>
      <c r="L288" s="59">
        <f t="shared" si="65"/>
        <v>279720.27972027974</v>
      </c>
      <c r="M288" s="60">
        <f t="shared" si="67"/>
        <v>-279720.27972027974</v>
      </c>
      <c r="N288" s="61">
        <f t="shared" si="66"/>
        <v>0</v>
      </c>
      <c r="O288" s="80"/>
      <c r="P288" s="59">
        <f>IF(D288=0,0,SUM($L$264:L288))</f>
        <v>5594405.5944055943</v>
      </c>
      <c r="Q288" s="59">
        <f>IF(D288=0,0,SUM($J$264:J288))</f>
        <v>0</v>
      </c>
      <c r="R288" s="63">
        <f t="shared" si="68"/>
        <v>-5594405.5944055943</v>
      </c>
      <c r="S288" s="64">
        <f t="shared" si="73"/>
        <v>0</v>
      </c>
      <c r="T288" s="73"/>
      <c r="U288" s="59">
        <f>IF(D288=0,0,SUM($L$21:L288))</f>
        <v>55496503.496503286</v>
      </c>
      <c r="V288" s="59">
        <f>IF(D288=0,0,SUM($J$21:J288))</f>
        <v>31748860</v>
      </c>
      <c r="W288" s="66">
        <f t="shared" si="69"/>
        <v>-23747643.496503286</v>
      </c>
      <c r="X288" s="67">
        <f t="shared" si="74"/>
        <v>0.57208757308467961</v>
      </c>
      <c r="Y288" s="68">
        <f t="shared" si="75"/>
        <v>45925</v>
      </c>
      <c r="Z288" s="69">
        <f t="shared" si="75"/>
        <v>45925</v>
      </c>
      <c r="AA288" s="1"/>
      <c r="AB288" s="1"/>
      <c r="AC288" s="1"/>
      <c r="AD288" s="1"/>
      <c r="AE288" s="1"/>
      <c r="AF288" s="1"/>
      <c r="AG288" s="1"/>
    </row>
    <row r="289" spans="1:33" ht="20">
      <c r="A289" s="1"/>
      <c r="B289" s="11"/>
      <c r="C289" s="50">
        <v>269</v>
      </c>
      <c r="D289" s="51">
        <v>1</v>
      </c>
      <c r="E289" s="52">
        <f t="shared" si="70"/>
        <v>9</v>
      </c>
      <c r="F289" s="53">
        <f t="shared" si="71"/>
        <v>45926</v>
      </c>
      <c r="G289" s="54" t="str">
        <f t="shared" si="72"/>
        <v>Fri</v>
      </c>
      <c r="H289" s="55"/>
      <c r="I289" s="56"/>
      <c r="J289" s="82"/>
      <c r="K289" s="83"/>
      <c r="L289" s="59">
        <f t="shared" si="65"/>
        <v>279720.27972027974</v>
      </c>
      <c r="M289" s="60">
        <f t="shared" si="67"/>
        <v>-279720.27972027974</v>
      </c>
      <c r="N289" s="61">
        <f t="shared" si="66"/>
        <v>0</v>
      </c>
      <c r="O289" s="80"/>
      <c r="P289" s="59">
        <f>IF(D289=0,0,SUM($L$264:L289))</f>
        <v>5874125.8741258737</v>
      </c>
      <c r="Q289" s="59">
        <f>IF(D289=0,0,SUM($J$264:J289))</f>
        <v>0</v>
      </c>
      <c r="R289" s="63">
        <f t="shared" si="68"/>
        <v>-5874125.8741258737</v>
      </c>
      <c r="S289" s="64">
        <f t="shared" si="73"/>
        <v>0</v>
      </c>
      <c r="T289" s="73"/>
      <c r="U289" s="59">
        <f>IF(D289=0,0,SUM($L$21:L289))</f>
        <v>55776223.776223563</v>
      </c>
      <c r="V289" s="59">
        <f>IF(D289=0,0,SUM($J$21:J289))</f>
        <v>31748860</v>
      </c>
      <c r="W289" s="66">
        <f t="shared" si="69"/>
        <v>-24027363.776223563</v>
      </c>
      <c r="X289" s="67">
        <f t="shared" si="74"/>
        <v>0.56921852808425499</v>
      </c>
      <c r="Y289" s="68">
        <f t="shared" si="75"/>
        <v>45926</v>
      </c>
      <c r="Z289" s="69">
        <f t="shared" si="75"/>
        <v>45926</v>
      </c>
      <c r="AA289" s="1"/>
      <c r="AB289" s="1"/>
      <c r="AC289" s="1"/>
      <c r="AD289" s="1"/>
      <c r="AE289" s="1"/>
      <c r="AF289" s="1"/>
      <c r="AG289" s="1"/>
    </row>
    <row r="290" spans="1:33" ht="20">
      <c r="A290" s="1"/>
      <c r="B290" s="11"/>
      <c r="C290" s="50">
        <v>270</v>
      </c>
      <c r="D290" s="51">
        <v>1</v>
      </c>
      <c r="E290" s="52">
        <f t="shared" si="70"/>
        <v>9</v>
      </c>
      <c r="F290" s="53">
        <f t="shared" si="71"/>
        <v>45927</v>
      </c>
      <c r="G290" s="54" t="str">
        <f t="shared" si="72"/>
        <v>Sat</v>
      </c>
      <c r="H290" s="55"/>
      <c r="I290" s="56"/>
      <c r="J290" s="82"/>
      <c r="K290" s="83"/>
      <c r="L290" s="59">
        <f t="shared" si="65"/>
        <v>279720.27972027974</v>
      </c>
      <c r="M290" s="60">
        <f t="shared" si="67"/>
        <v>-279720.27972027974</v>
      </c>
      <c r="N290" s="61">
        <f t="shared" si="66"/>
        <v>0</v>
      </c>
      <c r="O290" s="80"/>
      <c r="P290" s="59">
        <f>IF(D290=0,0,SUM($L$264:L290))</f>
        <v>6153846.1538461531</v>
      </c>
      <c r="Q290" s="59">
        <f>IF(D290=0,0,SUM($J$264:J290))</f>
        <v>0</v>
      </c>
      <c r="R290" s="63">
        <f t="shared" si="68"/>
        <v>-6153846.1538461531</v>
      </c>
      <c r="S290" s="64">
        <f t="shared" si="73"/>
        <v>0</v>
      </c>
      <c r="T290" s="73"/>
      <c r="U290" s="59">
        <f>IF(D290=0,0,SUM($L$21:L290))</f>
        <v>56055944.055943839</v>
      </c>
      <c r="V290" s="59">
        <f>IF(D290=0,0,SUM($J$21:J290))</f>
        <v>31748860</v>
      </c>
      <c r="W290" s="66">
        <f t="shared" si="69"/>
        <v>-24307084.055943839</v>
      </c>
      <c r="X290" s="67">
        <f t="shared" si="74"/>
        <v>0.56637811626746726</v>
      </c>
      <c r="Y290" s="68">
        <f t="shared" si="75"/>
        <v>45927</v>
      </c>
      <c r="Z290" s="69">
        <f t="shared" si="75"/>
        <v>45927</v>
      </c>
      <c r="AA290" s="1"/>
      <c r="AB290" s="1"/>
      <c r="AC290" s="1"/>
      <c r="AD290" s="1"/>
      <c r="AE290" s="1"/>
      <c r="AF290" s="1"/>
      <c r="AG290" s="1"/>
    </row>
    <row r="291" spans="1:33" ht="20">
      <c r="A291" s="1"/>
      <c r="B291" s="11"/>
      <c r="C291" s="50">
        <v>271</v>
      </c>
      <c r="D291" s="51">
        <v>0</v>
      </c>
      <c r="E291" s="52">
        <f t="shared" si="70"/>
        <v>9</v>
      </c>
      <c r="F291" s="53">
        <f t="shared" si="71"/>
        <v>45928</v>
      </c>
      <c r="G291" s="54" t="str">
        <f t="shared" si="72"/>
        <v>Sun</v>
      </c>
      <c r="H291" s="55"/>
      <c r="I291" s="56"/>
      <c r="J291" s="82"/>
      <c r="K291" s="83"/>
      <c r="L291" s="59">
        <f t="shared" si="65"/>
        <v>0</v>
      </c>
      <c r="M291" s="60">
        <f t="shared" si="67"/>
        <v>0</v>
      </c>
      <c r="N291" s="61" t="str">
        <f t="shared" si="66"/>
        <v>¥0</v>
      </c>
      <c r="O291" s="81"/>
      <c r="P291" s="59">
        <f>IF(D291=0,0,SUM($L$264:L291))</f>
        <v>0</v>
      </c>
      <c r="Q291" s="59">
        <f>IF(D291=0,0,SUM($J$264:J291))</f>
        <v>0</v>
      </c>
      <c r="R291" s="63">
        <f t="shared" si="68"/>
        <v>0</v>
      </c>
      <c r="S291" s="64">
        <f t="shared" si="73"/>
        <v>0</v>
      </c>
      <c r="T291" s="78"/>
      <c r="U291" s="59">
        <f>IF(D291=0,0,SUM($L$21:L291))</f>
        <v>0</v>
      </c>
      <c r="V291" s="59">
        <f>IF(D291=0,0,SUM($J$21:J291))</f>
        <v>0</v>
      </c>
      <c r="W291" s="66">
        <f t="shared" si="69"/>
        <v>0</v>
      </c>
      <c r="X291" s="67">
        <f t="shared" si="74"/>
        <v>0</v>
      </c>
      <c r="Y291" s="68">
        <f t="shared" si="75"/>
        <v>45928</v>
      </c>
      <c r="Z291" s="69">
        <f t="shared" si="75"/>
        <v>45928</v>
      </c>
      <c r="AA291" s="1"/>
      <c r="AB291" s="1"/>
      <c r="AC291" s="1"/>
      <c r="AD291" s="1"/>
      <c r="AE291" s="1"/>
      <c r="AF291" s="1"/>
      <c r="AG291" s="1"/>
    </row>
    <row r="292" spans="1:33" ht="20">
      <c r="A292" s="1"/>
      <c r="B292" s="11"/>
      <c r="C292" s="50">
        <v>272</v>
      </c>
      <c r="D292" s="51">
        <v>1</v>
      </c>
      <c r="E292" s="52">
        <f t="shared" si="70"/>
        <v>9</v>
      </c>
      <c r="F292" s="53">
        <f t="shared" si="71"/>
        <v>45929</v>
      </c>
      <c r="G292" s="54" t="str">
        <f t="shared" si="72"/>
        <v>Mon</v>
      </c>
      <c r="H292" s="55"/>
      <c r="I292" s="56"/>
      <c r="J292" s="82"/>
      <c r="K292" s="83"/>
      <c r="L292" s="59">
        <f t="shared" si="65"/>
        <v>279720.27972027974</v>
      </c>
      <c r="M292" s="60">
        <f t="shared" si="67"/>
        <v>-279720.27972027974</v>
      </c>
      <c r="N292" s="61">
        <f t="shared" si="66"/>
        <v>0</v>
      </c>
      <c r="O292" s="80"/>
      <c r="P292" s="59">
        <f>IF(D292=0,0,SUM($L$264:L292))</f>
        <v>6433566.4335664324</v>
      </c>
      <c r="Q292" s="59">
        <f>IF(D292=0,0,SUM($J$264:J292))</f>
        <v>0</v>
      </c>
      <c r="R292" s="63">
        <f t="shared" si="68"/>
        <v>-6433566.4335664324</v>
      </c>
      <c r="S292" s="64">
        <f t="shared" si="73"/>
        <v>0</v>
      </c>
      <c r="T292" s="73"/>
      <c r="U292" s="59">
        <f>IF(D292=0,0,SUM($L$21:L292))</f>
        <v>56335664.335664116</v>
      </c>
      <c r="V292" s="59">
        <f>IF(D292=0,0,SUM($J$21:J292))</f>
        <v>31748860</v>
      </c>
      <c r="W292" s="66">
        <f t="shared" si="69"/>
        <v>-24586804.335664116</v>
      </c>
      <c r="X292" s="67">
        <f t="shared" si="74"/>
        <v>0.56356591112214716</v>
      </c>
      <c r="Y292" s="68">
        <f t="shared" si="75"/>
        <v>45929</v>
      </c>
      <c r="Z292" s="69">
        <f t="shared" si="75"/>
        <v>45929</v>
      </c>
      <c r="AA292" s="1"/>
      <c r="AB292" s="1"/>
      <c r="AC292" s="1"/>
      <c r="AD292" s="1"/>
      <c r="AE292" s="1"/>
      <c r="AF292" s="1"/>
      <c r="AG292" s="1"/>
    </row>
    <row r="293" spans="1:33" ht="21" thickBot="1">
      <c r="A293" s="1"/>
      <c r="B293" s="11"/>
      <c r="C293" s="100">
        <v>273</v>
      </c>
      <c r="D293" s="85">
        <v>1</v>
      </c>
      <c r="E293" s="501">
        <f t="shared" si="70"/>
        <v>9</v>
      </c>
      <c r="F293" s="101">
        <f t="shared" si="71"/>
        <v>45930</v>
      </c>
      <c r="G293" s="87" t="str">
        <f t="shared" si="72"/>
        <v>Tue</v>
      </c>
      <c r="H293" s="508"/>
      <c r="I293" s="502"/>
      <c r="J293" s="102"/>
      <c r="K293" s="503"/>
      <c r="L293" s="103">
        <f t="shared" si="65"/>
        <v>279720.27972027974</v>
      </c>
      <c r="M293" s="91">
        <f t="shared" si="67"/>
        <v>-279720.27972027974</v>
      </c>
      <c r="N293" s="92">
        <f t="shared" si="66"/>
        <v>0</v>
      </c>
      <c r="O293" s="504"/>
      <c r="P293" s="104">
        <f>IF(D293=0,0,SUM($L$264:L293))</f>
        <v>6713286.7132867118</v>
      </c>
      <c r="Q293" s="103">
        <f>IF(D293=0,0,SUM($J$264:J293))</f>
        <v>0</v>
      </c>
      <c r="R293" s="105">
        <f t="shared" si="68"/>
        <v>-6713286.7132867118</v>
      </c>
      <c r="S293" s="505">
        <f t="shared" si="73"/>
        <v>0</v>
      </c>
      <c r="T293" s="506"/>
      <c r="U293" s="94">
        <f>IF(D293=0,0,SUM($L$21:L293))</f>
        <v>56615384.615384392</v>
      </c>
      <c r="V293" s="94">
        <f>IF(D293=0,0,SUM($J$21:J293))</f>
        <v>31748860</v>
      </c>
      <c r="W293" s="95">
        <f t="shared" si="69"/>
        <v>-24866524.615384392</v>
      </c>
      <c r="X293" s="507">
        <f t="shared" si="74"/>
        <v>0.56078149456521964</v>
      </c>
      <c r="Y293" s="68">
        <f t="shared" si="75"/>
        <v>45930</v>
      </c>
      <c r="Z293" s="69">
        <f t="shared" si="75"/>
        <v>45930</v>
      </c>
      <c r="AA293" s="1"/>
      <c r="AB293" s="1"/>
      <c r="AC293" s="1"/>
      <c r="AD293" s="1"/>
      <c r="AE293" s="1"/>
      <c r="AF293" s="1"/>
      <c r="AG293" s="1"/>
    </row>
    <row r="294" spans="1:33" ht="21" thickTop="1">
      <c r="A294" s="1"/>
      <c r="B294" s="11"/>
      <c r="C294" s="50">
        <v>274</v>
      </c>
      <c r="D294" s="96">
        <v>1</v>
      </c>
      <c r="E294" s="52">
        <f t="shared" si="70"/>
        <v>10</v>
      </c>
      <c r="F294" s="53">
        <f t="shared" si="71"/>
        <v>45931</v>
      </c>
      <c r="G294" s="54" t="str">
        <f t="shared" si="72"/>
        <v>Wed</v>
      </c>
      <c r="H294" s="55"/>
      <c r="I294" s="56"/>
      <c r="J294" s="82"/>
      <c r="K294" s="83"/>
      <c r="L294" s="59">
        <f t="shared" ref="L294:L324" si="76">IF(D294=0,0,$K$16)</f>
        <v>293706.29370629374</v>
      </c>
      <c r="M294" s="63">
        <f t="shared" si="67"/>
        <v>-293706.29370629374</v>
      </c>
      <c r="N294" s="97">
        <f t="shared" si="66"/>
        <v>0</v>
      </c>
      <c r="O294" s="80"/>
      <c r="P294" s="59">
        <f>IF(D294=0,0,$L$294)</f>
        <v>293706.29370629374</v>
      </c>
      <c r="Q294" s="59">
        <f>IF(D294=0,0,$J$294)</f>
        <v>0</v>
      </c>
      <c r="R294" s="63">
        <f t="shared" si="68"/>
        <v>-293706.29370629374</v>
      </c>
      <c r="S294" s="499">
        <f t="shared" si="73"/>
        <v>0</v>
      </c>
      <c r="T294" s="73"/>
      <c r="U294" s="59">
        <f>IF(D294=0,0,SUM($L$21:L294))</f>
        <v>56909090.909090683</v>
      </c>
      <c r="V294" s="59">
        <f>IF(D294=0,0,SUM($J$21:J294))</f>
        <v>31748860</v>
      </c>
      <c r="W294" s="66">
        <f t="shared" si="69"/>
        <v>-25160230.909090683</v>
      </c>
      <c r="X294" s="500">
        <f t="shared" si="74"/>
        <v>0.55788731629393196</v>
      </c>
      <c r="Y294" s="68">
        <f t="shared" si="75"/>
        <v>45931</v>
      </c>
      <c r="Z294" s="69">
        <f t="shared" si="75"/>
        <v>45931</v>
      </c>
      <c r="AA294" s="1"/>
      <c r="AB294" s="1"/>
      <c r="AC294" s="1"/>
      <c r="AD294" s="1"/>
      <c r="AE294" s="1"/>
      <c r="AF294" s="1"/>
      <c r="AG294" s="1"/>
    </row>
    <row r="295" spans="1:33" ht="20">
      <c r="A295" s="1"/>
      <c r="B295" s="11"/>
      <c r="C295" s="50">
        <v>275</v>
      </c>
      <c r="D295" s="51">
        <v>1</v>
      </c>
      <c r="E295" s="52">
        <f t="shared" si="70"/>
        <v>10</v>
      </c>
      <c r="F295" s="53">
        <f t="shared" si="71"/>
        <v>45932</v>
      </c>
      <c r="G295" s="54" t="str">
        <f t="shared" si="72"/>
        <v>Thu</v>
      </c>
      <c r="H295" s="55"/>
      <c r="I295" s="56"/>
      <c r="J295" s="82"/>
      <c r="K295" s="83"/>
      <c r="L295" s="59">
        <f t="shared" si="76"/>
        <v>293706.29370629374</v>
      </c>
      <c r="M295" s="60">
        <f t="shared" si="67"/>
        <v>-293706.29370629374</v>
      </c>
      <c r="N295" s="61">
        <f t="shared" si="66"/>
        <v>0</v>
      </c>
      <c r="O295" s="80"/>
      <c r="P295" s="59">
        <f>IF(D295=0,0,SUM($L$294:L295))</f>
        <v>587412.58741258748</v>
      </c>
      <c r="Q295" s="59">
        <f>IF(D295=0,0,SUM($I$294:I295))</f>
        <v>0</v>
      </c>
      <c r="R295" s="63">
        <f t="shared" si="68"/>
        <v>-587412.58741258748</v>
      </c>
      <c r="S295" s="64">
        <f t="shared" si="73"/>
        <v>0</v>
      </c>
      <c r="T295" s="73"/>
      <c r="U295" s="59">
        <f>IF(D295=0,0,SUM($L$21:L295))</f>
        <v>57202797.202796973</v>
      </c>
      <c r="V295" s="59">
        <f>IF(D295=0,0,SUM($J$21:J295))</f>
        <v>31748860</v>
      </c>
      <c r="W295" s="66">
        <f t="shared" si="69"/>
        <v>-25453937.202796973</v>
      </c>
      <c r="X295" s="67">
        <f t="shared" si="74"/>
        <v>0.55502285819071129</v>
      </c>
      <c r="Y295" s="68">
        <f t="shared" ref="Y295:Z310" si="77">Y294+1</f>
        <v>45932</v>
      </c>
      <c r="Z295" s="69">
        <f t="shared" si="77"/>
        <v>45932</v>
      </c>
      <c r="AA295" s="1"/>
      <c r="AB295" s="1"/>
      <c r="AC295" s="1"/>
      <c r="AD295" s="1"/>
      <c r="AE295" s="1"/>
      <c r="AF295" s="1"/>
      <c r="AG295" s="1"/>
    </row>
    <row r="296" spans="1:33" ht="20">
      <c r="A296" s="1"/>
      <c r="B296" s="11"/>
      <c r="C296" s="50">
        <v>276</v>
      </c>
      <c r="D296" s="51">
        <v>1</v>
      </c>
      <c r="E296" s="52">
        <f t="shared" si="70"/>
        <v>10</v>
      </c>
      <c r="F296" s="53">
        <f t="shared" si="71"/>
        <v>45933</v>
      </c>
      <c r="G296" s="54" t="str">
        <f t="shared" si="72"/>
        <v>Fri</v>
      </c>
      <c r="H296" s="55"/>
      <c r="I296" s="56"/>
      <c r="J296" s="82"/>
      <c r="K296" s="83"/>
      <c r="L296" s="59">
        <f t="shared" si="76"/>
        <v>293706.29370629374</v>
      </c>
      <c r="M296" s="60">
        <f t="shared" si="67"/>
        <v>-293706.29370629374</v>
      </c>
      <c r="N296" s="61">
        <f t="shared" si="66"/>
        <v>0</v>
      </c>
      <c r="O296" s="80"/>
      <c r="P296" s="59">
        <f>IF(D296=0,0,SUM($L$294:L296))</f>
        <v>881118.88111888128</v>
      </c>
      <c r="Q296" s="59">
        <f>IF(D296=0,0,SUM($I$294:I296))</f>
        <v>0</v>
      </c>
      <c r="R296" s="63">
        <f t="shared" si="68"/>
        <v>-881118.88111888128</v>
      </c>
      <c r="S296" s="64">
        <f t="shared" si="73"/>
        <v>0</v>
      </c>
      <c r="T296" s="73"/>
      <c r="U296" s="59">
        <f>IF(D296=0,0,SUM($L$21:L296))</f>
        <v>57496503.496503264</v>
      </c>
      <c r="V296" s="59">
        <f>IF(D296=0,0,SUM($J$21:J296))</f>
        <v>31748860</v>
      </c>
      <c r="W296" s="66">
        <f t="shared" si="69"/>
        <v>-25747643.496503264</v>
      </c>
      <c r="X296" s="67">
        <f t="shared" si="74"/>
        <v>0.55218766480175363</v>
      </c>
      <c r="Y296" s="68">
        <f t="shared" si="77"/>
        <v>45933</v>
      </c>
      <c r="Z296" s="69">
        <f t="shared" si="77"/>
        <v>45933</v>
      </c>
      <c r="AA296" s="1"/>
      <c r="AB296" s="1"/>
      <c r="AC296" s="1"/>
      <c r="AD296" s="1"/>
      <c r="AE296" s="1"/>
      <c r="AF296" s="1"/>
      <c r="AG296" s="1"/>
    </row>
    <row r="297" spans="1:33" ht="20">
      <c r="A297" s="1"/>
      <c r="B297" s="11"/>
      <c r="C297" s="50">
        <v>277</v>
      </c>
      <c r="D297" s="51">
        <v>1</v>
      </c>
      <c r="E297" s="52">
        <f t="shared" si="70"/>
        <v>10</v>
      </c>
      <c r="F297" s="53">
        <f t="shared" si="71"/>
        <v>45934</v>
      </c>
      <c r="G297" s="54" t="str">
        <f t="shared" si="72"/>
        <v>Sat</v>
      </c>
      <c r="H297" s="55"/>
      <c r="I297" s="56"/>
      <c r="J297" s="82"/>
      <c r="K297" s="83"/>
      <c r="L297" s="59">
        <f t="shared" si="76"/>
        <v>293706.29370629374</v>
      </c>
      <c r="M297" s="60">
        <f t="shared" si="67"/>
        <v>-293706.29370629374</v>
      </c>
      <c r="N297" s="61">
        <f t="shared" si="66"/>
        <v>0</v>
      </c>
      <c r="O297" s="80"/>
      <c r="P297" s="59">
        <f>IF(D297=0,0,SUM($L$294:L297))</f>
        <v>1174825.174825175</v>
      </c>
      <c r="Q297" s="59">
        <f>IF(D297=0,0,SUM($I$294:I297))</f>
        <v>0</v>
      </c>
      <c r="R297" s="63">
        <f t="shared" si="68"/>
        <v>-1174825.174825175</v>
      </c>
      <c r="S297" s="64">
        <f t="shared" si="73"/>
        <v>0</v>
      </c>
      <c r="T297" s="73"/>
      <c r="U297" s="59">
        <f>IF(D297=0,0,SUM($L$21:L297))</f>
        <v>57790209.790209554</v>
      </c>
      <c r="V297" s="59">
        <f>IF(D297=0,0,SUM($J$21:J297))</f>
        <v>31748860</v>
      </c>
      <c r="W297" s="66">
        <f t="shared" si="69"/>
        <v>-26041349.790209554</v>
      </c>
      <c r="X297" s="67">
        <f t="shared" si="74"/>
        <v>0.54938128993223845</v>
      </c>
      <c r="Y297" s="68">
        <f t="shared" si="77"/>
        <v>45934</v>
      </c>
      <c r="Z297" s="69">
        <f t="shared" si="77"/>
        <v>45934</v>
      </c>
      <c r="AA297" s="1"/>
      <c r="AB297" s="1"/>
      <c r="AC297" s="1"/>
      <c r="AD297" s="1"/>
      <c r="AE297" s="1"/>
      <c r="AF297" s="1"/>
      <c r="AG297" s="1"/>
    </row>
    <row r="298" spans="1:33" ht="20">
      <c r="A298" s="1"/>
      <c r="B298" s="11"/>
      <c r="C298" s="50">
        <v>278</v>
      </c>
      <c r="D298" s="51">
        <v>0</v>
      </c>
      <c r="E298" s="52">
        <f t="shared" si="70"/>
        <v>10</v>
      </c>
      <c r="F298" s="53">
        <f t="shared" si="71"/>
        <v>45935</v>
      </c>
      <c r="G298" s="54" t="str">
        <f t="shared" si="72"/>
        <v>Sun</v>
      </c>
      <c r="H298" s="55"/>
      <c r="I298" s="56"/>
      <c r="J298" s="82"/>
      <c r="K298" s="83"/>
      <c r="L298" s="59">
        <f t="shared" si="76"/>
        <v>0</v>
      </c>
      <c r="M298" s="60">
        <f t="shared" si="67"/>
        <v>0</v>
      </c>
      <c r="N298" s="61" t="str">
        <f t="shared" si="66"/>
        <v>¥0</v>
      </c>
      <c r="O298" s="81"/>
      <c r="P298" s="59">
        <f>IF(D298=0,0,SUM($L$294:L298))</f>
        <v>0</v>
      </c>
      <c r="Q298" s="59">
        <f>IF(D298=0,0,SUM($I$294:I298))</f>
        <v>0</v>
      </c>
      <c r="R298" s="63">
        <f t="shared" si="68"/>
        <v>0</v>
      </c>
      <c r="S298" s="64">
        <f t="shared" si="73"/>
        <v>0</v>
      </c>
      <c r="T298" s="78"/>
      <c r="U298" s="59">
        <f>IF(D298=0,0,SUM($L$21:L298))</f>
        <v>0</v>
      </c>
      <c r="V298" s="59">
        <f>IF(D298=0,0,SUM($J$21:J298))</f>
        <v>0</v>
      </c>
      <c r="W298" s="66">
        <f t="shared" si="69"/>
        <v>0</v>
      </c>
      <c r="X298" s="67">
        <f t="shared" si="74"/>
        <v>0</v>
      </c>
      <c r="Y298" s="68">
        <f t="shared" si="77"/>
        <v>45935</v>
      </c>
      <c r="Z298" s="69">
        <f t="shared" si="77"/>
        <v>45935</v>
      </c>
      <c r="AA298" s="1"/>
      <c r="AB298" s="1"/>
      <c r="AC298" s="1"/>
      <c r="AD298" s="1"/>
      <c r="AE298" s="1"/>
      <c r="AF298" s="1"/>
      <c r="AG298" s="1"/>
    </row>
    <row r="299" spans="1:33" ht="20">
      <c r="A299" s="1"/>
      <c r="B299" s="11"/>
      <c r="C299" s="50">
        <v>279</v>
      </c>
      <c r="D299" s="51">
        <v>1</v>
      </c>
      <c r="E299" s="52">
        <f t="shared" si="70"/>
        <v>10</v>
      </c>
      <c r="F299" s="53">
        <f t="shared" si="71"/>
        <v>45936</v>
      </c>
      <c r="G299" s="54" t="str">
        <f t="shared" si="72"/>
        <v>Mon</v>
      </c>
      <c r="H299" s="55"/>
      <c r="I299" s="56"/>
      <c r="J299" s="82"/>
      <c r="K299" s="83"/>
      <c r="L299" s="59">
        <f t="shared" si="76"/>
        <v>293706.29370629374</v>
      </c>
      <c r="M299" s="60">
        <f t="shared" si="67"/>
        <v>-293706.29370629374</v>
      </c>
      <c r="N299" s="61">
        <f t="shared" si="66"/>
        <v>0</v>
      </c>
      <c r="O299" s="80"/>
      <c r="P299" s="59">
        <f>IF(D299=0,0,SUM($L$294:L299))</f>
        <v>1468531.4685314687</v>
      </c>
      <c r="Q299" s="59">
        <f>IF(D299=0,0,SUM($I$294:I299))</f>
        <v>0</v>
      </c>
      <c r="R299" s="63">
        <f t="shared" si="68"/>
        <v>-1468531.4685314687</v>
      </c>
      <c r="S299" s="64">
        <f t="shared" si="73"/>
        <v>0</v>
      </c>
      <c r="T299" s="73"/>
      <c r="U299" s="59">
        <f>IF(D299=0,0,SUM($L$21:L299))</f>
        <v>58083916.083915845</v>
      </c>
      <c r="V299" s="59">
        <f>IF(D299=0,0,SUM($J$21:J299))</f>
        <v>31748860</v>
      </c>
      <c r="W299" s="66">
        <f t="shared" si="69"/>
        <v>-26335056.083915845</v>
      </c>
      <c r="X299" s="67">
        <f t="shared" si="74"/>
        <v>0.54660329641223437</v>
      </c>
      <c r="Y299" s="68">
        <f t="shared" si="77"/>
        <v>45936</v>
      </c>
      <c r="Z299" s="69">
        <f t="shared" si="77"/>
        <v>45936</v>
      </c>
      <c r="AA299" s="1"/>
      <c r="AB299" s="1"/>
      <c r="AC299" s="1"/>
      <c r="AD299" s="1"/>
      <c r="AE299" s="1"/>
      <c r="AF299" s="1"/>
      <c r="AG299" s="1"/>
    </row>
    <row r="300" spans="1:33" ht="20">
      <c r="A300" s="1"/>
      <c r="B300" s="11"/>
      <c r="C300" s="50">
        <v>280</v>
      </c>
      <c r="D300" s="51">
        <v>1</v>
      </c>
      <c r="E300" s="52">
        <f t="shared" si="70"/>
        <v>10</v>
      </c>
      <c r="F300" s="53">
        <f t="shared" si="71"/>
        <v>45937</v>
      </c>
      <c r="G300" s="54" t="str">
        <f t="shared" si="72"/>
        <v>Tue</v>
      </c>
      <c r="H300" s="55"/>
      <c r="I300" s="56"/>
      <c r="J300" s="82"/>
      <c r="K300" s="83"/>
      <c r="L300" s="59">
        <f t="shared" si="76"/>
        <v>293706.29370629374</v>
      </c>
      <c r="M300" s="60">
        <f t="shared" si="67"/>
        <v>-293706.29370629374</v>
      </c>
      <c r="N300" s="61">
        <f t="shared" si="66"/>
        <v>0</v>
      </c>
      <c r="O300" s="80"/>
      <c r="P300" s="59">
        <f>IF(D300=0,0,SUM($L$294:L300))</f>
        <v>1762237.7622377623</v>
      </c>
      <c r="Q300" s="59">
        <f>IF(D300=0,0,SUM($I$294:I300))</f>
        <v>0</v>
      </c>
      <c r="R300" s="63">
        <f t="shared" si="68"/>
        <v>-1762237.7622377623</v>
      </c>
      <c r="S300" s="64">
        <f t="shared" si="73"/>
        <v>0</v>
      </c>
      <c r="T300" s="73"/>
      <c r="U300" s="59">
        <f>IF(D300=0,0,SUM($L$21:L300))</f>
        <v>58377622.377622135</v>
      </c>
      <c r="V300" s="59">
        <f>IF(D300=0,0,SUM($J$21:J300))</f>
        <v>31748860</v>
      </c>
      <c r="W300" s="66">
        <f t="shared" si="69"/>
        <v>-26628762.377622135</v>
      </c>
      <c r="X300" s="67">
        <f t="shared" si="74"/>
        <v>0.54385325586967159</v>
      </c>
      <c r="Y300" s="68">
        <f t="shared" si="77"/>
        <v>45937</v>
      </c>
      <c r="Z300" s="69">
        <f t="shared" si="77"/>
        <v>45937</v>
      </c>
      <c r="AA300" s="1"/>
      <c r="AB300" s="1"/>
      <c r="AC300" s="1"/>
      <c r="AD300" s="1"/>
      <c r="AE300" s="1"/>
      <c r="AF300" s="1"/>
      <c r="AG300" s="1"/>
    </row>
    <row r="301" spans="1:33" ht="20">
      <c r="A301" s="1"/>
      <c r="B301" s="11"/>
      <c r="C301" s="50">
        <v>281</v>
      </c>
      <c r="D301" s="51">
        <v>1</v>
      </c>
      <c r="E301" s="52">
        <f t="shared" si="70"/>
        <v>10</v>
      </c>
      <c r="F301" s="53">
        <f t="shared" si="71"/>
        <v>45938</v>
      </c>
      <c r="G301" s="54" t="str">
        <f t="shared" si="72"/>
        <v>Wed</v>
      </c>
      <c r="H301" s="55"/>
      <c r="I301" s="56"/>
      <c r="J301" s="82"/>
      <c r="K301" s="83"/>
      <c r="L301" s="59">
        <f t="shared" si="76"/>
        <v>293706.29370629374</v>
      </c>
      <c r="M301" s="60">
        <f t="shared" si="67"/>
        <v>-293706.29370629374</v>
      </c>
      <c r="N301" s="61">
        <f t="shared" si="66"/>
        <v>0</v>
      </c>
      <c r="O301" s="80"/>
      <c r="P301" s="59">
        <f>IF(D301=0,0,SUM($L$294:L301))</f>
        <v>2055944.055944056</v>
      </c>
      <c r="Q301" s="59">
        <f>IF(D301=0,0,SUM($I$294:I301))</f>
        <v>0</v>
      </c>
      <c r="R301" s="63">
        <f t="shared" si="68"/>
        <v>-2055944.055944056</v>
      </c>
      <c r="S301" s="64">
        <f t="shared" si="73"/>
        <v>0</v>
      </c>
      <c r="T301" s="73"/>
      <c r="U301" s="59">
        <f>IF(D301=0,0,SUM($L$21:L301))</f>
        <v>58671328.671328425</v>
      </c>
      <c r="V301" s="59">
        <f>IF(D301=0,0,SUM($J$21:J301))</f>
        <v>31748860</v>
      </c>
      <c r="W301" s="66">
        <f t="shared" si="69"/>
        <v>-26922468.671328425</v>
      </c>
      <c r="X301" s="67">
        <f t="shared" si="74"/>
        <v>0.54113074851013343</v>
      </c>
      <c r="Y301" s="68">
        <f t="shared" si="77"/>
        <v>45938</v>
      </c>
      <c r="Z301" s="69">
        <f t="shared" si="77"/>
        <v>45938</v>
      </c>
      <c r="AA301" s="1"/>
      <c r="AB301" s="1"/>
      <c r="AC301" s="1"/>
      <c r="AD301" s="1"/>
      <c r="AE301" s="1"/>
      <c r="AF301" s="1"/>
      <c r="AG301" s="1"/>
    </row>
    <row r="302" spans="1:33" ht="20">
      <c r="A302" s="1"/>
      <c r="B302" s="11"/>
      <c r="C302" s="50">
        <v>282</v>
      </c>
      <c r="D302" s="51">
        <v>1</v>
      </c>
      <c r="E302" s="52">
        <f t="shared" si="70"/>
        <v>10</v>
      </c>
      <c r="F302" s="53">
        <f t="shared" si="71"/>
        <v>45939</v>
      </c>
      <c r="G302" s="54" t="str">
        <f t="shared" si="72"/>
        <v>Thu</v>
      </c>
      <c r="H302" s="55"/>
      <c r="I302" s="56"/>
      <c r="J302" s="82"/>
      <c r="K302" s="83"/>
      <c r="L302" s="59">
        <f t="shared" si="76"/>
        <v>293706.29370629374</v>
      </c>
      <c r="M302" s="60">
        <f t="shared" si="67"/>
        <v>-293706.29370629374</v>
      </c>
      <c r="N302" s="61">
        <f t="shared" si="66"/>
        <v>0</v>
      </c>
      <c r="O302" s="80"/>
      <c r="P302" s="59">
        <f>IF(D302=0,0,SUM($L$294:L302))</f>
        <v>2349650.3496503499</v>
      </c>
      <c r="Q302" s="59">
        <f>IF(D302=0,0,SUM($I$294:I302))</f>
        <v>0</v>
      </c>
      <c r="R302" s="63">
        <f t="shared" si="68"/>
        <v>-2349650.3496503499</v>
      </c>
      <c r="S302" s="64">
        <f t="shared" si="73"/>
        <v>0</v>
      </c>
      <c r="T302" s="73"/>
      <c r="U302" s="59">
        <f>IF(D302=0,0,SUM($L$21:L302))</f>
        <v>58965034.965034716</v>
      </c>
      <c r="V302" s="59">
        <f>IF(D302=0,0,SUM($J$21:J302))</f>
        <v>31748860</v>
      </c>
      <c r="W302" s="66">
        <f t="shared" si="69"/>
        <v>-27216174.965034716</v>
      </c>
      <c r="X302" s="67">
        <f t="shared" si="74"/>
        <v>0.53843536290322813</v>
      </c>
      <c r="Y302" s="68">
        <f t="shared" si="77"/>
        <v>45939</v>
      </c>
      <c r="Z302" s="69">
        <f t="shared" si="77"/>
        <v>45939</v>
      </c>
      <c r="AA302" s="1"/>
      <c r="AB302" s="1"/>
      <c r="AC302" s="1"/>
      <c r="AD302" s="1"/>
      <c r="AE302" s="1"/>
      <c r="AF302" s="1"/>
      <c r="AG302" s="1"/>
    </row>
    <row r="303" spans="1:33" ht="20">
      <c r="A303" s="1"/>
      <c r="B303" s="11"/>
      <c r="C303" s="50">
        <v>283</v>
      </c>
      <c r="D303" s="51">
        <v>1</v>
      </c>
      <c r="E303" s="52">
        <f t="shared" si="70"/>
        <v>10</v>
      </c>
      <c r="F303" s="53">
        <f t="shared" si="71"/>
        <v>45940</v>
      </c>
      <c r="G303" s="54" t="str">
        <f t="shared" si="72"/>
        <v>Fri</v>
      </c>
      <c r="H303" s="55"/>
      <c r="I303" s="56"/>
      <c r="J303" s="82"/>
      <c r="K303" s="83"/>
      <c r="L303" s="59">
        <f t="shared" si="76"/>
        <v>293706.29370629374</v>
      </c>
      <c r="M303" s="60">
        <f t="shared" si="67"/>
        <v>-293706.29370629374</v>
      </c>
      <c r="N303" s="61">
        <f t="shared" si="66"/>
        <v>0</v>
      </c>
      <c r="O303" s="80"/>
      <c r="P303" s="59">
        <f>IF(D303=0,0,SUM($L$294:L303))</f>
        <v>2643356.6433566436</v>
      </c>
      <c r="Q303" s="59">
        <f>IF(D303=0,0,SUM($I$294:I303))</f>
        <v>0</v>
      </c>
      <c r="R303" s="63">
        <f t="shared" si="68"/>
        <v>-2643356.6433566436</v>
      </c>
      <c r="S303" s="64">
        <f t="shared" si="73"/>
        <v>0</v>
      </c>
      <c r="T303" s="73"/>
      <c r="U303" s="59">
        <f>IF(D303=0,0,SUM($L$21:L303))</f>
        <v>59258741.258741006</v>
      </c>
      <c r="V303" s="59">
        <f>IF(D303=0,0,SUM($J$21:J303))</f>
        <v>31748860</v>
      </c>
      <c r="W303" s="66">
        <f t="shared" si="69"/>
        <v>-27509881.258741006</v>
      </c>
      <c r="X303" s="67">
        <f t="shared" si="74"/>
        <v>0.53576669577531499</v>
      </c>
      <c r="Y303" s="68">
        <f t="shared" si="77"/>
        <v>45940</v>
      </c>
      <c r="Z303" s="69">
        <f t="shared" si="77"/>
        <v>45940</v>
      </c>
      <c r="AA303" s="1"/>
      <c r="AB303" s="1"/>
      <c r="AC303" s="1"/>
      <c r="AD303" s="1"/>
      <c r="AE303" s="1"/>
      <c r="AF303" s="1"/>
      <c r="AG303" s="1"/>
    </row>
    <row r="304" spans="1:33" ht="20">
      <c r="A304" s="1"/>
      <c r="B304" s="11"/>
      <c r="C304" s="50">
        <v>284</v>
      </c>
      <c r="D304" s="51">
        <v>1</v>
      </c>
      <c r="E304" s="52">
        <f t="shared" si="70"/>
        <v>10</v>
      </c>
      <c r="F304" s="53">
        <f t="shared" si="71"/>
        <v>45941</v>
      </c>
      <c r="G304" s="54" t="str">
        <f t="shared" si="72"/>
        <v>Sat</v>
      </c>
      <c r="H304" s="55"/>
      <c r="I304" s="56"/>
      <c r="J304" s="82"/>
      <c r="K304" s="83"/>
      <c r="L304" s="59">
        <f t="shared" si="76"/>
        <v>293706.29370629374</v>
      </c>
      <c r="M304" s="60">
        <f t="shared" si="67"/>
        <v>-293706.29370629374</v>
      </c>
      <c r="N304" s="61">
        <f t="shared" si="66"/>
        <v>0</v>
      </c>
      <c r="O304" s="80"/>
      <c r="P304" s="59">
        <f>IF(D304=0,0,SUM($L$294:L304))</f>
        <v>2937062.9370629373</v>
      </c>
      <c r="Q304" s="59">
        <f>IF(D304=0,0,SUM($I$294:I304))</f>
        <v>0</v>
      </c>
      <c r="R304" s="63">
        <f t="shared" si="68"/>
        <v>-2937062.9370629373</v>
      </c>
      <c r="S304" s="64">
        <f t="shared" si="73"/>
        <v>0</v>
      </c>
      <c r="T304" s="73"/>
      <c r="U304" s="59">
        <f>IF(D304=0,0,SUM($L$21:L304))</f>
        <v>59552447.552447297</v>
      </c>
      <c r="V304" s="59">
        <f>IF(D304=0,0,SUM($J$21:J304))</f>
        <v>31748860</v>
      </c>
      <c r="W304" s="66">
        <f t="shared" si="69"/>
        <v>-27803587.552447297</v>
      </c>
      <c r="X304" s="67">
        <f t="shared" si="74"/>
        <v>0.53312435180836304</v>
      </c>
      <c r="Y304" s="68">
        <f t="shared" si="77"/>
        <v>45941</v>
      </c>
      <c r="Z304" s="69">
        <f t="shared" si="77"/>
        <v>45941</v>
      </c>
      <c r="AA304" s="1"/>
      <c r="AB304" s="1"/>
      <c r="AC304" s="1"/>
      <c r="AD304" s="1"/>
      <c r="AE304" s="1"/>
      <c r="AF304" s="1"/>
      <c r="AG304" s="1"/>
    </row>
    <row r="305" spans="1:33" ht="20">
      <c r="A305" s="1"/>
      <c r="B305" s="11"/>
      <c r="C305" s="50">
        <v>285</v>
      </c>
      <c r="D305" s="51">
        <v>0</v>
      </c>
      <c r="E305" s="52">
        <f t="shared" si="70"/>
        <v>10</v>
      </c>
      <c r="F305" s="53">
        <f t="shared" si="71"/>
        <v>45942</v>
      </c>
      <c r="G305" s="54" t="str">
        <f t="shared" si="72"/>
        <v>Sun</v>
      </c>
      <c r="H305" s="55"/>
      <c r="I305" s="56"/>
      <c r="J305" s="82"/>
      <c r="K305" s="83"/>
      <c r="L305" s="59">
        <f t="shared" si="76"/>
        <v>0</v>
      </c>
      <c r="M305" s="60">
        <f t="shared" si="67"/>
        <v>0</v>
      </c>
      <c r="N305" s="61" t="str">
        <f t="shared" si="66"/>
        <v>¥0</v>
      </c>
      <c r="O305" s="81"/>
      <c r="P305" s="59">
        <f>IF(D305=0,0,SUM($L$294:L305))</f>
        <v>0</v>
      </c>
      <c r="Q305" s="59">
        <f>IF(D305=0,0,SUM($I$294:I305))</f>
        <v>0</v>
      </c>
      <c r="R305" s="63">
        <f t="shared" si="68"/>
        <v>0</v>
      </c>
      <c r="S305" s="64">
        <f t="shared" si="73"/>
        <v>0</v>
      </c>
      <c r="T305" s="78"/>
      <c r="U305" s="59">
        <f>IF(D305=0,0,SUM($L$21:L305))</f>
        <v>0</v>
      </c>
      <c r="V305" s="59">
        <f>IF(D305=0,0,SUM($J$21:J305))</f>
        <v>0</v>
      </c>
      <c r="W305" s="66">
        <f t="shared" si="69"/>
        <v>0</v>
      </c>
      <c r="X305" s="67">
        <f t="shared" si="74"/>
        <v>0</v>
      </c>
      <c r="Y305" s="68">
        <f t="shared" si="77"/>
        <v>45942</v>
      </c>
      <c r="Z305" s="69">
        <f t="shared" si="77"/>
        <v>45942</v>
      </c>
      <c r="AA305" s="1"/>
      <c r="AB305" s="1"/>
      <c r="AC305" s="1"/>
      <c r="AD305" s="1"/>
      <c r="AE305" s="1"/>
      <c r="AF305" s="1"/>
      <c r="AG305" s="1"/>
    </row>
    <row r="306" spans="1:33" ht="20">
      <c r="A306" s="1"/>
      <c r="B306" s="11"/>
      <c r="C306" s="50">
        <v>286</v>
      </c>
      <c r="D306" s="51">
        <v>0</v>
      </c>
      <c r="E306" s="52">
        <f t="shared" si="70"/>
        <v>10</v>
      </c>
      <c r="F306" s="53">
        <f t="shared" si="71"/>
        <v>45943</v>
      </c>
      <c r="G306" s="54" t="str">
        <f t="shared" si="72"/>
        <v>Mon</v>
      </c>
      <c r="H306" s="55"/>
      <c r="I306" s="56"/>
      <c r="J306" s="82"/>
      <c r="K306" s="83"/>
      <c r="L306" s="59">
        <f t="shared" si="76"/>
        <v>0</v>
      </c>
      <c r="M306" s="60">
        <f t="shared" si="67"/>
        <v>0</v>
      </c>
      <c r="N306" s="61" t="str">
        <f t="shared" si="66"/>
        <v>¥0</v>
      </c>
      <c r="O306" s="81"/>
      <c r="P306" s="59">
        <f>IF(D306=0,0,SUM($L$294:L306))</f>
        <v>0</v>
      </c>
      <c r="Q306" s="59">
        <f>IF(D306=0,0,SUM($I$294:I306))</f>
        <v>0</v>
      </c>
      <c r="R306" s="63">
        <f t="shared" si="68"/>
        <v>0</v>
      </c>
      <c r="S306" s="64">
        <f t="shared" si="73"/>
        <v>0</v>
      </c>
      <c r="T306" s="78"/>
      <c r="U306" s="59">
        <f>IF(D306=0,0,SUM($L$21:L306))</f>
        <v>0</v>
      </c>
      <c r="V306" s="59">
        <f>IF(D306=0,0,SUM($J$21:J306))</f>
        <v>0</v>
      </c>
      <c r="W306" s="66">
        <f t="shared" si="69"/>
        <v>0</v>
      </c>
      <c r="X306" s="67">
        <f t="shared" si="74"/>
        <v>0</v>
      </c>
      <c r="Y306" s="68">
        <f t="shared" si="77"/>
        <v>45943</v>
      </c>
      <c r="Z306" s="69">
        <f t="shared" si="77"/>
        <v>45943</v>
      </c>
      <c r="AA306" s="1"/>
      <c r="AB306" s="1"/>
      <c r="AC306" s="1"/>
      <c r="AD306" s="1"/>
      <c r="AE306" s="1"/>
      <c r="AF306" s="1"/>
      <c r="AG306" s="1"/>
    </row>
    <row r="307" spans="1:33" ht="20">
      <c r="A307" s="1"/>
      <c r="B307" s="11"/>
      <c r="C307" s="50">
        <v>287</v>
      </c>
      <c r="D307" s="51">
        <v>1</v>
      </c>
      <c r="E307" s="52">
        <f t="shared" si="70"/>
        <v>10</v>
      </c>
      <c r="F307" s="53">
        <f t="shared" si="71"/>
        <v>45944</v>
      </c>
      <c r="G307" s="54" t="str">
        <f t="shared" si="72"/>
        <v>Tue</v>
      </c>
      <c r="H307" s="55"/>
      <c r="I307" s="56"/>
      <c r="J307" s="82"/>
      <c r="K307" s="83"/>
      <c r="L307" s="59">
        <f t="shared" si="76"/>
        <v>293706.29370629374</v>
      </c>
      <c r="M307" s="60">
        <f t="shared" si="67"/>
        <v>-293706.29370629374</v>
      </c>
      <c r="N307" s="61">
        <f t="shared" si="66"/>
        <v>0</v>
      </c>
      <c r="O307" s="80"/>
      <c r="P307" s="59">
        <f>IF(D307=0,0,SUM($L$294:L307))</f>
        <v>3230769.230769231</v>
      </c>
      <c r="Q307" s="59">
        <f>IF(D307=0,0,SUM($I$294:I307))</f>
        <v>0</v>
      </c>
      <c r="R307" s="63">
        <f t="shared" si="68"/>
        <v>-3230769.230769231</v>
      </c>
      <c r="S307" s="64">
        <f t="shared" si="73"/>
        <v>0</v>
      </c>
      <c r="T307" s="73"/>
      <c r="U307" s="59">
        <f>IF(D307=0,0,SUM($L$21:L307))</f>
        <v>59846153.846153587</v>
      </c>
      <c r="V307" s="59">
        <f>IF(D307=0,0,SUM($J$21:J307))</f>
        <v>31748860</v>
      </c>
      <c r="W307" s="66">
        <f t="shared" si="69"/>
        <v>-28097293.846153587</v>
      </c>
      <c r="X307" s="67">
        <f t="shared" si="74"/>
        <v>0.5305079434447324</v>
      </c>
      <c r="Y307" s="68">
        <f t="shared" si="77"/>
        <v>45944</v>
      </c>
      <c r="Z307" s="69">
        <f t="shared" si="77"/>
        <v>45944</v>
      </c>
      <c r="AA307" s="1"/>
      <c r="AB307" s="1"/>
      <c r="AC307" s="1"/>
      <c r="AD307" s="1"/>
      <c r="AE307" s="1"/>
      <c r="AF307" s="1"/>
      <c r="AG307" s="1"/>
    </row>
    <row r="308" spans="1:33" ht="20">
      <c r="A308" s="1"/>
      <c r="B308" s="11"/>
      <c r="C308" s="50">
        <v>288</v>
      </c>
      <c r="D308" s="51">
        <v>1</v>
      </c>
      <c r="E308" s="52">
        <f t="shared" si="70"/>
        <v>10</v>
      </c>
      <c r="F308" s="53">
        <f t="shared" si="71"/>
        <v>45945</v>
      </c>
      <c r="G308" s="54" t="str">
        <f t="shared" si="72"/>
        <v>Wed</v>
      </c>
      <c r="H308" s="55"/>
      <c r="I308" s="56"/>
      <c r="J308" s="82"/>
      <c r="K308" s="83"/>
      <c r="L308" s="59">
        <f t="shared" si="76"/>
        <v>293706.29370629374</v>
      </c>
      <c r="M308" s="60">
        <f t="shared" si="67"/>
        <v>-293706.29370629374</v>
      </c>
      <c r="N308" s="61">
        <f t="shared" si="66"/>
        <v>0</v>
      </c>
      <c r="O308" s="80"/>
      <c r="P308" s="59">
        <f>IF(D308=0,0,SUM($L$294:L308))</f>
        <v>3524475.5244755247</v>
      </c>
      <c r="Q308" s="59">
        <f>IF(D308=0,0,SUM($I$294:I308))</f>
        <v>0</v>
      </c>
      <c r="R308" s="63">
        <f t="shared" si="68"/>
        <v>-3524475.5244755247</v>
      </c>
      <c r="S308" s="64">
        <f t="shared" si="73"/>
        <v>0</v>
      </c>
      <c r="T308" s="73"/>
      <c r="U308" s="59">
        <f>IF(D308=0,0,SUM($L$21:L308))</f>
        <v>60139860.139859878</v>
      </c>
      <c r="V308" s="59">
        <f>IF(D308=0,0,SUM($J$21:J308))</f>
        <v>31748860</v>
      </c>
      <c r="W308" s="66">
        <f t="shared" si="69"/>
        <v>-28391000.139859878</v>
      </c>
      <c r="X308" s="67">
        <f t="shared" si="74"/>
        <v>0.52791709069767667</v>
      </c>
      <c r="Y308" s="68">
        <f t="shared" si="77"/>
        <v>45945</v>
      </c>
      <c r="Z308" s="69">
        <f t="shared" si="77"/>
        <v>45945</v>
      </c>
      <c r="AA308" s="1"/>
      <c r="AB308" s="1"/>
      <c r="AC308" s="1"/>
      <c r="AD308" s="1"/>
      <c r="AE308" s="1"/>
      <c r="AF308" s="1"/>
      <c r="AG308" s="1"/>
    </row>
    <row r="309" spans="1:33" ht="20">
      <c r="A309" s="1"/>
      <c r="B309" s="11"/>
      <c r="C309" s="50">
        <v>289</v>
      </c>
      <c r="D309" s="51">
        <v>1</v>
      </c>
      <c r="E309" s="52">
        <f t="shared" si="70"/>
        <v>10</v>
      </c>
      <c r="F309" s="53">
        <f t="shared" si="71"/>
        <v>45946</v>
      </c>
      <c r="G309" s="54" t="str">
        <f t="shared" si="72"/>
        <v>Thu</v>
      </c>
      <c r="H309" s="55"/>
      <c r="I309" s="56"/>
      <c r="J309" s="82"/>
      <c r="K309" s="83"/>
      <c r="L309" s="59">
        <f t="shared" si="76"/>
        <v>293706.29370629374</v>
      </c>
      <c r="M309" s="60">
        <f t="shared" si="67"/>
        <v>-293706.29370629374</v>
      </c>
      <c r="N309" s="61">
        <f t="shared" si="66"/>
        <v>0</v>
      </c>
      <c r="O309" s="80"/>
      <c r="P309" s="59">
        <f>IF(D309=0,0,SUM($L$294:L309))</f>
        <v>3818181.8181818184</v>
      </c>
      <c r="Q309" s="59">
        <f>IF(D309=0,0,SUM($I$294:I309))</f>
        <v>0</v>
      </c>
      <c r="R309" s="63">
        <f t="shared" si="68"/>
        <v>-3818181.8181818184</v>
      </c>
      <c r="S309" s="64">
        <f t="shared" si="73"/>
        <v>0</v>
      </c>
      <c r="T309" s="73"/>
      <c r="U309" s="59">
        <f>IF(D309=0,0,SUM($L$21:L309))</f>
        <v>60433566.433566168</v>
      </c>
      <c r="V309" s="59">
        <f>IF(D309=0,0,SUM($J$21:J309))</f>
        <v>31748860</v>
      </c>
      <c r="W309" s="66">
        <f t="shared" si="69"/>
        <v>-28684706.433566168</v>
      </c>
      <c r="X309" s="67">
        <f t="shared" si="74"/>
        <v>0.52535142096737097</v>
      </c>
      <c r="Y309" s="68">
        <f t="shared" si="77"/>
        <v>45946</v>
      </c>
      <c r="Z309" s="69">
        <f t="shared" si="77"/>
        <v>45946</v>
      </c>
      <c r="AA309" s="1"/>
      <c r="AB309" s="1"/>
      <c r="AC309" s="1"/>
      <c r="AD309" s="1"/>
      <c r="AE309" s="1"/>
      <c r="AF309" s="1"/>
      <c r="AG309" s="1"/>
    </row>
    <row r="310" spans="1:33" ht="20">
      <c r="A310" s="1"/>
      <c r="B310" s="11"/>
      <c r="C310" s="50">
        <v>290</v>
      </c>
      <c r="D310" s="51">
        <v>1</v>
      </c>
      <c r="E310" s="52">
        <f t="shared" si="70"/>
        <v>10</v>
      </c>
      <c r="F310" s="53">
        <f t="shared" si="71"/>
        <v>45947</v>
      </c>
      <c r="G310" s="54" t="str">
        <f t="shared" si="72"/>
        <v>Fri</v>
      </c>
      <c r="H310" s="55"/>
      <c r="I310" s="56"/>
      <c r="J310" s="82"/>
      <c r="K310" s="83"/>
      <c r="L310" s="59">
        <f t="shared" si="76"/>
        <v>293706.29370629374</v>
      </c>
      <c r="M310" s="60">
        <f t="shared" si="67"/>
        <v>-293706.29370629374</v>
      </c>
      <c r="N310" s="61">
        <f t="shared" si="66"/>
        <v>0</v>
      </c>
      <c r="O310" s="80"/>
      <c r="P310" s="59">
        <f>IF(D310=0,0,SUM($L$294:L310))</f>
        <v>4111888.111888112</v>
      </c>
      <c r="Q310" s="59">
        <f>IF(D310=0,0,SUM($I$294:I310))</f>
        <v>0</v>
      </c>
      <c r="R310" s="63">
        <f t="shared" si="68"/>
        <v>-4111888.111888112</v>
      </c>
      <c r="S310" s="64">
        <f t="shared" si="73"/>
        <v>0</v>
      </c>
      <c r="T310" s="73"/>
      <c r="U310" s="59">
        <f>IF(D310=0,0,SUM($L$21:L310))</f>
        <v>60727272.727272458</v>
      </c>
      <c r="V310" s="59">
        <f>IF(D310=0,0,SUM($J$21:J310))</f>
        <v>31748860</v>
      </c>
      <c r="W310" s="66">
        <f t="shared" si="69"/>
        <v>-28978412.727272458</v>
      </c>
      <c r="X310" s="67">
        <f t="shared" si="74"/>
        <v>0.52281056886227772</v>
      </c>
      <c r="Y310" s="68">
        <f t="shared" si="77"/>
        <v>45947</v>
      </c>
      <c r="Z310" s="69">
        <f t="shared" si="77"/>
        <v>45947</v>
      </c>
      <c r="AA310" s="1"/>
      <c r="AB310" s="1"/>
      <c r="AC310" s="1"/>
      <c r="AD310" s="1"/>
      <c r="AE310" s="1"/>
      <c r="AF310" s="1"/>
      <c r="AG310" s="1"/>
    </row>
    <row r="311" spans="1:33" ht="20">
      <c r="A311" s="1"/>
      <c r="B311" s="11"/>
      <c r="C311" s="50">
        <v>291</v>
      </c>
      <c r="D311" s="51">
        <v>1</v>
      </c>
      <c r="E311" s="52">
        <f t="shared" si="70"/>
        <v>10</v>
      </c>
      <c r="F311" s="53">
        <f t="shared" si="71"/>
        <v>45948</v>
      </c>
      <c r="G311" s="54" t="str">
        <f t="shared" si="72"/>
        <v>Sat</v>
      </c>
      <c r="H311" s="55"/>
      <c r="I311" s="56"/>
      <c r="J311" s="82"/>
      <c r="K311" s="83"/>
      <c r="L311" s="59">
        <f t="shared" si="76"/>
        <v>293706.29370629374</v>
      </c>
      <c r="M311" s="60">
        <f t="shared" si="67"/>
        <v>-293706.29370629374</v>
      </c>
      <c r="N311" s="61">
        <f t="shared" si="66"/>
        <v>0</v>
      </c>
      <c r="O311" s="80"/>
      <c r="P311" s="59">
        <f>IF(D311=0,0,SUM($L$294:L311))</f>
        <v>4405594.4055944057</v>
      </c>
      <c r="Q311" s="59">
        <f>IF(D311=0,0,SUM($I$294:I311))</f>
        <v>0</v>
      </c>
      <c r="R311" s="63">
        <f t="shared" si="68"/>
        <v>-4405594.4055944057</v>
      </c>
      <c r="S311" s="64">
        <f t="shared" si="73"/>
        <v>0</v>
      </c>
      <c r="T311" s="73"/>
      <c r="U311" s="59">
        <f>IF(D311=0,0,SUM($L$21:L311))</f>
        <v>61020979.020978749</v>
      </c>
      <c r="V311" s="59">
        <f>IF(D311=0,0,SUM($J$21:J311))</f>
        <v>31748860</v>
      </c>
      <c r="W311" s="66">
        <f t="shared" si="69"/>
        <v>-29272119.020978749</v>
      </c>
      <c r="X311" s="67">
        <f t="shared" si="74"/>
        <v>0.52029417602567274</v>
      </c>
      <c r="Y311" s="68">
        <f t="shared" ref="Y311:Z326" si="78">Y310+1</f>
        <v>45948</v>
      </c>
      <c r="Z311" s="69">
        <f t="shared" si="78"/>
        <v>45948</v>
      </c>
      <c r="AA311" s="1"/>
      <c r="AB311" s="1"/>
      <c r="AC311" s="1"/>
      <c r="AD311" s="1"/>
      <c r="AE311" s="1"/>
      <c r="AF311" s="1"/>
      <c r="AG311" s="1"/>
    </row>
    <row r="312" spans="1:33" ht="20">
      <c r="A312" s="1"/>
      <c r="B312" s="11"/>
      <c r="C312" s="50">
        <v>292</v>
      </c>
      <c r="D312" s="51">
        <v>0</v>
      </c>
      <c r="E312" s="52">
        <f t="shared" si="70"/>
        <v>10</v>
      </c>
      <c r="F312" s="53">
        <f t="shared" si="71"/>
        <v>45949</v>
      </c>
      <c r="G312" s="54" t="str">
        <f t="shared" si="72"/>
        <v>Sun</v>
      </c>
      <c r="H312" s="55"/>
      <c r="I312" s="56"/>
      <c r="J312" s="82"/>
      <c r="K312" s="83"/>
      <c r="L312" s="59">
        <f t="shared" si="76"/>
        <v>0</v>
      </c>
      <c r="M312" s="60">
        <f t="shared" si="67"/>
        <v>0</v>
      </c>
      <c r="N312" s="61" t="str">
        <f t="shared" si="66"/>
        <v>¥0</v>
      </c>
      <c r="O312" s="81"/>
      <c r="P312" s="59">
        <f>IF(D312=0,0,SUM($L$294:L312))</f>
        <v>0</v>
      </c>
      <c r="Q312" s="59">
        <f>IF(D312=0,0,SUM($I$294:I312))</f>
        <v>0</v>
      </c>
      <c r="R312" s="63">
        <f t="shared" si="68"/>
        <v>0</v>
      </c>
      <c r="S312" s="64">
        <f t="shared" si="73"/>
        <v>0</v>
      </c>
      <c r="T312" s="78"/>
      <c r="U312" s="59">
        <f>IF(D312=0,0,SUM($L$21:L312))</f>
        <v>0</v>
      </c>
      <c r="V312" s="59">
        <f>IF(D312=0,0,SUM($J$21:J312))</f>
        <v>0</v>
      </c>
      <c r="W312" s="66">
        <f t="shared" si="69"/>
        <v>0</v>
      </c>
      <c r="X312" s="67">
        <f t="shared" si="74"/>
        <v>0</v>
      </c>
      <c r="Y312" s="68">
        <f t="shared" si="78"/>
        <v>45949</v>
      </c>
      <c r="Z312" s="69">
        <f t="shared" si="78"/>
        <v>45949</v>
      </c>
      <c r="AA312" s="1"/>
      <c r="AB312" s="1"/>
      <c r="AC312" s="1"/>
      <c r="AD312" s="1"/>
      <c r="AE312" s="1"/>
      <c r="AF312" s="1"/>
      <c r="AG312" s="1"/>
    </row>
    <row r="313" spans="1:33" ht="20">
      <c r="A313" s="1"/>
      <c r="B313" s="11"/>
      <c r="C313" s="50">
        <v>293</v>
      </c>
      <c r="D313" s="51">
        <v>1</v>
      </c>
      <c r="E313" s="52">
        <f t="shared" si="70"/>
        <v>10</v>
      </c>
      <c r="F313" s="53">
        <f t="shared" si="71"/>
        <v>45950</v>
      </c>
      <c r="G313" s="54" t="str">
        <f t="shared" si="72"/>
        <v>Mon</v>
      </c>
      <c r="H313" s="55"/>
      <c r="I313" s="56"/>
      <c r="J313" s="82"/>
      <c r="K313" s="83"/>
      <c r="L313" s="59">
        <f t="shared" si="76"/>
        <v>293706.29370629374</v>
      </c>
      <c r="M313" s="60">
        <f t="shared" si="67"/>
        <v>-293706.29370629374</v>
      </c>
      <c r="N313" s="61">
        <f t="shared" si="66"/>
        <v>0</v>
      </c>
      <c r="O313" s="80"/>
      <c r="P313" s="59">
        <f>IF(D313=0,0,SUM($L$294:L313))</f>
        <v>4699300.6993006999</v>
      </c>
      <c r="Q313" s="59">
        <f>IF(D313=0,0,SUM($I$294:I313))</f>
        <v>0</v>
      </c>
      <c r="R313" s="63">
        <f t="shared" si="68"/>
        <v>-4699300.6993006999</v>
      </c>
      <c r="S313" s="64">
        <f t="shared" si="73"/>
        <v>0</v>
      </c>
      <c r="T313" s="73"/>
      <c r="U313" s="59">
        <f>IF(D313=0,0,SUM($L$21:L313))</f>
        <v>61314685.314685039</v>
      </c>
      <c r="V313" s="59">
        <f>IF(D313=0,0,SUM($J$21:J313))</f>
        <v>31748860</v>
      </c>
      <c r="W313" s="66">
        <f t="shared" si="69"/>
        <v>-29565825.314685039</v>
      </c>
      <c r="X313" s="67">
        <f t="shared" si="74"/>
        <v>0.51780189096715556</v>
      </c>
      <c r="Y313" s="68">
        <f t="shared" si="78"/>
        <v>45950</v>
      </c>
      <c r="Z313" s="69">
        <f t="shared" si="78"/>
        <v>45950</v>
      </c>
      <c r="AA313" s="1"/>
      <c r="AB313" s="1"/>
      <c r="AC313" s="1"/>
      <c r="AD313" s="1"/>
      <c r="AE313" s="1"/>
      <c r="AF313" s="1"/>
      <c r="AG313" s="1"/>
    </row>
    <row r="314" spans="1:33" ht="20">
      <c r="A314" s="1"/>
      <c r="B314" s="11"/>
      <c r="C314" s="50">
        <v>294</v>
      </c>
      <c r="D314" s="51">
        <v>1</v>
      </c>
      <c r="E314" s="52">
        <f t="shared" si="70"/>
        <v>10</v>
      </c>
      <c r="F314" s="53">
        <f t="shared" si="71"/>
        <v>45951</v>
      </c>
      <c r="G314" s="54" t="str">
        <f t="shared" si="72"/>
        <v>Tue</v>
      </c>
      <c r="H314" s="55"/>
      <c r="I314" s="56"/>
      <c r="J314" s="82"/>
      <c r="K314" s="83"/>
      <c r="L314" s="59">
        <f t="shared" si="76"/>
        <v>293706.29370629374</v>
      </c>
      <c r="M314" s="60">
        <f t="shared" si="67"/>
        <v>-293706.29370629374</v>
      </c>
      <c r="N314" s="61">
        <f t="shared" si="66"/>
        <v>0</v>
      </c>
      <c r="O314" s="80"/>
      <c r="P314" s="59">
        <f>IF(D314=0,0,SUM($L$294:L314))</f>
        <v>4993006.993006994</v>
      </c>
      <c r="Q314" s="59">
        <f>IF(D314=0,0,SUM($I$294:I314))</f>
        <v>0</v>
      </c>
      <c r="R314" s="63">
        <f t="shared" si="68"/>
        <v>-4993006.993006994</v>
      </c>
      <c r="S314" s="64">
        <f t="shared" si="73"/>
        <v>0</v>
      </c>
      <c r="T314" s="73"/>
      <c r="U314" s="59">
        <f>IF(D314=0,0,SUM($L$21:L314))</f>
        <v>61608391.60839133</v>
      </c>
      <c r="V314" s="59">
        <f>IF(D314=0,0,SUM($J$21:J314))</f>
        <v>31748860</v>
      </c>
      <c r="W314" s="66">
        <f t="shared" si="69"/>
        <v>-29859531.60839133</v>
      </c>
      <c r="X314" s="67">
        <f t="shared" si="74"/>
        <v>0.51533336889898074</v>
      </c>
      <c r="Y314" s="68">
        <f t="shared" si="78"/>
        <v>45951</v>
      </c>
      <c r="Z314" s="69">
        <f t="shared" si="78"/>
        <v>45951</v>
      </c>
      <c r="AA314" s="1"/>
      <c r="AB314" s="1"/>
      <c r="AC314" s="1"/>
      <c r="AD314" s="1"/>
      <c r="AE314" s="1"/>
      <c r="AF314" s="1"/>
      <c r="AG314" s="1"/>
    </row>
    <row r="315" spans="1:33" ht="20">
      <c r="A315" s="1"/>
      <c r="B315" s="11"/>
      <c r="C315" s="50">
        <v>295</v>
      </c>
      <c r="D315" s="51">
        <v>1</v>
      </c>
      <c r="E315" s="52">
        <f t="shared" si="70"/>
        <v>10</v>
      </c>
      <c r="F315" s="53">
        <f t="shared" si="71"/>
        <v>45952</v>
      </c>
      <c r="G315" s="54" t="str">
        <f t="shared" si="72"/>
        <v>Wed</v>
      </c>
      <c r="H315" s="55"/>
      <c r="I315" s="56"/>
      <c r="J315" s="82"/>
      <c r="K315" s="83"/>
      <c r="L315" s="59">
        <f t="shared" si="76"/>
        <v>293706.29370629374</v>
      </c>
      <c r="M315" s="60">
        <f t="shared" si="67"/>
        <v>-293706.29370629374</v>
      </c>
      <c r="N315" s="61">
        <f t="shared" si="66"/>
        <v>0</v>
      </c>
      <c r="O315" s="80"/>
      <c r="P315" s="59">
        <f>IF(D315=0,0,SUM($L$294:L315))</f>
        <v>5286713.2867132882</v>
      </c>
      <c r="Q315" s="59">
        <f>IF(D315=0,0,SUM($I$294:I315))</f>
        <v>0</v>
      </c>
      <c r="R315" s="63">
        <f t="shared" si="68"/>
        <v>-5286713.2867132882</v>
      </c>
      <c r="S315" s="64">
        <f t="shared" si="73"/>
        <v>0</v>
      </c>
      <c r="T315" s="73"/>
      <c r="U315" s="59">
        <f>IF(D315=0,0,SUM($L$21:L315))</f>
        <v>61902097.90209762</v>
      </c>
      <c r="V315" s="59">
        <f>IF(D315=0,0,SUM($J$21:J315))</f>
        <v>31748860</v>
      </c>
      <c r="W315" s="66">
        <f t="shared" si="69"/>
        <v>-30153237.90209762</v>
      </c>
      <c r="X315" s="67">
        <f t="shared" si="74"/>
        <v>0.51288827157704708</v>
      </c>
      <c r="Y315" s="68">
        <f t="shared" si="78"/>
        <v>45952</v>
      </c>
      <c r="Z315" s="69">
        <f t="shared" si="78"/>
        <v>45952</v>
      </c>
      <c r="AA315" s="1"/>
      <c r="AB315" s="1"/>
      <c r="AC315" s="1"/>
      <c r="AD315" s="1"/>
      <c r="AE315" s="1"/>
      <c r="AF315" s="1"/>
      <c r="AG315" s="1"/>
    </row>
    <row r="316" spans="1:33" ht="20">
      <c r="A316" s="1"/>
      <c r="B316" s="11"/>
      <c r="C316" s="50">
        <v>296</v>
      </c>
      <c r="D316" s="51">
        <v>1</v>
      </c>
      <c r="E316" s="52">
        <f t="shared" si="70"/>
        <v>10</v>
      </c>
      <c r="F316" s="53">
        <f t="shared" si="71"/>
        <v>45953</v>
      </c>
      <c r="G316" s="54" t="str">
        <f t="shared" si="72"/>
        <v>Thu</v>
      </c>
      <c r="H316" s="55"/>
      <c r="I316" s="56"/>
      <c r="J316" s="82"/>
      <c r="K316" s="83"/>
      <c r="L316" s="59">
        <f t="shared" si="76"/>
        <v>293706.29370629374</v>
      </c>
      <c r="M316" s="60">
        <f t="shared" si="67"/>
        <v>-293706.29370629374</v>
      </c>
      <c r="N316" s="61">
        <f t="shared" si="66"/>
        <v>0</v>
      </c>
      <c r="O316" s="80"/>
      <c r="P316" s="59">
        <f>IF(D316=0,0,SUM($L$294:L316))</f>
        <v>5580419.5804195823</v>
      </c>
      <c r="Q316" s="59">
        <f>IF(D316=0,0,SUM($I$294:I316))</f>
        <v>0</v>
      </c>
      <c r="R316" s="63">
        <f t="shared" si="68"/>
        <v>-5580419.5804195823</v>
      </c>
      <c r="S316" s="64">
        <f t="shared" si="73"/>
        <v>0</v>
      </c>
      <c r="T316" s="73"/>
      <c r="U316" s="59">
        <f>IF(D316=0,0,SUM($L$21:L316))</f>
        <v>62195804.19580391</v>
      </c>
      <c r="V316" s="59">
        <f>IF(D316=0,0,SUM($J$21:J316))</f>
        <v>31748860</v>
      </c>
      <c r="W316" s="66">
        <f t="shared" si="69"/>
        <v>-30446944.19580391</v>
      </c>
      <c r="X316" s="67">
        <f t="shared" si="74"/>
        <v>0.5104662671463932</v>
      </c>
      <c r="Y316" s="68">
        <f t="shared" si="78"/>
        <v>45953</v>
      </c>
      <c r="Z316" s="69">
        <f t="shared" si="78"/>
        <v>45953</v>
      </c>
      <c r="AA316" s="1"/>
      <c r="AB316" s="1"/>
      <c r="AC316" s="1"/>
      <c r="AD316" s="1"/>
      <c r="AE316" s="1"/>
      <c r="AF316" s="1"/>
      <c r="AG316" s="1"/>
    </row>
    <row r="317" spans="1:33" ht="20">
      <c r="A317" s="1"/>
      <c r="B317" s="11"/>
      <c r="C317" s="50">
        <v>297</v>
      </c>
      <c r="D317" s="51">
        <v>1</v>
      </c>
      <c r="E317" s="52">
        <f t="shared" si="70"/>
        <v>10</v>
      </c>
      <c r="F317" s="53">
        <f t="shared" si="71"/>
        <v>45954</v>
      </c>
      <c r="G317" s="54" t="str">
        <f t="shared" si="72"/>
        <v>Fri</v>
      </c>
      <c r="H317" s="55"/>
      <c r="I317" s="56"/>
      <c r="J317" s="82"/>
      <c r="K317" s="83"/>
      <c r="L317" s="59">
        <f t="shared" si="76"/>
        <v>293706.29370629374</v>
      </c>
      <c r="M317" s="60">
        <f t="shared" si="67"/>
        <v>-293706.29370629374</v>
      </c>
      <c r="N317" s="61">
        <f t="shared" si="66"/>
        <v>0</v>
      </c>
      <c r="O317" s="80"/>
      <c r="P317" s="59">
        <f>IF(D317=0,0,SUM($L$294:L317))</f>
        <v>5874125.8741258765</v>
      </c>
      <c r="Q317" s="59">
        <f>IF(D317=0,0,SUM($I$294:I317))</f>
        <v>0</v>
      </c>
      <c r="R317" s="63">
        <f t="shared" si="68"/>
        <v>-5874125.8741258765</v>
      </c>
      <c r="S317" s="64">
        <f t="shared" si="73"/>
        <v>0</v>
      </c>
      <c r="T317" s="73"/>
      <c r="U317" s="59">
        <f>IF(D317=0,0,SUM($L$21:L317))</f>
        <v>62489510.489510201</v>
      </c>
      <c r="V317" s="59">
        <f>IF(D317=0,0,SUM($J$21:J317))</f>
        <v>31748860</v>
      </c>
      <c r="W317" s="66">
        <f t="shared" si="69"/>
        <v>-30740650.489510201</v>
      </c>
      <c r="X317" s="67">
        <f t="shared" si="74"/>
        <v>0.5080670299910498</v>
      </c>
      <c r="Y317" s="68">
        <f t="shared" si="78"/>
        <v>45954</v>
      </c>
      <c r="Z317" s="69">
        <f t="shared" si="78"/>
        <v>45954</v>
      </c>
      <c r="AA317" s="1"/>
      <c r="AB317" s="1"/>
      <c r="AC317" s="1"/>
      <c r="AD317" s="1"/>
      <c r="AE317" s="1"/>
      <c r="AF317" s="1"/>
      <c r="AG317" s="1"/>
    </row>
    <row r="318" spans="1:33" ht="20">
      <c r="A318" s="1"/>
      <c r="B318" s="11"/>
      <c r="C318" s="50">
        <v>298</v>
      </c>
      <c r="D318" s="51">
        <v>1</v>
      </c>
      <c r="E318" s="52">
        <f t="shared" si="70"/>
        <v>10</v>
      </c>
      <c r="F318" s="53">
        <f t="shared" si="71"/>
        <v>45955</v>
      </c>
      <c r="G318" s="54" t="str">
        <f t="shared" si="72"/>
        <v>Sat</v>
      </c>
      <c r="H318" s="55"/>
      <c r="I318" s="56"/>
      <c r="J318" s="82"/>
      <c r="K318" s="83"/>
      <c r="L318" s="59">
        <f t="shared" si="76"/>
        <v>293706.29370629374</v>
      </c>
      <c r="M318" s="60">
        <f t="shared" si="67"/>
        <v>-293706.29370629374</v>
      </c>
      <c r="N318" s="61">
        <f t="shared" si="66"/>
        <v>0</v>
      </c>
      <c r="O318" s="80"/>
      <c r="P318" s="59">
        <f>IF(D318=0,0,SUM($L$294:L318))</f>
        <v>6167832.1678321706</v>
      </c>
      <c r="Q318" s="59">
        <f>IF(D318=0,0,SUM($I$294:I318))</f>
        <v>0</v>
      </c>
      <c r="R318" s="63">
        <f t="shared" si="68"/>
        <v>-6167832.1678321706</v>
      </c>
      <c r="S318" s="64">
        <f t="shared" si="73"/>
        <v>0</v>
      </c>
      <c r="T318" s="73"/>
      <c r="U318" s="59">
        <f>IF(D318=0,0,SUM($L$21:L318))</f>
        <v>62783216.783216491</v>
      </c>
      <c r="V318" s="59">
        <f>IF(D318=0,0,SUM($J$21:J318))</f>
        <v>31748860</v>
      </c>
      <c r="W318" s="66">
        <f t="shared" si="69"/>
        <v>-31034356.783216491</v>
      </c>
      <c r="X318" s="67">
        <f t="shared" si="74"/>
        <v>0.50569024058810663</v>
      </c>
      <c r="Y318" s="68">
        <f t="shared" si="78"/>
        <v>45955</v>
      </c>
      <c r="Z318" s="69">
        <f t="shared" si="78"/>
        <v>45955</v>
      </c>
      <c r="AA318" s="1"/>
      <c r="AB318" s="1"/>
      <c r="AC318" s="1"/>
      <c r="AD318" s="1"/>
      <c r="AE318" s="1"/>
      <c r="AF318" s="1"/>
      <c r="AG318" s="1"/>
    </row>
    <row r="319" spans="1:33" ht="20">
      <c r="A319" s="1"/>
      <c r="B319" s="11"/>
      <c r="C319" s="50">
        <v>299</v>
      </c>
      <c r="D319" s="51">
        <v>0</v>
      </c>
      <c r="E319" s="52">
        <f t="shared" si="70"/>
        <v>10</v>
      </c>
      <c r="F319" s="53">
        <f t="shared" si="71"/>
        <v>45956</v>
      </c>
      <c r="G319" s="54" t="str">
        <f t="shared" si="72"/>
        <v>Sun</v>
      </c>
      <c r="H319" s="55"/>
      <c r="I319" s="56"/>
      <c r="J319" s="82"/>
      <c r="K319" s="83"/>
      <c r="L319" s="59">
        <f t="shared" si="76"/>
        <v>0</v>
      </c>
      <c r="M319" s="60">
        <f t="shared" si="67"/>
        <v>0</v>
      </c>
      <c r="N319" s="61" t="str">
        <f t="shared" si="66"/>
        <v>¥0</v>
      </c>
      <c r="O319" s="81"/>
      <c r="P319" s="59">
        <f>IF(D319=0,0,SUM($L$294:L319))</f>
        <v>0</v>
      </c>
      <c r="Q319" s="59">
        <f>IF(D319=0,0,SUM($I$294:I319))</f>
        <v>0</v>
      </c>
      <c r="R319" s="63">
        <f t="shared" si="68"/>
        <v>0</v>
      </c>
      <c r="S319" s="64">
        <f t="shared" si="73"/>
        <v>0</v>
      </c>
      <c r="T319" s="78"/>
      <c r="U319" s="59">
        <f>IF(D319=0,0,SUM($L$21:L319))</f>
        <v>0</v>
      </c>
      <c r="V319" s="59">
        <f>IF(D319=0,0,SUM($J$21:J319))</f>
        <v>0</v>
      </c>
      <c r="W319" s="66">
        <f t="shared" si="69"/>
        <v>0</v>
      </c>
      <c r="X319" s="67">
        <f t="shared" si="74"/>
        <v>0</v>
      </c>
      <c r="Y319" s="68">
        <f t="shared" si="78"/>
        <v>45956</v>
      </c>
      <c r="Z319" s="69">
        <f t="shared" si="78"/>
        <v>45956</v>
      </c>
      <c r="AA319" s="1"/>
      <c r="AB319" s="1"/>
      <c r="AC319" s="1"/>
      <c r="AD319" s="1"/>
      <c r="AE319" s="1"/>
      <c r="AF319" s="1"/>
      <c r="AG319" s="1"/>
    </row>
    <row r="320" spans="1:33" ht="20">
      <c r="A320" s="1"/>
      <c r="B320" s="11"/>
      <c r="C320" s="50">
        <v>300</v>
      </c>
      <c r="D320" s="51">
        <v>1</v>
      </c>
      <c r="E320" s="52">
        <f t="shared" si="70"/>
        <v>10</v>
      </c>
      <c r="F320" s="53">
        <f t="shared" si="71"/>
        <v>45957</v>
      </c>
      <c r="G320" s="54" t="str">
        <f t="shared" si="72"/>
        <v>Mon</v>
      </c>
      <c r="H320" s="55"/>
      <c r="I320" s="56"/>
      <c r="J320" s="82"/>
      <c r="K320" s="83"/>
      <c r="L320" s="59">
        <f t="shared" si="76"/>
        <v>293706.29370629374</v>
      </c>
      <c r="M320" s="60">
        <f t="shared" si="67"/>
        <v>-293706.29370629374</v>
      </c>
      <c r="N320" s="61">
        <f t="shared" si="66"/>
        <v>0</v>
      </c>
      <c r="O320" s="80"/>
      <c r="P320" s="59">
        <f>IF(D320=0,0,SUM($L$294:L320))</f>
        <v>6461538.4615384648</v>
      </c>
      <c r="Q320" s="59">
        <f>IF(D320=0,0,SUM($I$294:I320))</f>
        <v>0</v>
      </c>
      <c r="R320" s="63">
        <f t="shared" si="68"/>
        <v>-6461538.4615384648</v>
      </c>
      <c r="S320" s="64">
        <f t="shared" si="73"/>
        <v>0</v>
      </c>
      <c r="T320" s="73"/>
      <c r="U320" s="59">
        <f>IF(D320=0,0,SUM($L$21:L320))</f>
        <v>63076923.076922782</v>
      </c>
      <c r="V320" s="59">
        <f>IF(D320=0,0,SUM($J$21:J320))</f>
        <v>31748860</v>
      </c>
      <c r="W320" s="66">
        <f t="shared" si="69"/>
        <v>-31328063.076922782</v>
      </c>
      <c r="X320" s="67">
        <f t="shared" si="74"/>
        <v>0.50333558536585599</v>
      </c>
      <c r="Y320" s="68">
        <f t="shared" si="78"/>
        <v>45957</v>
      </c>
      <c r="Z320" s="69">
        <f t="shared" si="78"/>
        <v>45957</v>
      </c>
      <c r="AA320" s="1"/>
      <c r="AB320" s="1"/>
      <c r="AC320" s="1"/>
      <c r="AD320" s="1"/>
      <c r="AE320" s="1"/>
      <c r="AF320" s="1"/>
      <c r="AG320" s="1"/>
    </row>
    <row r="321" spans="1:33" ht="20">
      <c r="A321" s="1"/>
      <c r="B321" s="11"/>
      <c r="C321" s="50">
        <v>301</v>
      </c>
      <c r="D321" s="51">
        <v>1</v>
      </c>
      <c r="E321" s="52">
        <f t="shared" si="70"/>
        <v>10</v>
      </c>
      <c r="F321" s="53">
        <f t="shared" si="71"/>
        <v>45958</v>
      </c>
      <c r="G321" s="54" t="str">
        <f t="shared" si="72"/>
        <v>Tue</v>
      </c>
      <c r="H321" s="55"/>
      <c r="I321" s="56"/>
      <c r="J321" s="82"/>
      <c r="K321" s="83"/>
      <c r="L321" s="59">
        <f t="shared" si="76"/>
        <v>293706.29370629374</v>
      </c>
      <c r="M321" s="60">
        <f t="shared" si="67"/>
        <v>-293706.29370629374</v>
      </c>
      <c r="N321" s="61">
        <f t="shared" si="66"/>
        <v>0</v>
      </c>
      <c r="O321" s="80"/>
      <c r="P321" s="59">
        <f>IF(D321=0,0,SUM($L$294:L321))</f>
        <v>6755244.7552447589</v>
      </c>
      <c r="Q321" s="59">
        <f>IF(D321=0,0,SUM($I$294:I321))</f>
        <v>0</v>
      </c>
      <c r="R321" s="63">
        <f t="shared" si="68"/>
        <v>-6755244.7552447589</v>
      </c>
      <c r="S321" s="64">
        <f t="shared" si="73"/>
        <v>0</v>
      </c>
      <c r="T321" s="73"/>
      <c r="U321" s="59">
        <f>IF(D321=0,0,SUM($L$21:L321))</f>
        <v>63370629.370629072</v>
      </c>
      <c r="V321" s="59">
        <f>IF(D321=0,0,SUM($J$21:J321))</f>
        <v>31748860</v>
      </c>
      <c r="W321" s="66">
        <f t="shared" si="69"/>
        <v>-31621769.370629072</v>
      </c>
      <c r="X321" s="67">
        <f t="shared" si="74"/>
        <v>0.50100275656588189</v>
      </c>
      <c r="Y321" s="68">
        <f t="shared" si="78"/>
        <v>45958</v>
      </c>
      <c r="Z321" s="69">
        <f t="shared" si="78"/>
        <v>45958</v>
      </c>
      <c r="AA321" s="1"/>
      <c r="AB321" s="1"/>
      <c r="AC321" s="1"/>
      <c r="AD321" s="1"/>
      <c r="AE321" s="1"/>
      <c r="AF321" s="1"/>
      <c r="AG321" s="1"/>
    </row>
    <row r="322" spans="1:33" ht="20">
      <c r="A322" s="1"/>
      <c r="B322" s="11"/>
      <c r="C322" s="50">
        <v>302</v>
      </c>
      <c r="D322" s="51">
        <v>1</v>
      </c>
      <c r="E322" s="52">
        <f t="shared" si="70"/>
        <v>10</v>
      </c>
      <c r="F322" s="53">
        <f t="shared" si="71"/>
        <v>45959</v>
      </c>
      <c r="G322" s="54" t="str">
        <f t="shared" si="72"/>
        <v>Wed</v>
      </c>
      <c r="H322" s="55"/>
      <c r="I322" s="56"/>
      <c r="J322" s="82"/>
      <c r="K322" s="83"/>
      <c r="L322" s="59">
        <f t="shared" si="76"/>
        <v>293706.29370629374</v>
      </c>
      <c r="M322" s="60">
        <f t="shared" si="67"/>
        <v>-293706.29370629374</v>
      </c>
      <c r="N322" s="61">
        <f t="shared" si="66"/>
        <v>0</v>
      </c>
      <c r="O322" s="80"/>
      <c r="P322" s="59">
        <f>IF(D322=0,0,SUM($L$294:L322))</f>
        <v>7048951.0489510531</v>
      </c>
      <c r="Q322" s="59">
        <f>IF(D322=0,0,SUM($I$294:I322))</f>
        <v>0</v>
      </c>
      <c r="R322" s="63">
        <f t="shared" si="68"/>
        <v>-7048951.0489510531</v>
      </c>
      <c r="S322" s="64">
        <f t="shared" si="73"/>
        <v>0</v>
      </c>
      <c r="T322" s="73"/>
      <c r="U322" s="59">
        <f>IF(D322=0,0,SUM($L$21:L322))</f>
        <v>63664335.664335363</v>
      </c>
      <c r="V322" s="59">
        <f>IF(D322=0,0,SUM($J$21:J322))</f>
        <v>31748860</v>
      </c>
      <c r="W322" s="66">
        <f t="shared" si="69"/>
        <v>-31915475.664335363</v>
      </c>
      <c r="X322" s="67">
        <f t="shared" si="74"/>
        <v>0.49869145210896548</v>
      </c>
      <c r="Y322" s="68">
        <f t="shared" si="78"/>
        <v>45959</v>
      </c>
      <c r="Z322" s="69">
        <f t="shared" si="78"/>
        <v>45959</v>
      </c>
      <c r="AA322" s="1"/>
      <c r="AB322" s="1"/>
      <c r="AC322" s="1"/>
      <c r="AD322" s="1"/>
      <c r="AE322" s="1"/>
      <c r="AF322" s="1"/>
      <c r="AG322" s="1"/>
    </row>
    <row r="323" spans="1:33" ht="20">
      <c r="A323" s="1"/>
      <c r="B323" s="11"/>
      <c r="C323" s="50">
        <v>303</v>
      </c>
      <c r="D323" s="51">
        <v>1</v>
      </c>
      <c r="E323" s="52">
        <f t="shared" si="70"/>
        <v>10</v>
      </c>
      <c r="F323" s="53">
        <f t="shared" si="71"/>
        <v>45960</v>
      </c>
      <c r="G323" s="54" t="str">
        <f t="shared" si="72"/>
        <v>Thu</v>
      </c>
      <c r="H323" s="55"/>
      <c r="I323" s="56"/>
      <c r="J323" s="82"/>
      <c r="K323" s="83"/>
      <c r="L323" s="59">
        <f t="shared" si="76"/>
        <v>293706.29370629374</v>
      </c>
      <c r="M323" s="60">
        <f t="shared" si="67"/>
        <v>-293706.29370629374</v>
      </c>
      <c r="N323" s="61">
        <f t="shared" si="66"/>
        <v>0</v>
      </c>
      <c r="O323" s="80"/>
      <c r="P323" s="59">
        <f>IF(D323=0,0,SUM($L$294:L323))</f>
        <v>7342657.3426573472</v>
      </c>
      <c r="Q323" s="59">
        <f>IF(D323=0,0,SUM($I$294:I323))</f>
        <v>0</v>
      </c>
      <c r="R323" s="63">
        <f t="shared" si="68"/>
        <v>-7342657.3426573472</v>
      </c>
      <c r="S323" s="64">
        <f t="shared" si="73"/>
        <v>0</v>
      </c>
      <c r="T323" s="73"/>
      <c r="U323" s="59">
        <f>IF(D323=0,0,SUM($L$21:L323))</f>
        <v>63958041.958041653</v>
      </c>
      <c r="V323" s="59">
        <f>IF(D323=0,0,SUM($J$21:J323))</f>
        <v>31748860</v>
      </c>
      <c r="W323" s="66">
        <f t="shared" si="69"/>
        <v>-32209181.958041653</v>
      </c>
      <c r="X323" s="67">
        <f t="shared" si="74"/>
        <v>0.49640137546468638</v>
      </c>
      <c r="Y323" s="68">
        <f t="shared" si="78"/>
        <v>45960</v>
      </c>
      <c r="Z323" s="69">
        <f t="shared" si="78"/>
        <v>45960</v>
      </c>
      <c r="AA323" s="1"/>
      <c r="AB323" s="1"/>
      <c r="AC323" s="1"/>
      <c r="AD323" s="1"/>
      <c r="AE323" s="1"/>
      <c r="AF323" s="1"/>
      <c r="AG323" s="1"/>
    </row>
    <row r="324" spans="1:33" ht="21" thickBot="1">
      <c r="A324" s="1"/>
      <c r="B324" s="11"/>
      <c r="C324" s="100">
        <v>304</v>
      </c>
      <c r="D324" s="85">
        <v>1</v>
      </c>
      <c r="E324" s="501">
        <f t="shared" si="70"/>
        <v>10</v>
      </c>
      <c r="F324" s="101">
        <f t="shared" si="71"/>
        <v>45961</v>
      </c>
      <c r="G324" s="87" t="str">
        <f t="shared" si="72"/>
        <v>Fri</v>
      </c>
      <c r="H324" s="508"/>
      <c r="I324" s="502"/>
      <c r="J324" s="102"/>
      <c r="K324" s="503"/>
      <c r="L324" s="103">
        <f t="shared" si="76"/>
        <v>293706.29370629374</v>
      </c>
      <c r="M324" s="91">
        <f t="shared" si="67"/>
        <v>-293706.29370629374</v>
      </c>
      <c r="N324" s="92">
        <f t="shared" si="66"/>
        <v>0</v>
      </c>
      <c r="O324" s="504"/>
      <c r="P324" s="93">
        <f>IF(D324=0,0,SUM($L$294:L324))</f>
        <v>7636363.6363636414</v>
      </c>
      <c r="Q324" s="103">
        <f>IF(D324=0,0,SUM($I$294:I324))</f>
        <v>0</v>
      </c>
      <c r="R324" s="105">
        <f t="shared" si="68"/>
        <v>-7636363.6363636414</v>
      </c>
      <c r="S324" s="505">
        <f t="shared" si="73"/>
        <v>0</v>
      </c>
      <c r="T324" s="506"/>
      <c r="U324" s="94">
        <f>IF(D324=0,0,SUM($L$21:L324))</f>
        <v>64251748.251747943</v>
      </c>
      <c r="V324" s="94">
        <f>IF(D324=0,0,SUM($J$21:J324))</f>
        <v>31748860</v>
      </c>
      <c r="W324" s="95">
        <f t="shared" si="69"/>
        <v>-32502888.251747943</v>
      </c>
      <c r="X324" s="507">
        <f t="shared" si="74"/>
        <v>0.49413223552459967</v>
      </c>
      <c r="Y324" s="68">
        <f t="shared" si="78"/>
        <v>45961</v>
      </c>
      <c r="Z324" s="69">
        <f t="shared" si="78"/>
        <v>45961</v>
      </c>
      <c r="AA324" s="1"/>
      <c r="AB324" s="1"/>
      <c r="AC324" s="1"/>
      <c r="AD324" s="1"/>
      <c r="AE324" s="1"/>
      <c r="AF324" s="1"/>
      <c r="AG324" s="1"/>
    </row>
    <row r="325" spans="1:33" ht="21" thickTop="1">
      <c r="A325" s="1"/>
      <c r="B325" s="11"/>
      <c r="C325" s="50">
        <v>305</v>
      </c>
      <c r="D325" s="96">
        <v>1</v>
      </c>
      <c r="E325" s="52">
        <f t="shared" si="70"/>
        <v>11</v>
      </c>
      <c r="F325" s="53">
        <f t="shared" si="71"/>
        <v>45962</v>
      </c>
      <c r="G325" s="54" t="str">
        <f t="shared" si="72"/>
        <v>Sat</v>
      </c>
      <c r="H325" s="55"/>
      <c r="I325" s="56"/>
      <c r="J325" s="82"/>
      <c r="K325" s="83"/>
      <c r="L325" s="59">
        <f t="shared" ref="L325:L354" si="79">IF(D325=0,0,$K$17)</f>
        <v>335664.3356643357</v>
      </c>
      <c r="M325" s="63">
        <f t="shared" si="67"/>
        <v>-335664.3356643357</v>
      </c>
      <c r="N325" s="97">
        <f t="shared" si="66"/>
        <v>0</v>
      </c>
      <c r="O325" s="80"/>
      <c r="P325" s="59">
        <f>IF(D325=0,0,$L$325)</f>
        <v>335664.3356643357</v>
      </c>
      <c r="Q325" s="59">
        <f>IF(D325=0,0,$J$325)</f>
        <v>0</v>
      </c>
      <c r="R325" s="63">
        <f t="shared" si="68"/>
        <v>-335664.3356643357</v>
      </c>
      <c r="S325" s="499">
        <f t="shared" si="73"/>
        <v>0</v>
      </c>
      <c r="T325" s="73"/>
      <c r="U325" s="59">
        <f>IF(D325=0,0,SUM($L$21:L325))</f>
        <v>64587412.587412283</v>
      </c>
      <c r="V325" s="59">
        <f>IF(D325=0,0,SUM($J$21:J325))</f>
        <v>31748860</v>
      </c>
      <c r="W325" s="66">
        <f t="shared" si="69"/>
        <v>-32838552.587412283</v>
      </c>
      <c r="X325" s="500">
        <f t="shared" si="74"/>
        <v>0.49156420311823534</v>
      </c>
      <c r="Y325" s="68">
        <f t="shared" si="78"/>
        <v>45962</v>
      </c>
      <c r="Z325" s="69">
        <f t="shared" si="78"/>
        <v>45962</v>
      </c>
      <c r="AA325" s="1"/>
      <c r="AB325" s="1"/>
      <c r="AC325" s="1"/>
      <c r="AD325" s="1"/>
      <c r="AE325" s="1"/>
      <c r="AF325" s="1"/>
      <c r="AG325" s="1"/>
    </row>
    <row r="326" spans="1:33" ht="20">
      <c r="A326" s="1"/>
      <c r="B326" s="11"/>
      <c r="C326" s="50">
        <v>306</v>
      </c>
      <c r="D326" s="51">
        <v>0</v>
      </c>
      <c r="E326" s="52">
        <f t="shared" si="70"/>
        <v>11</v>
      </c>
      <c r="F326" s="53">
        <f t="shared" si="71"/>
        <v>45963</v>
      </c>
      <c r="G326" s="54" t="str">
        <f t="shared" si="72"/>
        <v>Sun</v>
      </c>
      <c r="H326" s="55"/>
      <c r="I326" s="56"/>
      <c r="J326" s="82"/>
      <c r="K326" s="83"/>
      <c r="L326" s="59">
        <f t="shared" si="79"/>
        <v>0</v>
      </c>
      <c r="M326" s="60">
        <f t="shared" si="67"/>
        <v>0</v>
      </c>
      <c r="N326" s="61" t="str">
        <f t="shared" si="66"/>
        <v>¥0</v>
      </c>
      <c r="O326" s="81"/>
      <c r="P326" s="59">
        <f>IF(D326=0,0,SUM($L$325:L326))</f>
        <v>0</v>
      </c>
      <c r="Q326" s="59">
        <f>IF(D326=0,0,SUM($I$325:I326))</f>
        <v>0</v>
      </c>
      <c r="R326" s="63">
        <f t="shared" si="68"/>
        <v>0</v>
      </c>
      <c r="S326" s="64">
        <f t="shared" si="73"/>
        <v>0</v>
      </c>
      <c r="T326" s="78"/>
      <c r="U326" s="59">
        <f>IF(D326=0,0,SUM($L$21:L326))</f>
        <v>0</v>
      </c>
      <c r="V326" s="59">
        <f>IF(D326=0,0,SUM($J$21:J326))</f>
        <v>0</v>
      </c>
      <c r="W326" s="66">
        <f t="shared" si="69"/>
        <v>0</v>
      </c>
      <c r="X326" s="67">
        <f t="shared" si="74"/>
        <v>0</v>
      </c>
      <c r="Y326" s="68">
        <f t="shared" si="78"/>
        <v>45963</v>
      </c>
      <c r="Z326" s="69">
        <f t="shared" si="78"/>
        <v>45963</v>
      </c>
      <c r="AA326" s="1"/>
      <c r="AB326" s="1"/>
      <c r="AC326" s="1"/>
      <c r="AD326" s="1"/>
      <c r="AE326" s="1"/>
      <c r="AF326" s="1"/>
      <c r="AG326" s="1"/>
    </row>
    <row r="327" spans="1:33" ht="20">
      <c r="A327" s="1"/>
      <c r="B327" s="11"/>
      <c r="C327" s="50">
        <v>307</v>
      </c>
      <c r="D327" s="51">
        <v>0</v>
      </c>
      <c r="E327" s="52">
        <f t="shared" si="70"/>
        <v>11</v>
      </c>
      <c r="F327" s="53">
        <f t="shared" si="71"/>
        <v>45964</v>
      </c>
      <c r="G327" s="54" t="str">
        <f t="shared" si="72"/>
        <v>Mon</v>
      </c>
      <c r="H327" s="55"/>
      <c r="I327" s="56"/>
      <c r="J327" s="82"/>
      <c r="K327" s="83"/>
      <c r="L327" s="59">
        <f t="shared" si="79"/>
        <v>0</v>
      </c>
      <c r="M327" s="60">
        <f t="shared" si="67"/>
        <v>0</v>
      </c>
      <c r="N327" s="61" t="str">
        <f t="shared" si="66"/>
        <v>¥0</v>
      </c>
      <c r="O327" s="81"/>
      <c r="P327" s="59">
        <f>IF(D327=0,0,SUM($L$325:L327))</f>
        <v>0</v>
      </c>
      <c r="Q327" s="59">
        <f>IF(D327=0,0,SUM($I$325:I327))</f>
        <v>0</v>
      </c>
      <c r="R327" s="63">
        <f t="shared" si="68"/>
        <v>0</v>
      </c>
      <c r="S327" s="64">
        <f t="shared" si="73"/>
        <v>0</v>
      </c>
      <c r="T327" s="78"/>
      <c r="U327" s="59">
        <f>IF(D327=0,0,SUM($L$21:L327))</f>
        <v>0</v>
      </c>
      <c r="V327" s="59">
        <f>IF(D327=0,0,SUM($J$21:J327))</f>
        <v>0</v>
      </c>
      <c r="W327" s="66">
        <f t="shared" si="69"/>
        <v>0</v>
      </c>
      <c r="X327" s="67">
        <f t="shared" si="74"/>
        <v>0</v>
      </c>
      <c r="Y327" s="68">
        <f t="shared" ref="Y327:Z342" si="80">Y326+1</f>
        <v>45964</v>
      </c>
      <c r="Z327" s="69">
        <f t="shared" si="80"/>
        <v>45964</v>
      </c>
      <c r="AA327" s="1"/>
      <c r="AB327" s="1"/>
      <c r="AC327" s="1"/>
      <c r="AD327" s="1"/>
      <c r="AE327" s="1"/>
      <c r="AF327" s="1"/>
      <c r="AG327" s="1"/>
    </row>
    <row r="328" spans="1:33" ht="20">
      <c r="A328" s="1"/>
      <c r="B328" s="11"/>
      <c r="C328" s="50">
        <v>308</v>
      </c>
      <c r="D328" s="51">
        <v>1</v>
      </c>
      <c r="E328" s="52">
        <f t="shared" si="70"/>
        <v>11</v>
      </c>
      <c r="F328" s="53">
        <f t="shared" si="71"/>
        <v>45965</v>
      </c>
      <c r="G328" s="54" t="str">
        <f t="shared" si="72"/>
        <v>Tue</v>
      </c>
      <c r="H328" s="55"/>
      <c r="I328" s="56"/>
      <c r="J328" s="82"/>
      <c r="K328" s="83"/>
      <c r="L328" s="59">
        <f t="shared" si="79"/>
        <v>335664.3356643357</v>
      </c>
      <c r="M328" s="60">
        <f t="shared" si="67"/>
        <v>-335664.3356643357</v>
      </c>
      <c r="N328" s="61">
        <f t="shared" si="66"/>
        <v>0</v>
      </c>
      <c r="O328" s="80"/>
      <c r="P328" s="59">
        <f>IF(D328=0,0,SUM($L$325:L328))</f>
        <v>671328.67132867139</v>
      </c>
      <c r="Q328" s="59">
        <f>IF(D328=0,0,SUM($I$325:I328))</f>
        <v>0</v>
      </c>
      <c r="R328" s="63">
        <f t="shared" si="68"/>
        <v>-671328.67132867139</v>
      </c>
      <c r="S328" s="64">
        <f t="shared" si="73"/>
        <v>0</v>
      </c>
      <c r="T328" s="73"/>
      <c r="U328" s="59">
        <f>IF(D328=0,0,SUM($L$21:L328))</f>
        <v>64923076.923076622</v>
      </c>
      <c r="V328" s="59">
        <f>IF(D328=0,0,SUM($J$21:J328))</f>
        <v>31748860</v>
      </c>
      <c r="W328" s="66">
        <f t="shared" si="69"/>
        <v>-33174216.923076622</v>
      </c>
      <c r="X328" s="67">
        <f t="shared" si="74"/>
        <v>0.48902272511848566</v>
      </c>
      <c r="Y328" s="68">
        <f t="shared" si="80"/>
        <v>45965</v>
      </c>
      <c r="Z328" s="69">
        <f t="shared" si="80"/>
        <v>45965</v>
      </c>
      <c r="AA328" s="1"/>
      <c r="AB328" s="1"/>
      <c r="AC328" s="1"/>
      <c r="AD328" s="1"/>
      <c r="AE328" s="1"/>
      <c r="AF328" s="1"/>
      <c r="AG328" s="1"/>
    </row>
    <row r="329" spans="1:33" ht="20">
      <c r="A329" s="1"/>
      <c r="B329" s="11"/>
      <c r="C329" s="50">
        <v>309</v>
      </c>
      <c r="D329" s="51">
        <v>1</v>
      </c>
      <c r="E329" s="52">
        <f t="shared" si="70"/>
        <v>11</v>
      </c>
      <c r="F329" s="53">
        <f t="shared" si="71"/>
        <v>45966</v>
      </c>
      <c r="G329" s="54" t="str">
        <f t="shared" si="72"/>
        <v>Wed</v>
      </c>
      <c r="H329" s="55"/>
      <c r="I329" s="56"/>
      <c r="J329" s="82"/>
      <c r="K329" s="83"/>
      <c r="L329" s="59">
        <f t="shared" si="79"/>
        <v>335664.3356643357</v>
      </c>
      <c r="M329" s="60">
        <f t="shared" si="67"/>
        <v>-335664.3356643357</v>
      </c>
      <c r="N329" s="61">
        <f t="shared" si="66"/>
        <v>0</v>
      </c>
      <c r="O329" s="80"/>
      <c r="P329" s="59">
        <f>IF(D329=0,0,SUM($L$325:L329))</f>
        <v>1006993.0069930071</v>
      </c>
      <c r="Q329" s="59">
        <f>IF(D329=0,0,SUM($I$325:I329))</f>
        <v>0</v>
      </c>
      <c r="R329" s="63">
        <f t="shared" si="68"/>
        <v>-1006993.0069930071</v>
      </c>
      <c r="S329" s="64">
        <f t="shared" si="73"/>
        <v>0</v>
      </c>
      <c r="T329" s="73"/>
      <c r="U329" s="59">
        <f>IF(D329=0,0,SUM($L$21:L329))</f>
        <v>65258741.258740962</v>
      </c>
      <c r="V329" s="59">
        <f>IF(D329=0,0,SUM($J$21:J329))</f>
        <v>31748860</v>
      </c>
      <c r="W329" s="66">
        <f t="shared" si="69"/>
        <v>-33509881.258740962</v>
      </c>
      <c r="X329" s="67">
        <f t="shared" si="74"/>
        <v>0.48650739177025509</v>
      </c>
      <c r="Y329" s="68">
        <f t="shared" si="80"/>
        <v>45966</v>
      </c>
      <c r="Z329" s="69">
        <f t="shared" si="80"/>
        <v>45966</v>
      </c>
      <c r="AA329" s="1"/>
      <c r="AB329" s="1"/>
      <c r="AC329" s="1"/>
      <c r="AD329" s="1"/>
      <c r="AE329" s="1"/>
      <c r="AF329" s="1"/>
      <c r="AG329" s="1"/>
    </row>
    <row r="330" spans="1:33" ht="20">
      <c r="A330" s="1"/>
      <c r="B330" s="11"/>
      <c r="C330" s="50">
        <v>310</v>
      </c>
      <c r="D330" s="51">
        <v>1</v>
      </c>
      <c r="E330" s="52">
        <f t="shared" si="70"/>
        <v>11</v>
      </c>
      <c r="F330" s="53">
        <f t="shared" si="71"/>
        <v>45967</v>
      </c>
      <c r="G330" s="54" t="str">
        <f t="shared" si="72"/>
        <v>Thu</v>
      </c>
      <c r="H330" s="55"/>
      <c r="I330" s="56"/>
      <c r="J330" s="82"/>
      <c r="K330" s="83"/>
      <c r="L330" s="59">
        <f t="shared" si="79"/>
        <v>335664.3356643357</v>
      </c>
      <c r="M330" s="60">
        <f t="shared" si="67"/>
        <v>-335664.3356643357</v>
      </c>
      <c r="N330" s="61">
        <f t="shared" si="66"/>
        <v>0</v>
      </c>
      <c r="O330" s="80"/>
      <c r="P330" s="59">
        <f>IF(D330=0,0,SUM($L$325:L330))</f>
        <v>1342657.3426573428</v>
      </c>
      <c r="Q330" s="59">
        <f>IF(D330=0,0,SUM($I$325:I330))</f>
        <v>0</v>
      </c>
      <c r="R330" s="63">
        <f t="shared" si="68"/>
        <v>-1342657.3426573428</v>
      </c>
      <c r="S330" s="64">
        <f t="shared" si="73"/>
        <v>0</v>
      </c>
      <c r="T330" s="73"/>
      <c r="U330" s="59">
        <f>IF(D330=0,0,SUM($L$21:L330))</f>
        <v>65594405.594405301</v>
      </c>
      <c r="V330" s="59">
        <f>IF(D330=0,0,SUM($J$21:J330))</f>
        <v>31748860</v>
      </c>
      <c r="W330" s="66">
        <f t="shared" si="69"/>
        <v>-33845545.594405301</v>
      </c>
      <c r="X330" s="67">
        <f t="shared" si="74"/>
        <v>0.48401780170575909</v>
      </c>
      <c r="Y330" s="68">
        <f t="shared" si="80"/>
        <v>45967</v>
      </c>
      <c r="Z330" s="69">
        <f t="shared" si="80"/>
        <v>45967</v>
      </c>
      <c r="AA330" s="1"/>
      <c r="AB330" s="1"/>
      <c r="AC330" s="1"/>
      <c r="AD330" s="1"/>
      <c r="AE330" s="1"/>
      <c r="AF330" s="1"/>
      <c r="AG330" s="1"/>
    </row>
    <row r="331" spans="1:33" ht="20">
      <c r="A331" s="1"/>
      <c r="B331" s="11"/>
      <c r="C331" s="50">
        <v>311</v>
      </c>
      <c r="D331" s="51">
        <v>1</v>
      </c>
      <c r="E331" s="52">
        <f t="shared" si="70"/>
        <v>11</v>
      </c>
      <c r="F331" s="53">
        <f t="shared" si="71"/>
        <v>45968</v>
      </c>
      <c r="G331" s="54" t="str">
        <f t="shared" si="72"/>
        <v>Fri</v>
      </c>
      <c r="H331" s="55"/>
      <c r="I331" s="56"/>
      <c r="J331" s="82"/>
      <c r="K331" s="83"/>
      <c r="L331" s="59">
        <f t="shared" si="79"/>
        <v>335664.3356643357</v>
      </c>
      <c r="M331" s="60">
        <f t="shared" si="67"/>
        <v>-335664.3356643357</v>
      </c>
      <c r="N331" s="61">
        <f t="shared" si="66"/>
        <v>0</v>
      </c>
      <c r="O331" s="80"/>
      <c r="P331" s="59">
        <f>IF(D331=0,0,SUM($L$325:L331))</f>
        <v>1678321.6783216784</v>
      </c>
      <c r="Q331" s="59">
        <f>IF(D331=0,0,SUM($I$325:I331))</f>
        <v>0</v>
      </c>
      <c r="R331" s="63">
        <f t="shared" si="68"/>
        <v>-1678321.6783216784</v>
      </c>
      <c r="S331" s="64">
        <f t="shared" si="73"/>
        <v>0</v>
      </c>
      <c r="T331" s="73"/>
      <c r="U331" s="59">
        <f>IF(D331=0,0,SUM($L$21:L331))</f>
        <v>65930069.93006964</v>
      </c>
      <c r="V331" s="59">
        <f>IF(D331=0,0,SUM($J$21:J331))</f>
        <v>31748860</v>
      </c>
      <c r="W331" s="66">
        <f t="shared" si="69"/>
        <v>-34181209.93006964</v>
      </c>
      <c r="X331" s="67">
        <f t="shared" si="74"/>
        <v>0.4815535617310161</v>
      </c>
      <c r="Y331" s="68">
        <f t="shared" si="80"/>
        <v>45968</v>
      </c>
      <c r="Z331" s="69">
        <f t="shared" si="80"/>
        <v>45968</v>
      </c>
      <c r="AA331" s="1"/>
      <c r="AB331" s="1"/>
      <c r="AC331" s="1"/>
      <c r="AD331" s="1"/>
      <c r="AE331" s="1"/>
      <c r="AF331" s="1"/>
      <c r="AG331" s="1"/>
    </row>
    <row r="332" spans="1:33" ht="20">
      <c r="A332" s="1"/>
      <c r="B332" s="11"/>
      <c r="C332" s="50">
        <v>312</v>
      </c>
      <c r="D332" s="51">
        <v>1</v>
      </c>
      <c r="E332" s="52">
        <f t="shared" si="70"/>
        <v>11</v>
      </c>
      <c r="F332" s="53">
        <f t="shared" si="71"/>
        <v>45969</v>
      </c>
      <c r="G332" s="54" t="str">
        <f t="shared" si="72"/>
        <v>Sat</v>
      </c>
      <c r="H332" s="55"/>
      <c r="I332" s="56"/>
      <c r="J332" s="82"/>
      <c r="K332" s="83"/>
      <c r="L332" s="59">
        <f t="shared" si="79"/>
        <v>335664.3356643357</v>
      </c>
      <c r="M332" s="60">
        <f t="shared" si="67"/>
        <v>-335664.3356643357</v>
      </c>
      <c r="N332" s="61">
        <f t="shared" si="66"/>
        <v>0</v>
      </c>
      <c r="O332" s="80"/>
      <c r="P332" s="59">
        <f>IF(D332=0,0,SUM($L$325:L332))</f>
        <v>2013986.0139860141</v>
      </c>
      <c r="Q332" s="59">
        <f>IF(D332=0,0,SUM($I$325:I332))</f>
        <v>0</v>
      </c>
      <c r="R332" s="63">
        <f t="shared" si="68"/>
        <v>-2013986.0139860141</v>
      </c>
      <c r="S332" s="64">
        <f t="shared" si="73"/>
        <v>0</v>
      </c>
      <c r="T332" s="73"/>
      <c r="U332" s="59">
        <f>IF(D332=0,0,SUM($L$21:L332))</f>
        <v>66265734.26573398</v>
      </c>
      <c r="V332" s="59">
        <f>IF(D332=0,0,SUM($J$21:J332))</f>
        <v>31748860</v>
      </c>
      <c r="W332" s="66">
        <f t="shared" si="69"/>
        <v>-34516874.26573398</v>
      </c>
      <c r="X332" s="67">
        <f t="shared" si="74"/>
        <v>0.4791142866188286</v>
      </c>
      <c r="Y332" s="68">
        <f t="shared" si="80"/>
        <v>45969</v>
      </c>
      <c r="Z332" s="69">
        <f t="shared" si="80"/>
        <v>45969</v>
      </c>
      <c r="AA332" s="1"/>
      <c r="AB332" s="1"/>
      <c r="AC332" s="1"/>
      <c r="AD332" s="1"/>
      <c r="AE332" s="1"/>
      <c r="AF332" s="1"/>
      <c r="AG332" s="1"/>
    </row>
    <row r="333" spans="1:33" ht="20">
      <c r="A333" s="1"/>
      <c r="B333" s="11"/>
      <c r="C333" s="50">
        <v>313</v>
      </c>
      <c r="D333" s="51">
        <v>0</v>
      </c>
      <c r="E333" s="52">
        <f t="shared" si="70"/>
        <v>11</v>
      </c>
      <c r="F333" s="53">
        <f t="shared" si="71"/>
        <v>45970</v>
      </c>
      <c r="G333" s="54" t="str">
        <f t="shared" si="72"/>
        <v>Sun</v>
      </c>
      <c r="H333" s="55"/>
      <c r="I333" s="56"/>
      <c r="J333" s="82"/>
      <c r="K333" s="83"/>
      <c r="L333" s="59">
        <f t="shared" si="79"/>
        <v>0</v>
      </c>
      <c r="M333" s="60">
        <f t="shared" si="67"/>
        <v>0</v>
      </c>
      <c r="N333" s="61" t="str">
        <f t="shared" si="66"/>
        <v>¥0</v>
      </c>
      <c r="O333" s="81"/>
      <c r="P333" s="59">
        <f>IF(D333=0,0,SUM($L$325:L333))</f>
        <v>0</v>
      </c>
      <c r="Q333" s="59">
        <f>IF(D333=0,0,SUM($I$325:I333))</f>
        <v>0</v>
      </c>
      <c r="R333" s="63">
        <f t="shared" si="68"/>
        <v>0</v>
      </c>
      <c r="S333" s="64">
        <f t="shared" si="73"/>
        <v>0</v>
      </c>
      <c r="T333" s="78"/>
      <c r="U333" s="59">
        <f>IF(D333=0,0,SUM($L$21:L333))</f>
        <v>0</v>
      </c>
      <c r="V333" s="59">
        <f>IF(D333=0,0,SUM($J$21:J333))</f>
        <v>0</v>
      </c>
      <c r="W333" s="66">
        <f t="shared" si="69"/>
        <v>0</v>
      </c>
      <c r="X333" s="67">
        <f t="shared" si="74"/>
        <v>0</v>
      </c>
      <c r="Y333" s="68">
        <f t="shared" si="80"/>
        <v>45970</v>
      </c>
      <c r="Z333" s="69">
        <f t="shared" si="80"/>
        <v>45970</v>
      </c>
      <c r="AA333" s="1"/>
      <c r="AB333" s="1"/>
      <c r="AC333" s="1"/>
      <c r="AD333" s="1"/>
      <c r="AE333" s="1"/>
      <c r="AF333" s="1"/>
      <c r="AG333" s="1"/>
    </row>
    <row r="334" spans="1:33" ht="20">
      <c r="A334" s="1"/>
      <c r="B334" s="11"/>
      <c r="C334" s="50">
        <v>314</v>
      </c>
      <c r="D334" s="51">
        <v>1</v>
      </c>
      <c r="E334" s="52">
        <f t="shared" si="70"/>
        <v>11</v>
      </c>
      <c r="F334" s="53">
        <f t="shared" si="71"/>
        <v>45971</v>
      </c>
      <c r="G334" s="54" t="str">
        <f t="shared" si="72"/>
        <v>Mon</v>
      </c>
      <c r="H334" s="55"/>
      <c r="I334" s="56"/>
      <c r="J334" s="82"/>
      <c r="K334" s="83"/>
      <c r="L334" s="59">
        <f t="shared" si="79"/>
        <v>335664.3356643357</v>
      </c>
      <c r="M334" s="60">
        <f t="shared" si="67"/>
        <v>-335664.3356643357</v>
      </c>
      <c r="N334" s="61">
        <f t="shared" si="66"/>
        <v>0</v>
      </c>
      <c r="O334" s="80"/>
      <c r="P334" s="59">
        <f>IF(D334=0,0,SUM($L$325:L334))</f>
        <v>2349650.3496503499</v>
      </c>
      <c r="Q334" s="59">
        <f>IF(D334=0,0,SUM($I$325:I334))</f>
        <v>0</v>
      </c>
      <c r="R334" s="63">
        <f t="shared" si="68"/>
        <v>-2349650.3496503499</v>
      </c>
      <c r="S334" s="64">
        <f t="shared" si="73"/>
        <v>0</v>
      </c>
      <c r="T334" s="73"/>
      <c r="U334" s="59">
        <f>IF(D334=0,0,SUM($L$21:L334))</f>
        <v>66601398.601398319</v>
      </c>
      <c r="V334" s="59">
        <f>IF(D334=0,0,SUM($J$21:J334))</f>
        <v>31748860</v>
      </c>
      <c r="W334" s="66">
        <f t="shared" si="69"/>
        <v>-34852538.601398319</v>
      </c>
      <c r="X334" s="67">
        <f t="shared" si="74"/>
        <v>0.47669959890802388</v>
      </c>
      <c r="Y334" s="68">
        <f t="shared" si="80"/>
        <v>45971</v>
      </c>
      <c r="Z334" s="69">
        <f t="shared" si="80"/>
        <v>45971</v>
      </c>
      <c r="AA334" s="1"/>
      <c r="AB334" s="1"/>
      <c r="AC334" s="1"/>
      <c r="AD334" s="1"/>
      <c r="AE334" s="1"/>
      <c r="AF334" s="1"/>
      <c r="AG334" s="1"/>
    </row>
    <row r="335" spans="1:33" ht="20">
      <c r="A335" s="1"/>
      <c r="B335" s="11"/>
      <c r="C335" s="50">
        <v>315</v>
      </c>
      <c r="D335" s="51">
        <v>1</v>
      </c>
      <c r="E335" s="52">
        <f t="shared" si="70"/>
        <v>11</v>
      </c>
      <c r="F335" s="53">
        <f t="shared" si="71"/>
        <v>45972</v>
      </c>
      <c r="G335" s="54" t="str">
        <f t="shared" si="72"/>
        <v>Tue</v>
      </c>
      <c r="H335" s="55"/>
      <c r="I335" s="56"/>
      <c r="J335" s="82"/>
      <c r="K335" s="83"/>
      <c r="L335" s="59">
        <f t="shared" si="79"/>
        <v>335664.3356643357</v>
      </c>
      <c r="M335" s="60">
        <f t="shared" si="67"/>
        <v>-335664.3356643357</v>
      </c>
      <c r="N335" s="61">
        <f t="shared" si="66"/>
        <v>0</v>
      </c>
      <c r="O335" s="80"/>
      <c r="P335" s="59">
        <f>IF(D335=0,0,SUM($L$325:L335))</f>
        <v>2685314.6853146856</v>
      </c>
      <c r="Q335" s="59">
        <f>IF(D335=0,0,SUM($I$325:I335))</f>
        <v>0</v>
      </c>
      <c r="R335" s="63">
        <f t="shared" si="68"/>
        <v>-2685314.6853146856</v>
      </c>
      <c r="S335" s="64">
        <f t="shared" si="73"/>
        <v>0</v>
      </c>
      <c r="T335" s="73"/>
      <c r="U335" s="59">
        <f>IF(D335=0,0,SUM($L$21:L335))</f>
        <v>66937062.937062658</v>
      </c>
      <c r="V335" s="59">
        <f>IF(D335=0,0,SUM($J$21:J335))</f>
        <v>31748860</v>
      </c>
      <c r="W335" s="66">
        <f t="shared" si="69"/>
        <v>-35188202.937062658</v>
      </c>
      <c r="X335" s="67">
        <f t="shared" si="74"/>
        <v>0.47430912870873576</v>
      </c>
      <c r="Y335" s="68">
        <f t="shared" si="80"/>
        <v>45972</v>
      </c>
      <c r="Z335" s="69">
        <f t="shared" si="80"/>
        <v>45972</v>
      </c>
      <c r="AA335" s="1"/>
      <c r="AB335" s="1"/>
      <c r="AC335" s="1"/>
      <c r="AD335" s="1"/>
      <c r="AE335" s="1"/>
      <c r="AF335" s="1"/>
      <c r="AG335" s="1"/>
    </row>
    <row r="336" spans="1:33" ht="20">
      <c r="A336" s="1"/>
      <c r="B336" s="11"/>
      <c r="C336" s="50">
        <v>316</v>
      </c>
      <c r="D336" s="51">
        <v>1</v>
      </c>
      <c r="E336" s="52">
        <f t="shared" si="70"/>
        <v>11</v>
      </c>
      <c r="F336" s="53">
        <f t="shared" si="71"/>
        <v>45973</v>
      </c>
      <c r="G336" s="54" t="str">
        <f t="shared" si="72"/>
        <v>Wed</v>
      </c>
      <c r="H336" s="55"/>
      <c r="I336" s="56"/>
      <c r="J336" s="82"/>
      <c r="K336" s="83"/>
      <c r="L336" s="59">
        <f t="shared" si="79"/>
        <v>335664.3356643357</v>
      </c>
      <c r="M336" s="60">
        <f t="shared" si="67"/>
        <v>-335664.3356643357</v>
      </c>
      <c r="N336" s="61">
        <f t="shared" si="66"/>
        <v>0</v>
      </c>
      <c r="O336" s="80"/>
      <c r="P336" s="59">
        <f>IF(D336=0,0,SUM($L$325:L336))</f>
        <v>3020979.0209790212</v>
      </c>
      <c r="Q336" s="59">
        <f>IF(D336=0,0,SUM($I$325:I336))</f>
        <v>0</v>
      </c>
      <c r="R336" s="63">
        <f t="shared" si="68"/>
        <v>-3020979.0209790212</v>
      </c>
      <c r="S336" s="64">
        <f t="shared" si="73"/>
        <v>0</v>
      </c>
      <c r="T336" s="73"/>
      <c r="U336" s="59">
        <f>IF(D336=0,0,SUM($L$21:L336))</f>
        <v>67272727.272726998</v>
      </c>
      <c r="V336" s="59">
        <f>IF(D336=0,0,SUM($J$21:J336))</f>
        <v>31748860</v>
      </c>
      <c r="W336" s="66">
        <f t="shared" si="69"/>
        <v>-35523867.272726998</v>
      </c>
      <c r="X336" s="67">
        <f t="shared" si="74"/>
        <v>0.47194251351351546</v>
      </c>
      <c r="Y336" s="68">
        <f t="shared" si="80"/>
        <v>45973</v>
      </c>
      <c r="Z336" s="69">
        <f t="shared" si="80"/>
        <v>45973</v>
      </c>
      <c r="AA336" s="1"/>
      <c r="AB336" s="1"/>
      <c r="AC336" s="1"/>
      <c r="AD336" s="1"/>
      <c r="AE336" s="1"/>
      <c r="AF336" s="1"/>
      <c r="AG336" s="1"/>
    </row>
    <row r="337" spans="1:33" ht="20">
      <c r="A337" s="1"/>
      <c r="B337" s="11"/>
      <c r="C337" s="50">
        <v>317</v>
      </c>
      <c r="D337" s="51">
        <v>1</v>
      </c>
      <c r="E337" s="52">
        <f t="shared" si="70"/>
        <v>11</v>
      </c>
      <c r="F337" s="53">
        <f t="shared" si="71"/>
        <v>45974</v>
      </c>
      <c r="G337" s="54" t="str">
        <f t="shared" si="72"/>
        <v>Thu</v>
      </c>
      <c r="H337" s="55"/>
      <c r="I337" s="56"/>
      <c r="J337" s="82"/>
      <c r="K337" s="83"/>
      <c r="L337" s="59">
        <f t="shared" si="79"/>
        <v>335664.3356643357</v>
      </c>
      <c r="M337" s="60">
        <f t="shared" si="67"/>
        <v>-335664.3356643357</v>
      </c>
      <c r="N337" s="61">
        <f t="shared" si="66"/>
        <v>0</v>
      </c>
      <c r="O337" s="80"/>
      <c r="P337" s="59">
        <f>IF(D337=0,0,SUM($L$325:L337))</f>
        <v>3356643.3566433568</v>
      </c>
      <c r="Q337" s="59">
        <f>IF(D337=0,0,SUM($I$325:I337))</f>
        <v>0</v>
      </c>
      <c r="R337" s="63">
        <f t="shared" si="68"/>
        <v>-3356643.3566433568</v>
      </c>
      <c r="S337" s="64">
        <f t="shared" si="73"/>
        <v>0</v>
      </c>
      <c r="T337" s="73"/>
      <c r="U337" s="59">
        <f>IF(D337=0,0,SUM($L$21:L337))</f>
        <v>67608391.60839133</v>
      </c>
      <c r="V337" s="59">
        <f>IF(D337=0,0,SUM($J$21:J337))</f>
        <v>31748860</v>
      </c>
      <c r="W337" s="66">
        <f t="shared" si="69"/>
        <v>-35859531.60839133</v>
      </c>
      <c r="X337" s="67">
        <f t="shared" si="74"/>
        <v>0.46959939801406897</v>
      </c>
      <c r="Y337" s="68">
        <f t="shared" si="80"/>
        <v>45974</v>
      </c>
      <c r="Z337" s="69">
        <f t="shared" si="80"/>
        <v>45974</v>
      </c>
      <c r="AA337" s="1"/>
      <c r="AB337" s="1"/>
      <c r="AC337" s="1"/>
      <c r="AD337" s="1"/>
      <c r="AE337" s="1"/>
      <c r="AF337" s="1"/>
      <c r="AG337" s="1"/>
    </row>
    <row r="338" spans="1:33" ht="20">
      <c r="A338" s="1"/>
      <c r="B338" s="11"/>
      <c r="C338" s="50">
        <v>318</v>
      </c>
      <c r="D338" s="51">
        <v>1</v>
      </c>
      <c r="E338" s="52">
        <f t="shared" si="70"/>
        <v>11</v>
      </c>
      <c r="F338" s="53">
        <f t="shared" si="71"/>
        <v>45975</v>
      </c>
      <c r="G338" s="54" t="str">
        <f t="shared" si="72"/>
        <v>Fri</v>
      </c>
      <c r="H338" s="55"/>
      <c r="I338" s="56"/>
      <c r="J338" s="82"/>
      <c r="K338" s="83"/>
      <c r="L338" s="59">
        <f t="shared" si="79"/>
        <v>335664.3356643357</v>
      </c>
      <c r="M338" s="60">
        <f t="shared" si="67"/>
        <v>-335664.3356643357</v>
      </c>
      <c r="N338" s="61">
        <f t="shared" si="66"/>
        <v>0</v>
      </c>
      <c r="O338" s="80"/>
      <c r="P338" s="59">
        <f>IF(D338=0,0,SUM($L$325:L338))</f>
        <v>3692307.6923076925</v>
      </c>
      <c r="Q338" s="59">
        <f>IF(D338=0,0,SUM($I$325:I338))</f>
        <v>0</v>
      </c>
      <c r="R338" s="63">
        <f t="shared" si="68"/>
        <v>-3692307.6923076925</v>
      </c>
      <c r="S338" s="64">
        <f t="shared" si="73"/>
        <v>0</v>
      </c>
      <c r="T338" s="73"/>
      <c r="U338" s="59">
        <f>IF(D338=0,0,SUM($L$21:L338))</f>
        <v>67944055.944055662</v>
      </c>
      <c r="V338" s="59">
        <f>IF(D338=0,0,SUM($J$21:J338))</f>
        <v>31748860</v>
      </c>
      <c r="W338" s="66">
        <f t="shared" si="69"/>
        <v>-36195195.944055662</v>
      </c>
      <c r="X338" s="67">
        <f t="shared" si="74"/>
        <v>0.46727943392342725</v>
      </c>
      <c r="Y338" s="68">
        <f t="shared" si="80"/>
        <v>45975</v>
      </c>
      <c r="Z338" s="69">
        <f t="shared" si="80"/>
        <v>45975</v>
      </c>
      <c r="AA338" s="1"/>
      <c r="AB338" s="1"/>
      <c r="AC338" s="1"/>
      <c r="AD338" s="1"/>
      <c r="AE338" s="1"/>
      <c r="AF338" s="1"/>
      <c r="AG338" s="1"/>
    </row>
    <row r="339" spans="1:33" ht="20">
      <c r="A339" s="1"/>
      <c r="B339" s="11"/>
      <c r="C339" s="50">
        <v>319</v>
      </c>
      <c r="D339" s="51">
        <v>1</v>
      </c>
      <c r="E339" s="52">
        <f t="shared" si="70"/>
        <v>11</v>
      </c>
      <c r="F339" s="53">
        <f t="shared" si="71"/>
        <v>45976</v>
      </c>
      <c r="G339" s="54" t="str">
        <f t="shared" si="72"/>
        <v>Sat</v>
      </c>
      <c r="H339" s="55"/>
      <c r="I339" s="56"/>
      <c r="J339" s="82"/>
      <c r="K339" s="83"/>
      <c r="L339" s="59">
        <f t="shared" si="79"/>
        <v>335664.3356643357</v>
      </c>
      <c r="M339" s="60">
        <f t="shared" si="67"/>
        <v>-335664.3356643357</v>
      </c>
      <c r="N339" s="61">
        <f t="shared" si="66"/>
        <v>0</v>
      </c>
      <c r="O339" s="80"/>
      <c r="P339" s="59">
        <f>IF(D339=0,0,SUM($L$325:L339))</f>
        <v>4027972.0279720281</v>
      </c>
      <c r="Q339" s="59">
        <f>IF(D339=0,0,SUM($I$325:I339))</f>
        <v>0</v>
      </c>
      <c r="R339" s="63">
        <f t="shared" si="68"/>
        <v>-4027972.0279720281</v>
      </c>
      <c r="S339" s="64">
        <f t="shared" si="73"/>
        <v>0</v>
      </c>
      <c r="T339" s="73"/>
      <c r="U339" s="59">
        <f>IF(D339=0,0,SUM($L$21:L339))</f>
        <v>68279720.279719993</v>
      </c>
      <c r="V339" s="59">
        <f>IF(D339=0,0,SUM($J$21:J339))</f>
        <v>31748860</v>
      </c>
      <c r="W339" s="66">
        <f t="shared" si="69"/>
        <v>-36530860.279719993</v>
      </c>
      <c r="X339" s="67">
        <f t="shared" si="74"/>
        <v>0.46498227980336121</v>
      </c>
      <c r="Y339" s="68">
        <f t="shared" si="80"/>
        <v>45976</v>
      </c>
      <c r="Z339" s="69">
        <f t="shared" si="80"/>
        <v>45976</v>
      </c>
      <c r="AA339" s="1"/>
      <c r="AB339" s="1"/>
      <c r="AC339" s="1"/>
      <c r="AD339" s="1"/>
      <c r="AE339" s="1"/>
      <c r="AF339" s="1"/>
      <c r="AG339" s="1"/>
    </row>
    <row r="340" spans="1:33" ht="20">
      <c r="A340" s="1"/>
      <c r="B340" s="11"/>
      <c r="C340" s="50">
        <v>320</v>
      </c>
      <c r="D340" s="51">
        <v>0</v>
      </c>
      <c r="E340" s="52">
        <f t="shared" si="70"/>
        <v>11</v>
      </c>
      <c r="F340" s="53">
        <f t="shared" si="71"/>
        <v>45977</v>
      </c>
      <c r="G340" s="54" t="str">
        <f t="shared" si="72"/>
        <v>Sun</v>
      </c>
      <c r="H340" s="55"/>
      <c r="I340" s="56"/>
      <c r="J340" s="82"/>
      <c r="K340" s="83"/>
      <c r="L340" s="59">
        <f t="shared" si="79"/>
        <v>0</v>
      </c>
      <c r="M340" s="60">
        <f t="shared" si="67"/>
        <v>0</v>
      </c>
      <c r="N340" s="61" t="str">
        <f t="shared" si="66"/>
        <v>¥0</v>
      </c>
      <c r="O340" s="81"/>
      <c r="P340" s="59">
        <f>IF(D340=0,0,SUM($L$325:L340))</f>
        <v>0</v>
      </c>
      <c r="Q340" s="59">
        <f>IF(D340=0,0,SUM($I$325:I340))</f>
        <v>0</v>
      </c>
      <c r="R340" s="63">
        <f t="shared" si="68"/>
        <v>0</v>
      </c>
      <c r="S340" s="64">
        <f t="shared" si="73"/>
        <v>0</v>
      </c>
      <c r="T340" s="78"/>
      <c r="U340" s="59">
        <f>IF(D340=0,0,SUM($L$21:L340))</f>
        <v>0</v>
      </c>
      <c r="V340" s="59">
        <f>IF(D340=0,0,SUM($J$21:J340))</f>
        <v>0</v>
      </c>
      <c r="W340" s="66">
        <f t="shared" si="69"/>
        <v>0</v>
      </c>
      <c r="X340" s="67">
        <f t="shared" si="74"/>
        <v>0</v>
      </c>
      <c r="Y340" s="68">
        <f t="shared" si="80"/>
        <v>45977</v>
      </c>
      <c r="Z340" s="69">
        <f t="shared" si="80"/>
        <v>45977</v>
      </c>
      <c r="AA340" s="1"/>
      <c r="AB340" s="1"/>
      <c r="AC340" s="1"/>
      <c r="AD340" s="1"/>
      <c r="AE340" s="1"/>
      <c r="AF340" s="1"/>
      <c r="AG340" s="1"/>
    </row>
    <row r="341" spans="1:33" ht="20">
      <c r="A341" s="1"/>
      <c r="B341" s="11"/>
      <c r="C341" s="50">
        <v>321</v>
      </c>
      <c r="D341" s="51">
        <v>1</v>
      </c>
      <c r="E341" s="52">
        <f t="shared" si="70"/>
        <v>11</v>
      </c>
      <c r="F341" s="53">
        <f t="shared" si="71"/>
        <v>45978</v>
      </c>
      <c r="G341" s="54" t="str">
        <f t="shared" si="72"/>
        <v>Mon</v>
      </c>
      <c r="H341" s="55"/>
      <c r="I341" s="56"/>
      <c r="J341" s="82"/>
      <c r="K341" s="83"/>
      <c r="L341" s="59">
        <f t="shared" si="79"/>
        <v>335664.3356643357</v>
      </c>
      <c r="M341" s="60">
        <f t="shared" ref="M341:M385" si="81">IF(D341=0,0,J341-L341)</f>
        <v>-335664.3356643357</v>
      </c>
      <c r="N341" s="61">
        <f t="shared" si="66"/>
        <v>0</v>
      </c>
      <c r="O341" s="80"/>
      <c r="P341" s="59">
        <f>IF(D341=0,0,SUM($L$325:L341))</f>
        <v>4363636.3636363642</v>
      </c>
      <c r="Q341" s="59">
        <f>IF(D341=0,0,SUM($I$325:I341))</f>
        <v>0</v>
      </c>
      <c r="R341" s="63">
        <f t="shared" ref="R341:R385" si="82">IF(D341=0,0,Q341-P341)</f>
        <v>-4363636.3636363642</v>
      </c>
      <c r="S341" s="64">
        <f t="shared" si="73"/>
        <v>0</v>
      </c>
      <c r="T341" s="73"/>
      <c r="U341" s="59">
        <f>IF(D341=0,0,SUM($L$21:L341))</f>
        <v>68615384.615384325</v>
      </c>
      <c r="V341" s="59">
        <f>IF(D341=0,0,SUM($J$21:J341))</f>
        <v>31748860</v>
      </c>
      <c r="W341" s="66">
        <f t="shared" ref="W341:W385" si="83">IF(D341=0,0,V341-U341)</f>
        <v>-36866524.615384325</v>
      </c>
      <c r="X341" s="67">
        <f t="shared" si="74"/>
        <v>0.46270760089686297</v>
      </c>
      <c r="Y341" s="68">
        <f t="shared" si="80"/>
        <v>45978</v>
      </c>
      <c r="Z341" s="69">
        <f t="shared" si="80"/>
        <v>45978</v>
      </c>
      <c r="AA341" s="1"/>
      <c r="AB341" s="1"/>
      <c r="AC341" s="1"/>
      <c r="AD341" s="1"/>
      <c r="AE341" s="1"/>
      <c r="AF341" s="1"/>
      <c r="AG341" s="1"/>
    </row>
    <row r="342" spans="1:33" ht="20">
      <c r="A342" s="1"/>
      <c r="B342" s="11"/>
      <c r="C342" s="50">
        <v>322</v>
      </c>
      <c r="D342" s="51">
        <v>1</v>
      </c>
      <c r="E342" s="52">
        <f t="shared" ref="E342:E385" si="84">MONTH(Y342)</f>
        <v>11</v>
      </c>
      <c r="F342" s="53">
        <f t="shared" ref="F342:F385" si="85">F341+1</f>
        <v>45979</v>
      </c>
      <c r="G342" s="54" t="str">
        <f t="shared" ref="G342:G385" si="86">TEXT(Z342,"ddd")</f>
        <v>Tue</v>
      </c>
      <c r="H342" s="55"/>
      <c r="I342" s="56"/>
      <c r="J342" s="82"/>
      <c r="K342" s="83"/>
      <c r="L342" s="59">
        <f t="shared" si="79"/>
        <v>335664.3356643357</v>
      </c>
      <c r="M342" s="60">
        <f t="shared" si="81"/>
        <v>-335664.3356643357</v>
      </c>
      <c r="N342" s="61">
        <f t="shared" si="66"/>
        <v>0</v>
      </c>
      <c r="O342" s="80"/>
      <c r="P342" s="59">
        <f>IF(D342=0,0,SUM($L$325:L342))</f>
        <v>4699300.6993006999</v>
      </c>
      <c r="Q342" s="59">
        <f>IF(D342=0,0,SUM($I$325:I342))</f>
        <v>0</v>
      </c>
      <c r="R342" s="63">
        <f t="shared" si="82"/>
        <v>-4699300.6993006999</v>
      </c>
      <c r="S342" s="64">
        <f t="shared" ref="S342:S385" si="87">IF(D342=0,0,Q342/P342)</f>
        <v>0</v>
      </c>
      <c r="T342" s="73"/>
      <c r="U342" s="59">
        <f>IF(D342=0,0,SUM($L$21:L342))</f>
        <v>68951048.951048657</v>
      </c>
      <c r="V342" s="59">
        <f>IF(D342=0,0,SUM($J$21:J342))</f>
        <v>31748860</v>
      </c>
      <c r="W342" s="66">
        <f t="shared" si="83"/>
        <v>-37202188.951048657</v>
      </c>
      <c r="X342" s="67">
        <f t="shared" ref="X342:X385" si="88">IF(D342=0,0,V342/U342)</f>
        <v>0.46045506896551919</v>
      </c>
      <c r="Y342" s="68">
        <f t="shared" si="80"/>
        <v>45979</v>
      </c>
      <c r="Z342" s="69">
        <f t="shared" si="80"/>
        <v>45979</v>
      </c>
      <c r="AA342" s="1"/>
      <c r="AB342" s="1"/>
      <c r="AC342" s="1"/>
      <c r="AD342" s="1"/>
      <c r="AE342" s="1"/>
      <c r="AF342" s="1"/>
      <c r="AG342" s="1"/>
    </row>
    <row r="343" spans="1:33" ht="20">
      <c r="A343" s="1"/>
      <c r="B343" s="11"/>
      <c r="C343" s="50">
        <v>323</v>
      </c>
      <c r="D343" s="51">
        <v>1</v>
      </c>
      <c r="E343" s="52">
        <f t="shared" si="84"/>
        <v>11</v>
      </c>
      <c r="F343" s="53">
        <f t="shared" si="85"/>
        <v>45980</v>
      </c>
      <c r="G343" s="54" t="str">
        <f t="shared" si="86"/>
        <v>Wed</v>
      </c>
      <c r="H343" s="55"/>
      <c r="I343" s="56"/>
      <c r="J343" s="82"/>
      <c r="K343" s="83"/>
      <c r="L343" s="59">
        <f t="shared" si="79"/>
        <v>335664.3356643357</v>
      </c>
      <c r="M343" s="60">
        <f t="shared" si="81"/>
        <v>-335664.3356643357</v>
      </c>
      <c r="N343" s="61">
        <f t="shared" si="66"/>
        <v>0</v>
      </c>
      <c r="O343" s="80"/>
      <c r="P343" s="59">
        <f>IF(D343=0,0,SUM($L$325:L343))</f>
        <v>5034965.0349650355</v>
      </c>
      <c r="Q343" s="59">
        <f>IF(D343=0,0,SUM($I$325:I343))</f>
        <v>0</v>
      </c>
      <c r="R343" s="63">
        <f t="shared" si="82"/>
        <v>-5034965.0349650355</v>
      </c>
      <c r="S343" s="64">
        <f t="shared" si="87"/>
        <v>0</v>
      </c>
      <c r="T343" s="73"/>
      <c r="U343" s="59">
        <f>IF(D343=0,0,SUM($L$21:L343))</f>
        <v>69286713.286712989</v>
      </c>
      <c r="V343" s="59">
        <f>IF(D343=0,0,SUM($J$21:J343))</f>
        <v>31748860</v>
      </c>
      <c r="W343" s="66">
        <f t="shared" si="83"/>
        <v>-37537853.286712989</v>
      </c>
      <c r="X343" s="67">
        <f t="shared" si="88"/>
        <v>0.45822436213161277</v>
      </c>
      <c r="Y343" s="68">
        <f t="shared" ref="Y343:Z358" si="89">Y342+1</f>
        <v>45980</v>
      </c>
      <c r="Z343" s="69">
        <f t="shared" si="89"/>
        <v>45980</v>
      </c>
      <c r="AA343" s="1"/>
      <c r="AB343" s="1"/>
      <c r="AC343" s="1"/>
      <c r="AD343" s="1"/>
      <c r="AE343" s="1"/>
      <c r="AF343" s="1"/>
      <c r="AG343" s="1"/>
    </row>
    <row r="344" spans="1:33" ht="20">
      <c r="A344" s="1"/>
      <c r="B344" s="11"/>
      <c r="C344" s="50">
        <v>324</v>
      </c>
      <c r="D344" s="51">
        <v>1</v>
      </c>
      <c r="E344" s="52">
        <f t="shared" si="84"/>
        <v>11</v>
      </c>
      <c r="F344" s="53">
        <f t="shared" si="85"/>
        <v>45981</v>
      </c>
      <c r="G344" s="54" t="str">
        <f t="shared" si="86"/>
        <v>Thu</v>
      </c>
      <c r="H344" s="55"/>
      <c r="I344" s="56"/>
      <c r="J344" s="82"/>
      <c r="K344" s="83"/>
      <c r="L344" s="59">
        <f t="shared" si="79"/>
        <v>335664.3356643357</v>
      </c>
      <c r="M344" s="60">
        <f t="shared" si="81"/>
        <v>-335664.3356643357</v>
      </c>
      <c r="N344" s="61">
        <f t="shared" si="66"/>
        <v>0</v>
      </c>
      <c r="O344" s="80"/>
      <c r="P344" s="59">
        <f>IF(D344=0,0,SUM($L$325:L344))</f>
        <v>5370629.3706293711</v>
      </c>
      <c r="Q344" s="59">
        <f>IF(D344=0,0,SUM($I$325:I344))</f>
        <v>0</v>
      </c>
      <c r="R344" s="63">
        <f t="shared" si="82"/>
        <v>-5370629.3706293711</v>
      </c>
      <c r="S344" s="64">
        <f t="shared" si="87"/>
        <v>0</v>
      </c>
      <c r="T344" s="73"/>
      <c r="U344" s="59">
        <f>IF(D344=0,0,SUM($L$21:L344))</f>
        <v>69622377.622377321</v>
      </c>
      <c r="V344" s="59">
        <f>IF(D344=0,0,SUM($J$21:J344))</f>
        <v>31748860</v>
      </c>
      <c r="W344" s="66">
        <f t="shared" si="83"/>
        <v>-37873517.622377321</v>
      </c>
      <c r="X344" s="67">
        <f t="shared" si="88"/>
        <v>0.45601516472479103</v>
      </c>
      <c r="Y344" s="68">
        <f t="shared" si="89"/>
        <v>45981</v>
      </c>
      <c r="Z344" s="69">
        <f t="shared" si="89"/>
        <v>45981</v>
      </c>
      <c r="AA344" s="1"/>
      <c r="AB344" s="1"/>
      <c r="AC344" s="1"/>
      <c r="AD344" s="1"/>
      <c r="AE344" s="1"/>
      <c r="AF344" s="1"/>
      <c r="AG344" s="1"/>
    </row>
    <row r="345" spans="1:33" ht="20">
      <c r="A345" s="1"/>
      <c r="B345" s="11"/>
      <c r="C345" s="50">
        <v>325</v>
      </c>
      <c r="D345" s="51">
        <v>1</v>
      </c>
      <c r="E345" s="52">
        <f t="shared" si="84"/>
        <v>11</v>
      </c>
      <c r="F345" s="53">
        <f t="shared" si="85"/>
        <v>45982</v>
      </c>
      <c r="G345" s="54" t="str">
        <f t="shared" si="86"/>
        <v>Fri</v>
      </c>
      <c r="H345" s="55"/>
      <c r="I345" s="56"/>
      <c r="J345" s="82"/>
      <c r="K345" s="83"/>
      <c r="L345" s="59">
        <f t="shared" si="79"/>
        <v>335664.3356643357</v>
      </c>
      <c r="M345" s="60">
        <f t="shared" si="81"/>
        <v>-335664.3356643357</v>
      </c>
      <c r="N345" s="61">
        <f t="shared" si="66"/>
        <v>0</v>
      </c>
      <c r="O345" s="80"/>
      <c r="P345" s="59">
        <f>IF(D345=0,0,SUM($L$325:L345))</f>
        <v>5706293.7062937068</v>
      </c>
      <c r="Q345" s="59">
        <f>IF(D345=0,0,SUM($I$325:I345))</f>
        <v>0</v>
      </c>
      <c r="R345" s="63">
        <f t="shared" si="82"/>
        <v>-5706293.7062937068</v>
      </c>
      <c r="S345" s="64">
        <f t="shared" si="87"/>
        <v>0</v>
      </c>
      <c r="T345" s="73"/>
      <c r="U345" s="59">
        <f>IF(D345=0,0,SUM($L$21:L345))</f>
        <v>69958041.958041653</v>
      </c>
      <c r="V345" s="59">
        <f>IF(D345=0,0,SUM($J$21:J345))</f>
        <v>31748860</v>
      </c>
      <c r="W345" s="66">
        <f t="shared" si="83"/>
        <v>-38209181.958041653</v>
      </c>
      <c r="X345" s="67">
        <f t="shared" si="88"/>
        <v>0.45382716713314875</v>
      </c>
      <c r="Y345" s="68">
        <f t="shared" si="89"/>
        <v>45982</v>
      </c>
      <c r="Z345" s="69">
        <f t="shared" si="89"/>
        <v>45982</v>
      </c>
      <c r="AA345" s="1"/>
      <c r="AB345" s="1"/>
      <c r="AC345" s="1"/>
      <c r="AD345" s="1"/>
      <c r="AE345" s="1"/>
      <c r="AF345" s="1"/>
      <c r="AG345" s="1"/>
    </row>
    <row r="346" spans="1:33" ht="20">
      <c r="A346" s="1"/>
      <c r="B346" s="11"/>
      <c r="C346" s="50">
        <v>326</v>
      </c>
      <c r="D346" s="51">
        <v>1</v>
      </c>
      <c r="E346" s="52">
        <f t="shared" si="84"/>
        <v>11</v>
      </c>
      <c r="F346" s="53">
        <f t="shared" si="85"/>
        <v>45983</v>
      </c>
      <c r="G346" s="54" t="str">
        <f t="shared" si="86"/>
        <v>Sat</v>
      </c>
      <c r="H346" s="55"/>
      <c r="I346" s="56"/>
      <c r="J346" s="82"/>
      <c r="K346" s="83"/>
      <c r="L346" s="59">
        <f t="shared" si="79"/>
        <v>335664.3356643357</v>
      </c>
      <c r="M346" s="60">
        <f t="shared" si="81"/>
        <v>-335664.3356643357</v>
      </c>
      <c r="N346" s="61">
        <f t="shared" si="66"/>
        <v>0</v>
      </c>
      <c r="O346" s="80"/>
      <c r="P346" s="59">
        <f>IF(D346=0,0,SUM($L$325:L346))</f>
        <v>6041958.0419580424</v>
      </c>
      <c r="Q346" s="59">
        <f>IF(D346=0,0,SUM($I$325:I346))</f>
        <v>0</v>
      </c>
      <c r="R346" s="63">
        <f t="shared" si="82"/>
        <v>-6041958.0419580424</v>
      </c>
      <c r="S346" s="64">
        <f t="shared" si="87"/>
        <v>0</v>
      </c>
      <c r="T346" s="73"/>
      <c r="U346" s="59">
        <f>IF(D346=0,0,SUM($L$21:L346))</f>
        <v>70293706.293705985</v>
      </c>
      <c r="V346" s="59">
        <f>IF(D346=0,0,SUM($J$21:J346))</f>
        <v>31748860</v>
      </c>
      <c r="W346" s="66">
        <f t="shared" si="83"/>
        <v>-38544846.293705985</v>
      </c>
      <c r="X346" s="67">
        <f t="shared" si="88"/>
        <v>0.45166006565857741</v>
      </c>
      <c r="Y346" s="68">
        <f t="shared" si="89"/>
        <v>45983</v>
      </c>
      <c r="Z346" s="69">
        <f t="shared" si="89"/>
        <v>45983</v>
      </c>
      <c r="AA346" s="1"/>
      <c r="AB346" s="1"/>
      <c r="AC346" s="1"/>
      <c r="AD346" s="1"/>
      <c r="AE346" s="1"/>
      <c r="AF346" s="1"/>
      <c r="AG346" s="1"/>
    </row>
    <row r="347" spans="1:33" ht="20">
      <c r="A347" s="1"/>
      <c r="B347" s="11"/>
      <c r="C347" s="50">
        <v>327</v>
      </c>
      <c r="D347" s="51">
        <v>0</v>
      </c>
      <c r="E347" s="52">
        <f t="shared" si="84"/>
        <v>11</v>
      </c>
      <c r="F347" s="53">
        <f t="shared" si="85"/>
        <v>45984</v>
      </c>
      <c r="G347" s="54" t="str">
        <f t="shared" si="86"/>
        <v>Sun</v>
      </c>
      <c r="H347" s="55"/>
      <c r="I347" s="56"/>
      <c r="J347" s="82"/>
      <c r="K347" s="83"/>
      <c r="L347" s="59">
        <f t="shared" si="79"/>
        <v>0</v>
      </c>
      <c r="M347" s="60">
        <f t="shared" si="81"/>
        <v>0</v>
      </c>
      <c r="N347" s="61" t="str">
        <f t="shared" si="66"/>
        <v>¥0</v>
      </c>
      <c r="O347" s="81"/>
      <c r="P347" s="59">
        <f>IF(D347=0,0,SUM($L$325:L347))</f>
        <v>0</v>
      </c>
      <c r="Q347" s="59">
        <f>IF(D347=0,0,SUM($I$325:I347))</f>
        <v>0</v>
      </c>
      <c r="R347" s="63">
        <f t="shared" si="82"/>
        <v>0</v>
      </c>
      <c r="S347" s="64">
        <f t="shared" si="87"/>
        <v>0</v>
      </c>
      <c r="T347" s="78"/>
      <c r="U347" s="59">
        <f>IF(D347=0,0,SUM($L$21:L347))</f>
        <v>0</v>
      </c>
      <c r="V347" s="59">
        <f>IF(D347=0,0,SUM($J$21:J347))</f>
        <v>0</v>
      </c>
      <c r="W347" s="66">
        <f t="shared" si="83"/>
        <v>0</v>
      </c>
      <c r="X347" s="67">
        <f t="shared" si="88"/>
        <v>0</v>
      </c>
      <c r="Y347" s="68">
        <f t="shared" si="89"/>
        <v>45984</v>
      </c>
      <c r="Z347" s="69">
        <f t="shared" si="89"/>
        <v>45984</v>
      </c>
      <c r="AA347" s="1"/>
      <c r="AB347" s="1"/>
      <c r="AC347" s="1"/>
      <c r="AD347" s="1"/>
      <c r="AE347" s="1"/>
      <c r="AF347" s="1"/>
      <c r="AG347" s="1"/>
    </row>
    <row r="348" spans="1:33" ht="20">
      <c r="A348" s="1"/>
      <c r="B348" s="11"/>
      <c r="C348" s="50">
        <v>328</v>
      </c>
      <c r="D348" s="51">
        <v>0</v>
      </c>
      <c r="E348" s="52">
        <f t="shared" si="84"/>
        <v>11</v>
      </c>
      <c r="F348" s="53">
        <f t="shared" si="85"/>
        <v>45985</v>
      </c>
      <c r="G348" s="54" t="str">
        <f t="shared" si="86"/>
        <v>Mon</v>
      </c>
      <c r="H348" s="55"/>
      <c r="I348" s="56"/>
      <c r="J348" s="82"/>
      <c r="K348" s="83"/>
      <c r="L348" s="59">
        <f t="shared" si="79"/>
        <v>0</v>
      </c>
      <c r="M348" s="60">
        <f t="shared" si="81"/>
        <v>0</v>
      </c>
      <c r="N348" s="61" t="str">
        <f t="shared" si="66"/>
        <v>¥0</v>
      </c>
      <c r="O348" s="81"/>
      <c r="P348" s="59">
        <f>IF(D348=0,0,SUM($L$325:L348))</f>
        <v>0</v>
      </c>
      <c r="Q348" s="59">
        <f>IF(D348=0,0,SUM($I$325:I348))</f>
        <v>0</v>
      </c>
      <c r="R348" s="63">
        <f t="shared" si="82"/>
        <v>0</v>
      </c>
      <c r="S348" s="64">
        <f t="shared" si="87"/>
        <v>0</v>
      </c>
      <c r="T348" s="78"/>
      <c r="U348" s="59">
        <f>IF(D348=0,0,SUM($L$21:L348))</f>
        <v>0</v>
      </c>
      <c r="V348" s="59">
        <f>IF(D348=0,0,SUM($J$21:J348))</f>
        <v>0</v>
      </c>
      <c r="W348" s="66">
        <f t="shared" si="83"/>
        <v>0</v>
      </c>
      <c r="X348" s="67">
        <f t="shared" si="88"/>
        <v>0</v>
      </c>
      <c r="Y348" s="68">
        <f t="shared" si="89"/>
        <v>45985</v>
      </c>
      <c r="Z348" s="69">
        <f t="shared" si="89"/>
        <v>45985</v>
      </c>
      <c r="AA348" s="1"/>
      <c r="AB348" s="1"/>
      <c r="AC348" s="1"/>
      <c r="AD348" s="1"/>
      <c r="AE348" s="1"/>
      <c r="AF348" s="1"/>
      <c r="AG348" s="1"/>
    </row>
    <row r="349" spans="1:33" ht="20">
      <c r="A349" s="1"/>
      <c r="B349" s="11"/>
      <c r="C349" s="50">
        <v>329</v>
      </c>
      <c r="D349" s="51">
        <v>1</v>
      </c>
      <c r="E349" s="52">
        <f t="shared" si="84"/>
        <v>11</v>
      </c>
      <c r="F349" s="53">
        <f t="shared" si="85"/>
        <v>45986</v>
      </c>
      <c r="G349" s="54" t="str">
        <f t="shared" si="86"/>
        <v>Tue</v>
      </c>
      <c r="H349" s="55"/>
      <c r="I349" s="56"/>
      <c r="J349" s="82"/>
      <c r="K349" s="83"/>
      <c r="L349" s="59">
        <f t="shared" si="79"/>
        <v>335664.3356643357</v>
      </c>
      <c r="M349" s="60">
        <f t="shared" si="81"/>
        <v>-335664.3356643357</v>
      </c>
      <c r="N349" s="61">
        <f t="shared" si="66"/>
        <v>0</v>
      </c>
      <c r="O349" s="80"/>
      <c r="P349" s="59">
        <f>IF(D349=0,0,SUM($L$325:L349))</f>
        <v>6377622.3776223781</v>
      </c>
      <c r="Q349" s="59">
        <f>IF(D349=0,0,SUM($I$325:I349))</f>
        <v>0</v>
      </c>
      <c r="R349" s="63">
        <f t="shared" si="82"/>
        <v>-6377622.3776223781</v>
      </c>
      <c r="S349" s="64">
        <f t="shared" si="87"/>
        <v>0</v>
      </c>
      <c r="T349" s="73"/>
      <c r="U349" s="59">
        <f>IF(D349=0,0,SUM($L$21:L349))</f>
        <v>70629370.629370317</v>
      </c>
      <c r="V349" s="59">
        <f>IF(D349=0,0,SUM($J$21:J349))</f>
        <v>31748860</v>
      </c>
      <c r="W349" s="66">
        <f t="shared" si="83"/>
        <v>-38880510.629370317</v>
      </c>
      <c r="X349" s="67">
        <f t="shared" si="88"/>
        <v>0.44951356237623963</v>
      </c>
      <c r="Y349" s="68">
        <f t="shared" si="89"/>
        <v>45986</v>
      </c>
      <c r="Z349" s="69">
        <f t="shared" si="89"/>
        <v>45986</v>
      </c>
      <c r="AA349" s="1"/>
      <c r="AB349" s="1"/>
      <c r="AC349" s="1"/>
      <c r="AD349" s="1"/>
      <c r="AE349" s="1"/>
      <c r="AF349" s="1"/>
      <c r="AG349" s="1"/>
    </row>
    <row r="350" spans="1:33" ht="20">
      <c r="A350" s="1"/>
      <c r="B350" s="11"/>
      <c r="C350" s="50">
        <v>330</v>
      </c>
      <c r="D350" s="51">
        <v>1</v>
      </c>
      <c r="E350" s="52">
        <f t="shared" si="84"/>
        <v>11</v>
      </c>
      <c r="F350" s="53">
        <f t="shared" si="85"/>
        <v>45987</v>
      </c>
      <c r="G350" s="54" t="str">
        <f t="shared" si="86"/>
        <v>Wed</v>
      </c>
      <c r="H350" s="55"/>
      <c r="I350" s="56"/>
      <c r="J350" s="82"/>
      <c r="K350" s="83"/>
      <c r="L350" s="59">
        <f t="shared" si="79"/>
        <v>335664.3356643357</v>
      </c>
      <c r="M350" s="60">
        <f t="shared" si="81"/>
        <v>-335664.3356643357</v>
      </c>
      <c r="N350" s="61">
        <f t="shared" si="66"/>
        <v>0</v>
      </c>
      <c r="O350" s="80"/>
      <c r="P350" s="59">
        <f>IF(D350=0,0,SUM($L$325:L350))</f>
        <v>6713286.7132867137</v>
      </c>
      <c r="Q350" s="59">
        <f>IF(D350=0,0,SUM($I$325:I350))</f>
        <v>0</v>
      </c>
      <c r="R350" s="63">
        <f t="shared" si="82"/>
        <v>-6713286.7132867137</v>
      </c>
      <c r="S350" s="64">
        <f t="shared" si="87"/>
        <v>0</v>
      </c>
      <c r="T350" s="73"/>
      <c r="U350" s="59">
        <f>IF(D350=0,0,SUM($L$21:L350))</f>
        <v>70965034.965034649</v>
      </c>
      <c r="V350" s="59">
        <f>IF(D350=0,0,SUM($J$21:J350))</f>
        <v>31748860</v>
      </c>
      <c r="W350" s="66">
        <f t="shared" si="83"/>
        <v>-39216174.965034649</v>
      </c>
      <c r="X350" s="67">
        <f t="shared" si="88"/>
        <v>0.44738736499803117</v>
      </c>
      <c r="Y350" s="68">
        <f t="shared" si="89"/>
        <v>45987</v>
      </c>
      <c r="Z350" s="69">
        <f t="shared" si="89"/>
        <v>45987</v>
      </c>
      <c r="AA350" s="1"/>
      <c r="AB350" s="1"/>
      <c r="AC350" s="1"/>
      <c r="AD350" s="1"/>
      <c r="AE350" s="1"/>
      <c r="AF350" s="1"/>
      <c r="AG350" s="1"/>
    </row>
    <row r="351" spans="1:33" ht="20">
      <c r="A351" s="1"/>
      <c r="B351" s="11"/>
      <c r="C351" s="50">
        <v>331</v>
      </c>
      <c r="D351" s="51">
        <v>1</v>
      </c>
      <c r="E351" s="52">
        <f t="shared" si="84"/>
        <v>11</v>
      </c>
      <c r="F351" s="53">
        <f t="shared" si="85"/>
        <v>45988</v>
      </c>
      <c r="G351" s="54" t="str">
        <f t="shared" si="86"/>
        <v>Thu</v>
      </c>
      <c r="H351" s="55"/>
      <c r="I351" s="56"/>
      <c r="J351" s="82"/>
      <c r="K351" s="83"/>
      <c r="L351" s="59">
        <f t="shared" si="79"/>
        <v>335664.3356643357</v>
      </c>
      <c r="M351" s="60">
        <f t="shared" si="81"/>
        <v>-335664.3356643357</v>
      </c>
      <c r="N351" s="61">
        <f t="shared" si="66"/>
        <v>0</v>
      </c>
      <c r="O351" s="80"/>
      <c r="P351" s="59">
        <f>IF(D351=0,0,SUM($L$325:L351))</f>
        <v>7048951.0489510493</v>
      </c>
      <c r="Q351" s="59">
        <f>IF(D351=0,0,SUM($I$325:I351))</f>
        <v>0</v>
      </c>
      <c r="R351" s="63">
        <f t="shared" si="82"/>
        <v>-7048951.0489510493</v>
      </c>
      <c r="S351" s="64">
        <f t="shared" si="87"/>
        <v>0</v>
      </c>
      <c r="T351" s="73"/>
      <c r="U351" s="59">
        <f>IF(D351=0,0,SUM($L$21:L351))</f>
        <v>71300699.300698981</v>
      </c>
      <c r="V351" s="59">
        <f>IF(D351=0,0,SUM($J$21:J351))</f>
        <v>31748860</v>
      </c>
      <c r="W351" s="66">
        <f t="shared" si="83"/>
        <v>-39551839.300698981</v>
      </c>
      <c r="X351" s="67">
        <f t="shared" si="88"/>
        <v>0.44528118673989997</v>
      </c>
      <c r="Y351" s="68">
        <f t="shared" si="89"/>
        <v>45988</v>
      </c>
      <c r="Z351" s="69">
        <f t="shared" si="89"/>
        <v>45988</v>
      </c>
      <c r="AA351" s="1"/>
      <c r="AB351" s="1"/>
      <c r="AC351" s="1"/>
      <c r="AD351" s="1"/>
      <c r="AE351" s="1"/>
      <c r="AF351" s="1"/>
      <c r="AG351" s="1"/>
    </row>
    <row r="352" spans="1:33" ht="20">
      <c r="A352" s="1"/>
      <c r="B352" s="11"/>
      <c r="C352" s="50">
        <v>332</v>
      </c>
      <c r="D352" s="51">
        <v>1</v>
      </c>
      <c r="E352" s="52">
        <f t="shared" si="84"/>
        <v>11</v>
      </c>
      <c r="F352" s="53">
        <f t="shared" si="85"/>
        <v>45989</v>
      </c>
      <c r="G352" s="54" t="str">
        <f t="shared" si="86"/>
        <v>Fri</v>
      </c>
      <c r="H352" s="55"/>
      <c r="I352" s="56"/>
      <c r="J352" s="82"/>
      <c r="K352" s="83"/>
      <c r="L352" s="59">
        <f t="shared" si="79"/>
        <v>335664.3356643357</v>
      </c>
      <c r="M352" s="60">
        <f t="shared" si="81"/>
        <v>-335664.3356643357</v>
      </c>
      <c r="N352" s="61">
        <f t="shared" si="66"/>
        <v>0</v>
      </c>
      <c r="O352" s="80"/>
      <c r="P352" s="59">
        <f>IF(D352=0,0,SUM($L$325:L352))</f>
        <v>7384615.384615385</v>
      </c>
      <c r="Q352" s="59">
        <f>IF(D352=0,0,SUM($I$325:I352))</f>
        <v>0</v>
      </c>
      <c r="R352" s="63">
        <f t="shared" si="82"/>
        <v>-7384615.384615385</v>
      </c>
      <c r="S352" s="64">
        <f t="shared" si="87"/>
        <v>0</v>
      </c>
      <c r="T352" s="73"/>
      <c r="U352" s="59">
        <f>IF(D352=0,0,SUM($L$21:L352))</f>
        <v>71636363.636363313</v>
      </c>
      <c r="V352" s="59">
        <f>IF(D352=0,0,SUM($J$21:J352))</f>
        <v>31748860</v>
      </c>
      <c r="W352" s="66">
        <f t="shared" si="83"/>
        <v>-39887503.636363313</v>
      </c>
      <c r="X352" s="67">
        <f t="shared" si="88"/>
        <v>0.44319474619289539</v>
      </c>
      <c r="Y352" s="68">
        <f t="shared" si="89"/>
        <v>45989</v>
      </c>
      <c r="Z352" s="69">
        <f t="shared" si="89"/>
        <v>45989</v>
      </c>
      <c r="AA352" s="1"/>
      <c r="AB352" s="1"/>
      <c r="AC352" s="1"/>
      <c r="AD352" s="1"/>
      <c r="AE352" s="1"/>
      <c r="AF352" s="1"/>
      <c r="AG352" s="1"/>
    </row>
    <row r="353" spans="1:33" ht="20">
      <c r="A353" s="1"/>
      <c r="B353" s="11"/>
      <c r="C353" s="50">
        <v>333</v>
      </c>
      <c r="D353" s="51">
        <v>1</v>
      </c>
      <c r="E353" s="52">
        <f t="shared" si="84"/>
        <v>11</v>
      </c>
      <c r="F353" s="53">
        <f t="shared" si="85"/>
        <v>45990</v>
      </c>
      <c r="G353" s="54" t="str">
        <f t="shared" si="86"/>
        <v>Sat</v>
      </c>
      <c r="H353" s="55"/>
      <c r="I353" s="56"/>
      <c r="J353" s="82"/>
      <c r="K353" s="83"/>
      <c r="L353" s="59">
        <f t="shared" si="79"/>
        <v>335664.3356643357</v>
      </c>
      <c r="M353" s="60">
        <f t="shared" si="81"/>
        <v>-335664.3356643357</v>
      </c>
      <c r="N353" s="61">
        <f t="shared" si="66"/>
        <v>0</v>
      </c>
      <c r="O353" s="80"/>
      <c r="P353" s="59">
        <f>IF(D353=0,0,SUM($L$325:L353))</f>
        <v>7720279.7202797206</v>
      </c>
      <c r="Q353" s="59">
        <f>IF(D353=0,0,SUM($I$325:I353))</f>
        <v>0</v>
      </c>
      <c r="R353" s="63">
        <f t="shared" si="82"/>
        <v>-7720279.7202797206</v>
      </c>
      <c r="S353" s="64">
        <f t="shared" si="87"/>
        <v>0</v>
      </c>
      <c r="T353" s="73"/>
      <c r="U353" s="59">
        <f>IF(D353=0,0,SUM($L$21:L353))</f>
        <v>71972027.972027645</v>
      </c>
      <c r="V353" s="59">
        <f>IF(D353=0,0,SUM($J$21:J353))</f>
        <v>31748860</v>
      </c>
      <c r="W353" s="66">
        <f t="shared" si="83"/>
        <v>-40223167.972027645</v>
      </c>
      <c r="X353" s="67">
        <f t="shared" si="88"/>
        <v>0.44112776719782554</v>
      </c>
      <c r="Y353" s="68">
        <f t="shared" si="89"/>
        <v>45990</v>
      </c>
      <c r="Z353" s="69">
        <f t="shared" si="89"/>
        <v>45990</v>
      </c>
      <c r="AA353" s="1"/>
      <c r="AB353" s="1"/>
      <c r="AC353" s="1"/>
      <c r="AD353" s="1"/>
      <c r="AE353" s="1"/>
      <c r="AF353" s="1"/>
      <c r="AG353" s="1"/>
    </row>
    <row r="354" spans="1:33" ht="21" thickBot="1">
      <c r="A354" s="1"/>
      <c r="B354" s="11"/>
      <c r="C354" s="100">
        <v>334</v>
      </c>
      <c r="D354" s="85">
        <v>0</v>
      </c>
      <c r="E354" s="501">
        <f t="shared" si="84"/>
        <v>11</v>
      </c>
      <c r="F354" s="101">
        <f t="shared" si="85"/>
        <v>45991</v>
      </c>
      <c r="G354" s="87" t="str">
        <f t="shared" si="86"/>
        <v>Sun</v>
      </c>
      <c r="H354" s="508"/>
      <c r="I354" s="502"/>
      <c r="J354" s="102"/>
      <c r="K354" s="503"/>
      <c r="L354" s="103">
        <f t="shared" si="79"/>
        <v>0</v>
      </c>
      <c r="M354" s="91">
        <f t="shared" si="81"/>
        <v>0</v>
      </c>
      <c r="N354" s="92" t="str">
        <f t="shared" si="66"/>
        <v>¥0</v>
      </c>
      <c r="O354" s="509"/>
      <c r="P354" s="93">
        <f>IF(D354=0,0,SUM($L$325:L354))</f>
        <v>0</v>
      </c>
      <c r="Q354" s="103">
        <f>IF(D354=0,0,SUM($I$325:I354))</f>
        <v>0</v>
      </c>
      <c r="R354" s="105">
        <f t="shared" si="82"/>
        <v>0</v>
      </c>
      <c r="S354" s="505">
        <f t="shared" si="87"/>
        <v>0</v>
      </c>
      <c r="T354" s="510"/>
      <c r="U354" s="94">
        <f>IF(D354=0,0,SUM($L$21:L354))</f>
        <v>0</v>
      </c>
      <c r="V354" s="94">
        <f>IF(D354=0,0,SUM($J$21:J354))</f>
        <v>0</v>
      </c>
      <c r="W354" s="95">
        <f t="shared" si="83"/>
        <v>0</v>
      </c>
      <c r="X354" s="507">
        <f t="shared" si="88"/>
        <v>0</v>
      </c>
      <c r="Y354" s="68">
        <f t="shared" si="89"/>
        <v>45991</v>
      </c>
      <c r="Z354" s="69">
        <f t="shared" si="89"/>
        <v>45991</v>
      </c>
      <c r="AA354" s="1"/>
      <c r="AB354" s="1"/>
      <c r="AC354" s="1"/>
      <c r="AD354" s="1"/>
      <c r="AE354" s="1"/>
      <c r="AF354" s="1"/>
      <c r="AG354" s="1"/>
    </row>
    <row r="355" spans="1:33" ht="21" thickTop="1">
      <c r="A355" s="1"/>
      <c r="B355" s="11"/>
      <c r="C355" s="50">
        <v>335</v>
      </c>
      <c r="D355" s="96">
        <v>1</v>
      </c>
      <c r="E355" s="52">
        <f t="shared" si="84"/>
        <v>12</v>
      </c>
      <c r="F355" s="53">
        <f t="shared" si="85"/>
        <v>45992</v>
      </c>
      <c r="G355" s="54" t="str">
        <f t="shared" si="86"/>
        <v>Mon</v>
      </c>
      <c r="H355" s="55"/>
      <c r="I355" s="56"/>
      <c r="J355" s="82"/>
      <c r="K355" s="83"/>
      <c r="L355" s="59">
        <f t="shared" ref="L355:L385" si="90">IF(D355=0,0,$K$18)</f>
        <v>335664.3356643357</v>
      </c>
      <c r="M355" s="63">
        <f t="shared" si="81"/>
        <v>-335664.3356643357</v>
      </c>
      <c r="N355" s="97">
        <f t="shared" si="66"/>
        <v>0</v>
      </c>
      <c r="O355" s="80"/>
      <c r="P355" s="59">
        <f>IF(D355=0,0,$L$355)</f>
        <v>335664.3356643357</v>
      </c>
      <c r="Q355" s="59">
        <f>IF(D355=0,0,$J$355)</f>
        <v>0</v>
      </c>
      <c r="R355" s="63">
        <f t="shared" si="82"/>
        <v>-335664.3356643357</v>
      </c>
      <c r="S355" s="499">
        <f t="shared" si="87"/>
        <v>0</v>
      </c>
      <c r="T355" s="73"/>
      <c r="U355" s="59">
        <f>IF(D355=0,0,SUM($L$21:L355))</f>
        <v>72307692.307691976</v>
      </c>
      <c r="V355" s="59">
        <f>IF(D355=0,0,SUM($J$21:J355))</f>
        <v>31748860</v>
      </c>
      <c r="W355" s="66">
        <f t="shared" si="83"/>
        <v>-40558832.307691976</v>
      </c>
      <c r="X355" s="500">
        <f t="shared" si="88"/>
        <v>0.43907997872340626</v>
      </c>
      <c r="Y355" s="68">
        <f t="shared" si="89"/>
        <v>45992</v>
      </c>
      <c r="Z355" s="69">
        <f t="shared" si="89"/>
        <v>45992</v>
      </c>
      <c r="AA355" s="1"/>
      <c r="AB355" s="1"/>
      <c r="AC355" s="1"/>
      <c r="AD355" s="1"/>
      <c r="AE355" s="1"/>
      <c r="AF355" s="1"/>
      <c r="AG355" s="1"/>
    </row>
    <row r="356" spans="1:33" ht="20">
      <c r="A356" s="1"/>
      <c r="B356" s="11"/>
      <c r="C356" s="50">
        <v>336</v>
      </c>
      <c r="D356" s="51">
        <v>1</v>
      </c>
      <c r="E356" s="52">
        <f t="shared" si="84"/>
        <v>12</v>
      </c>
      <c r="F356" s="53">
        <f t="shared" si="85"/>
        <v>45993</v>
      </c>
      <c r="G356" s="54" t="str">
        <f t="shared" si="86"/>
        <v>Tue</v>
      </c>
      <c r="H356" s="55"/>
      <c r="I356" s="56"/>
      <c r="J356" s="82"/>
      <c r="K356" s="83"/>
      <c r="L356" s="59">
        <f t="shared" si="90"/>
        <v>335664.3356643357</v>
      </c>
      <c r="M356" s="60">
        <f t="shared" si="81"/>
        <v>-335664.3356643357</v>
      </c>
      <c r="N356" s="61">
        <f t="shared" si="66"/>
        <v>0</v>
      </c>
      <c r="O356" s="80"/>
      <c r="P356" s="106">
        <f>IF(D356=0,0,SUM($L$355:L356))</f>
        <v>671328.67132867139</v>
      </c>
      <c r="Q356" s="59">
        <f>IF(D356=0,0,SUM($I$355:I356))</f>
        <v>0</v>
      </c>
      <c r="R356" s="63">
        <f t="shared" si="82"/>
        <v>-671328.67132867139</v>
      </c>
      <c r="S356" s="64">
        <f t="shared" si="87"/>
        <v>0</v>
      </c>
      <c r="T356" s="73"/>
      <c r="U356" s="59">
        <f>IF(D356=0,0,SUM($L$21:L356))</f>
        <v>72643356.643356308</v>
      </c>
      <c r="V356" s="59">
        <f>IF(D356=0,0,SUM($J$21:J356))</f>
        <v>31748860</v>
      </c>
      <c r="W356" s="66">
        <f t="shared" si="83"/>
        <v>-40894496.643356308</v>
      </c>
      <c r="X356" s="67">
        <f t="shared" si="88"/>
        <v>0.43705111474778791</v>
      </c>
      <c r="Y356" s="68">
        <f t="shared" si="89"/>
        <v>45993</v>
      </c>
      <c r="Z356" s="69">
        <f t="shared" si="89"/>
        <v>45993</v>
      </c>
      <c r="AA356" s="1"/>
      <c r="AB356" s="1"/>
      <c r="AC356" s="1"/>
      <c r="AD356" s="1"/>
      <c r="AE356" s="1"/>
      <c r="AF356" s="1"/>
      <c r="AG356" s="1"/>
    </row>
    <row r="357" spans="1:33" ht="20">
      <c r="A357" s="1"/>
      <c r="B357" s="11"/>
      <c r="C357" s="50">
        <v>337</v>
      </c>
      <c r="D357" s="51">
        <v>1</v>
      </c>
      <c r="E357" s="52">
        <f t="shared" si="84"/>
        <v>12</v>
      </c>
      <c r="F357" s="53">
        <f t="shared" si="85"/>
        <v>45994</v>
      </c>
      <c r="G357" s="54" t="str">
        <f t="shared" si="86"/>
        <v>Wed</v>
      </c>
      <c r="H357" s="55"/>
      <c r="I357" s="56"/>
      <c r="J357" s="82"/>
      <c r="K357" s="83"/>
      <c r="L357" s="59">
        <f t="shared" si="90"/>
        <v>335664.3356643357</v>
      </c>
      <c r="M357" s="60">
        <f t="shared" si="81"/>
        <v>-335664.3356643357</v>
      </c>
      <c r="N357" s="61">
        <f t="shared" si="66"/>
        <v>0</v>
      </c>
      <c r="O357" s="80"/>
      <c r="P357" s="107">
        <f>IF(D357=0,0,SUM($L$355:L357))</f>
        <v>1006993.0069930071</v>
      </c>
      <c r="Q357" s="59">
        <f>IF(D357=0,0,SUM($I$355:I357))</f>
        <v>0</v>
      </c>
      <c r="R357" s="63">
        <f t="shared" si="82"/>
        <v>-1006993.0069930071</v>
      </c>
      <c r="S357" s="64">
        <f t="shared" si="87"/>
        <v>0</v>
      </c>
      <c r="T357" s="73"/>
      <c r="U357" s="59">
        <f>IF(D357=0,0,SUM($L$21:L357))</f>
        <v>72979020.97902064</v>
      </c>
      <c r="V357" s="59">
        <f>IF(D357=0,0,SUM($J$21:J357))</f>
        <v>31748860</v>
      </c>
      <c r="W357" s="66">
        <f t="shared" si="83"/>
        <v>-41230160.97902064</v>
      </c>
      <c r="X357" s="67">
        <f t="shared" si="88"/>
        <v>0.43504091414335194</v>
      </c>
      <c r="Y357" s="68">
        <f t="shared" si="89"/>
        <v>45994</v>
      </c>
      <c r="Z357" s="69">
        <f t="shared" si="89"/>
        <v>45994</v>
      </c>
      <c r="AA357" s="1"/>
      <c r="AB357" s="1"/>
      <c r="AC357" s="1"/>
      <c r="AD357" s="1"/>
      <c r="AE357" s="1"/>
      <c r="AF357" s="1"/>
      <c r="AG357" s="1"/>
    </row>
    <row r="358" spans="1:33" ht="20">
      <c r="A358" s="1"/>
      <c r="B358" s="11"/>
      <c r="C358" s="50">
        <v>338</v>
      </c>
      <c r="D358" s="51">
        <v>1</v>
      </c>
      <c r="E358" s="52">
        <f t="shared" si="84"/>
        <v>12</v>
      </c>
      <c r="F358" s="53">
        <f t="shared" si="85"/>
        <v>45995</v>
      </c>
      <c r="G358" s="54" t="str">
        <f t="shared" si="86"/>
        <v>Thu</v>
      </c>
      <c r="H358" s="55"/>
      <c r="I358" s="56"/>
      <c r="J358" s="82"/>
      <c r="K358" s="83"/>
      <c r="L358" s="59">
        <f t="shared" si="90"/>
        <v>335664.3356643357</v>
      </c>
      <c r="M358" s="60">
        <f t="shared" si="81"/>
        <v>-335664.3356643357</v>
      </c>
      <c r="N358" s="61">
        <f t="shared" si="66"/>
        <v>0</v>
      </c>
      <c r="O358" s="80"/>
      <c r="P358" s="107">
        <f>IF(D358=0,0,SUM($L$355:L358))</f>
        <v>1342657.3426573428</v>
      </c>
      <c r="Q358" s="59">
        <f>IF(D358=0,0,SUM($I$355:I358))</f>
        <v>0</v>
      </c>
      <c r="R358" s="63">
        <f t="shared" si="82"/>
        <v>-1342657.3426573428</v>
      </c>
      <c r="S358" s="64">
        <f t="shared" si="87"/>
        <v>0</v>
      </c>
      <c r="T358" s="73"/>
      <c r="U358" s="59">
        <f>IF(D358=0,0,SUM($L$21:L358))</f>
        <v>73314685.314684972</v>
      </c>
      <c r="V358" s="59">
        <f>IF(D358=0,0,SUM($J$21:J358))</f>
        <v>31748860</v>
      </c>
      <c r="W358" s="66">
        <f t="shared" si="83"/>
        <v>-41565825.314684972</v>
      </c>
      <c r="X358" s="67">
        <f t="shared" si="88"/>
        <v>0.43304912056467199</v>
      </c>
      <c r="Y358" s="68">
        <f t="shared" si="89"/>
        <v>45995</v>
      </c>
      <c r="Z358" s="69">
        <f t="shared" si="89"/>
        <v>45995</v>
      </c>
      <c r="AA358" s="1"/>
      <c r="AB358" s="1"/>
      <c r="AC358" s="1"/>
      <c r="AD358" s="1"/>
      <c r="AE358" s="1"/>
      <c r="AF358" s="1"/>
      <c r="AG358" s="1"/>
    </row>
    <row r="359" spans="1:33" ht="20">
      <c r="A359" s="1"/>
      <c r="B359" s="11"/>
      <c r="C359" s="50">
        <v>339</v>
      </c>
      <c r="D359" s="51">
        <v>1</v>
      </c>
      <c r="E359" s="52">
        <f t="shared" si="84"/>
        <v>12</v>
      </c>
      <c r="F359" s="53">
        <f t="shared" si="85"/>
        <v>45996</v>
      </c>
      <c r="G359" s="54" t="str">
        <f t="shared" si="86"/>
        <v>Fri</v>
      </c>
      <c r="H359" s="55"/>
      <c r="I359" s="56"/>
      <c r="J359" s="82"/>
      <c r="K359" s="83"/>
      <c r="L359" s="59">
        <f t="shared" si="90"/>
        <v>335664.3356643357</v>
      </c>
      <c r="M359" s="60">
        <f t="shared" si="81"/>
        <v>-335664.3356643357</v>
      </c>
      <c r="N359" s="61">
        <f t="shared" si="66"/>
        <v>0</v>
      </c>
      <c r="O359" s="80"/>
      <c r="P359" s="107">
        <f>IF(D359=0,0,SUM($L$355:L359))</f>
        <v>1678321.6783216784</v>
      </c>
      <c r="Q359" s="59">
        <f>IF(D359=0,0,SUM($I$355:I359))</f>
        <v>0</v>
      </c>
      <c r="R359" s="63">
        <f t="shared" si="82"/>
        <v>-1678321.6783216784</v>
      </c>
      <c r="S359" s="64">
        <f t="shared" si="87"/>
        <v>0</v>
      </c>
      <c r="T359" s="73"/>
      <c r="U359" s="59">
        <f>IF(D359=0,0,SUM($L$21:L359))</f>
        <v>73650349.650349304</v>
      </c>
      <c r="V359" s="59">
        <f>IF(D359=0,0,SUM($J$21:J359))</f>
        <v>31748860</v>
      </c>
      <c r="W359" s="66">
        <f t="shared" si="83"/>
        <v>-41901489.650349304</v>
      </c>
      <c r="X359" s="67">
        <f t="shared" si="88"/>
        <v>0.43107548233953868</v>
      </c>
      <c r="Y359" s="68">
        <f t="shared" ref="Y359:Z374" si="91">Y358+1</f>
        <v>45996</v>
      </c>
      <c r="Z359" s="69">
        <f t="shared" si="91"/>
        <v>45996</v>
      </c>
      <c r="AA359" s="1"/>
      <c r="AB359" s="1"/>
      <c r="AC359" s="1"/>
      <c r="AD359" s="1"/>
      <c r="AE359" s="1"/>
      <c r="AF359" s="1"/>
      <c r="AG359" s="1"/>
    </row>
    <row r="360" spans="1:33" ht="20">
      <c r="A360" s="1"/>
      <c r="B360" s="11"/>
      <c r="C360" s="50">
        <v>340</v>
      </c>
      <c r="D360" s="51">
        <v>1</v>
      </c>
      <c r="E360" s="52">
        <f t="shared" si="84"/>
        <v>12</v>
      </c>
      <c r="F360" s="53">
        <f t="shared" si="85"/>
        <v>45997</v>
      </c>
      <c r="G360" s="54" t="str">
        <f t="shared" si="86"/>
        <v>Sat</v>
      </c>
      <c r="H360" s="55"/>
      <c r="I360" s="56"/>
      <c r="J360" s="82"/>
      <c r="K360" s="83"/>
      <c r="L360" s="59">
        <f t="shared" si="90"/>
        <v>335664.3356643357</v>
      </c>
      <c r="M360" s="60">
        <f t="shared" si="81"/>
        <v>-335664.3356643357</v>
      </c>
      <c r="N360" s="61">
        <f t="shared" si="66"/>
        <v>0</v>
      </c>
      <c r="O360" s="80"/>
      <c r="P360" s="107">
        <f>IF(D360=0,0,SUM($L$355:L360))</f>
        <v>2013986.0139860141</v>
      </c>
      <c r="Q360" s="59">
        <f>IF(D360=0,0,SUM($I$355:I360))</f>
        <v>0</v>
      </c>
      <c r="R360" s="63">
        <f t="shared" si="82"/>
        <v>-2013986.0139860141</v>
      </c>
      <c r="S360" s="64">
        <f t="shared" si="87"/>
        <v>0</v>
      </c>
      <c r="T360" s="73"/>
      <c r="U360" s="59">
        <f>IF(D360=0,0,SUM($L$21:L360))</f>
        <v>73986013.986013636</v>
      </c>
      <c r="V360" s="59">
        <f>IF(D360=0,0,SUM($J$21:J360))</f>
        <v>31748860</v>
      </c>
      <c r="W360" s="66">
        <f t="shared" si="83"/>
        <v>-42237153.986013636</v>
      </c>
      <c r="X360" s="67">
        <f t="shared" si="88"/>
        <v>0.42911975236295097</v>
      </c>
      <c r="Y360" s="68">
        <f t="shared" si="91"/>
        <v>45997</v>
      </c>
      <c r="Z360" s="69">
        <f t="shared" si="91"/>
        <v>45997</v>
      </c>
      <c r="AA360" s="1"/>
      <c r="AB360" s="1"/>
      <c r="AC360" s="1"/>
      <c r="AD360" s="1"/>
      <c r="AE360" s="1"/>
      <c r="AF360" s="1"/>
      <c r="AG360" s="1"/>
    </row>
    <row r="361" spans="1:33" ht="20">
      <c r="A361" s="1"/>
      <c r="B361" s="11"/>
      <c r="C361" s="50">
        <v>341</v>
      </c>
      <c r="D361" s="51">
        <v>0</v>
      </c>
      <c r="E361" s="52">
        <f t="shared" si="84"/>
        <v>12</v>
      </c>
      <c r="F361" s="53">
        <f t="shared" si="85"/>
        <v>45998</v>
      </c>
      <c r="G361" s="54" t="str">
        <f t="shared" si="86"/>
        <v>Sun</v>
      </c>
      <c r="H361" s="55"/>
      <c r="I361" s="56"/>
      <c r="J361" s="82"/>
      <c r="K361" s="83"/>
      <c r="L361" s="59">
        <f t="shared" si="90"/>
        <v>0</v>
      </c>
      <c r="M361" s="60">
        <f t="shared" si="81"/>
        <v>0</v>
      </c>
      <c r="N361" s="61" t="str">
        <f t="shared" si="66"/>
        <v>¥0</v>
      </c>
      <c r="O361" s="81"/>
      <c r="P361" s="107">
        <f>IF(D361=0,0,SUM($L$355:L361))</f>
        <v>0</v>
      </c>
      <c r="Q361" s="59">
        <f>IF(D361=0,0,SUM($I$355:I361))</f>
        <v>0</v>
      </c>
      <c r="R361" s="63">
        <f t="shared" si="82"/>
        <v>0</v>
      </c>
      <c r="S361" s="64">
        <f t="shared" si="87"/>
        <v>0</v>
      </c>
      <c r="T361" s="78"/>
      <c r="U361" s="59">
        <f>IF(D361=0,0,SUM($L$21:L361))</f>
        <v>0</v>
      </c>
      <c r="V361" s="59">
        <f>IF(D361=0,0,SUM($J$21:J361))</f>
        <v>0</v>
      </c>
      <c r="W361" s="66">
        <f t="shared" si="83"/>
        <v>0</v>
      </c>
      <c r="X361" s="67">
        <f t="shared" si="88"/>
        <v>0</v>
      </c>
      <c r="Y361" s="68">
        <f t="shared" si="91"/>
        <v>45998</v>
      </c>
      <c r="Z361" s="69">
        <f t="shared" si="91"/>
        <v>45998</v>
      </c>
      <c r="AA361" s="1"/>
      <c r="AB361" s="1"/>
      <c r="AC361" s="1"/>
      <c r="AD361" s="1"/>
      <c r="AE361" s="1"/>
      <c r="AF361" s="1"/>
      <c r="AG361" s="1"/>
    </row>
    <row r="362" spans="1:33" ht="20">
      <c r="A362" s="1"/>
      <c r="B362" s="11"/>
      <c r="C362" s="50">
        <v>342</v>
      </c>
      <c r="D362" s="51">
        <v>1</v>
      </c>
      <c r="E362" s="52">
        <f t="shared" si="84"/>
        <v>12</v>
      </c>
      <c r="F362" s="53">
        <f t="shared" si="85"/>
        <v>45999</v>
      </c>
      <c r="G362" s="54" t="str">
        <f t="shared" si="86"/>
        <v>Mon</v>
      </c>
      <c r="H362" s="55"/>
      <c r="I362" s="56"/>
      <c r="J362" s="82"/>
      <c r="K362" s="83"/>
      <c r="L362" s="59">
        <f t="shared" si="90"/>
        <v>335664.3356643357</v>
      </c>
      <c r="M362" s="60">
        <f t="shared" si="81"/>
        <v>-335664.3356643357</v>
      </c>
      <c r="N362" s="61">
        <f t="shared" si="66"/>
        <v>0</v>
      </c>
      <c r="O362" s="80"/>
      <c r="P362" s="107">
        <f>IF(D362=0,0,SUM($L$355:L362))</f>
        <v>2349650.3496503499</v>
      </c>
      <c r="Q362" s="59">
        <f>IF(D362=0,0,SUM($I$355:I362))</f>
        <v>0</v>
      </c>
      <c r="R362" s="63">
        <f t="shared" si="82"/>
        <v>-2349650.3496503499</v>
      </c>
      <c r="S362" s="64">
        <f t="shared" si="87"/>
        <v>0</v>
      </c>
      <c r="T362" s="73"/>
      <c r="U362" s="59">
        <f>IF(D362=0,0,SUM($L$21:L362))</f>
        <v>74321678.321677968</v>
      </c>
      <c r="V362" s="59">
        <f>IF(D362=0,0,SUM($J$21:J362))</f>
        <v>31748860</v>
      </c>
      <c r="W362" s="66">
        <f t="shared" si="83"/>
        <v>-42572818.321677968</v>
      </c>
      <c r="X362" s="67">
        <f t="shared" si="88"/>
        <v>0.42718168799398021</v>
      </c>
      <c r="Y362" s="68">
        <f t="shared" si="91"/>
        <v>45999</v>
      </c>
      <c r="Z362" s="69">
        <f t="shared" si="91"/>
        <v>45999</v>
      </c>
      <c r="AA362" s="1"/>
      <c r="AB362" s="1"/>
      <c r="AC362" s="1"/>
      <c r="AD362" s="1"/>
      <c r="AE362" s="1"/>
      <c r="AF362" s="1"/>
      <c r="AG362" s="1"/>
    </row>
    <row r="363" spans="1:33" ht="20">
      <c r="A363" s="1"/>
      <c r="B363" s="11"/>
      <c r="C363" s="50">
        <v>343</v>
      </c>
      <c r="D363" s="51">
        <v>1</v>
      </c>
      <c r="E363" s="52">
        <f t="shared" si="84"/>
        <v>12</v>
      </c>
      <c r="F363" s="53">
        <f t="shared" si="85"/>
        <v>46000</v>
      </c>
      <c r="G363" s="54" t="str">
        <f t="shared" si="86"/>
        <v>Tue</v>
      </c>
      <c r="H363" s="55"/>
      <c r="I363" s="56"/>
      <c r="J363" s="82"/>
      <c r="K363" s="83"/>
      <c r="L363" s="59">
        <f t="shared" si="90"/>
        <v>335664.3356643357</v>
      </c>
      <c r="M363" s="60">
        <f t="shared" si="81"/>
        <v>-335664.3356643357</v>
      </c>
      <c r="N363" s="61">
        <f t="shared" si="66"/>
        <v>0</v>
      </c>
      <c r="O363" s="80"/>
      <c r="P363" s="107">
        <f>IF(D363=0,0,SUM($L$355:L363))</f>
        <v>2685314.6853146856</v>
      </c>
      <c r="Q363" s="59">
        <f>IF(D363=0,0,SUM($I$355:I363))</f>
        <v>0</v>
      </c>
      <c r="R363" s="63">
        <f t="shared" si="82"/>
        <v>-2685314.6853146856</v>
      </c>
      <c r="S363" s="64">
        <f t="shared" si="87"/>
        <v>0</v>
      </c>
      <c r="T363" s="73"/>
      <c r="U363" s="59">
        <f>IF(D363=0,0,SUM($L$21:L363))</f>
        <v>74657342.6573423</v>
      </c>
      <c r="V363" s="59">
        <f>IF(D363=0,0,SUM($J$21:J363))</f>
        <v>31748860</v>
      </c>
      <c r="W363" s="66">
        <f t="shared" si="83"/>
        <v>-42908482.6573423</v>
      </c>
      <c r="X363" s="67">
        <f t="shared" si="88"/>
        <v>0.42526105095541605</v>
      </c>
      <c r="Y363" s="68">
        <f t="shared" si="91"/>
        <v>46000</v>
      </c>
      <c r="Z363" s="69">
        <f t="shared" si="91"/>
        <v>46000</v>
      </c>
      <c r="AA363" s="1"/>
      <c r="AB363" s="1"/>
      <c r="AC363" s="1"/>
      <c r="AD363" s="1"/>
      <c r="AE363" s="1"/>
      <c r="AF363" s="1"/>
      <c r="AG363" s="1"/>
    </row>
    <row r="364" spans="1:33" ht="20">
      <c r="A364" s="1"/>
      <c r="B364" s="11"/>
      <c r="C364" s="50">
        <v>344</v>
      </c>
      <c r="D364" s="51">
        <v>1</v>
      </c>
      <c r="E364" s="52">
        <f t="shared" si="84"/>
        <v>12</v>
      </c>
      <c r="F364" s="53">
        <f t="shared" si="85"/>
        <v>46001</v>
      </c>
      <c r="G364" s="54" t="str">
        <f t="shared" si="86"/>
        <v>Wed</v>
      </c>
      <c r="H364" s="55"/>
      <c r="I364" s="56"/>
      <c r="J364" s="82"/>
      <c r="K364" s="83"/>
      <c r="L364" s="59">
        <f t="shared" si="90"/>
        <v>335664.3356643357</v>
      </c>
      <c r="M364" s="60">
        <f t="shared" si="81"/>
        <v>-335664.3356643357</v>
      </c>
      <c r="N364" s="61">
        <f t="shared" si="66"/>
        <v>0</v>
      </c>
      <c r="O364" s="80"/>
      <c r="P364" s="107">
        <f>IF(D364=0,0,SUM($L$355:L364))</f>
        <v>3020979.0209790212</v>
      </c>
      <c r="Q364" s="59">
        <f>IF(D364=0,0,SUM($I$355:I364))</f>
        <v>0</v>
      </c>
      <c r="R364" s="63">
        <f t="shared" si="82"/>
        <v>-3020979.0209790212</v>
      </c>
      <c r="S364" s="64">
        <f t="shared" si="87"/>
        <v>0</v>
      </c>
      <c r="T364" s="73"/>
      <c r="U364" s="59">
        <f>IF(D364=0,0,SUM($L$21:L364))</f>
        <v>74993006.993006632</v>
      </c>
      <c r="V364" s="59">
        <f>IF(D364=0,0,SUM($J$21:J364))</f>
        <v>31748860</v>
      </c>
      <c r="W364" s="66">
        <f t="shared" si="83"/>
        <v>-43244146.993006632</v>
      </c>
      <c r="X364" s="67">
        <f t="shared" si="88"/>
        <v>0.42335760723610799</v>
      </c>
      <c r="Y364" s="68">
        <f t="shared" si="91"/>
        <v>46001</v>
      </c>
      <c r="Z364" s="69">
        <f t="shared" si="91"/>
        <v>46001</v>
      </c>
      <c r="AA364" s="1"/>
      <c r="AB364" s="1"/>
      <c r="AC364" s="1"/>
      <c r="AD364" s="1"/>
      <c r="AE364" s="1"/>
      <c r="AF364" s="1"/>
      <c r="AG364" s="1"/>
    </row>
    <row r="365" spans="1:33" ht="20">
      <c r="A365" s="1"/>
      <c r="B365" s="11"/>
      <c r="C365" s="50">
        <v>345</v>
      </c>
      <c r="D365" s="51">
        <v>1</v>
      </c>
      <c r="E365" s="52">
        <f t="shared" si="84"/>
        <v>12</v>
      </c>
      <c r="F365" s="53">
        <f t="shared" si="85"/>
        <v>46002</v>
      </c>
      <c r="G365" s="54" t="str">
        <f t="shared" si="86"/>
        <v>Thu</v>
      </c>
      <c r="H365" s="55"/>
      <c r="I365" s="56"/>
      <c r="J365" s="82"/>
      <c r="K365" s="83"/>
      <c r="L365" s="59">
        <f t="shared" si="90"/>
        <v>335664.3356643357</v>
      </c>
      <c r="M365" s="60">
        <f t="shared" si="81"/>
        <v>-335664.3356643357</v>
      </c>
      <c r="N365" s="61">
        <f t="shared" si="66"/>
        <v>0</v>
      </c>
      <c r="O365" s="80"/>
      <c r="P365" s="107">
        <f>IF(D365=0,0,SUM($L$355:L365))</f>
        <v>3356643.3566433568</v>
      </c>
      <c r="Q365" s="59">
        <f>IF(D365=0,0,SUM($I$355:I365))</f>
        <v>0</v>
      </c>
      <c r="R365" s="63">
        <f t="shared" si="82"/>
        <v>-3356643.3566433568</v>
      </c>
      <c r="S365" s="64">
        <f t="shared" si="87"/>
        <v>0</v>
      </c>
      <c r="T365" s="73"/>
      <c r="U365" s="59">
        <f>IF(D365=0,0,SUM($L$21:L365))</f>
        <v>75328671.328670964</v>
      </c>
      <c r="V365" s="59">
        <f>IF(D365=0,0,SUM($J$21:J365))</f>
        <v>31748860</v>
      </c>
      <c r="W365" s="66">
        <f t="shared" si="83"/>
        <v>-43579811.328670964</v>
      </c>
      <c r="X365" s="67">
        <f t="shared" si="88"/>
        <v>0.42147112699591738</v>
      </c>
      <c r="Y365" s="68">
        <f t="shared" si="91"/>
        <v>46002</v>
      </c>
      <c r="Z365" s="69">
        <f t="shared" si="91"/>
        <v>46002</v>
      </c>
      <c r="AA365" s="1"/>
      <c r="AB365" s="1"/>
      <c r="AC365" s="1"/>
      <c r="AD365" s="1"/>
      <c r="AE365" s="1"/>
      <c r="AF365" s="1"/>
      <c r="AG365" s="1"/>
    </row>
    <row r="366" spans="1:33" ht="20">
      <c r="A366" s="1"/>
      <c r="B366" s="11"/>
      <c r="C366" s="50">
        <v>346</v>
      </c>
      <c r="D366" s="51">
        <v>1</v>
      </c>
      <c r="E366" s="52">
        <f t="shared" si="84"/>
        <v>12</v>
      </c>
      <c r="F366" s="53">
        <f t="shared" si="85"/>
        <v>46003</v>
      </c>
      <c r="G366" s="54" t="str">
        <f t="shared" si="86"/>
        <v>Fri</v>
      </c>
      <c r="H366" s="55"/>
      <c r="I366" s="56"/>
      <c r="J366" s="82"/>
      <c r="K366" s="83"/>
      <c r="L366" s="59">
        <f t="shared" si="90"/>
        <v>335664.3356643357</v>
      </c>
      <c r="M366" s="60">
        <f t="shared" si="81"/>
        <v>-335664.3356643357</v>
      </c>
      <c r="N366" s="61">
        <f t="shared" si="66"/>
        <v>0</v>
      </c>
      <c r="O366" s="80"/>
      <c r="P366" s="107">
        <f>IF(D366=0,0,SUM($L$355:L366))</f>
        <v>3692307.6923076925</v>
      </c>
      <c r="Q366" s="59">
        <f>IF(D366=0,0,SUM($I$355:I366))</f>
        <v>0</v>
      </c>
      <c r="R366" s="63">
        <f t="shared" si="82"/>
        <v>-3692307.6923076925</v>
      </c>
      <c r="S366" s="64">
        <f t="shared" si="87"/>
        <v>0</v>
      </c>
      <c r="T366" s="73"/>
      <c r="U366" s="59">
        <f>IF(D366=0,0,SUM($L$21:L366))</f>
        <v>75664335.664335296</v>
      </c>
      <c r="V366" s="59">
        <f>IF(D366=0,0,SUM($J$21:J366))</f>
        <v>31748860</v>
      </c>
      <c r="W366" s="66">
        <f t="shared" si="83"/>
        <v>-43915475.664335296</v>
      </c>
      <c r="X366" s="67">
        <f t="shared" si="88"/>
        <v>0.41960138447319983</v>
      </c>
      <c r="Y366" s="68">
        <f t="shared" si="91"/>
        <v>46003</v>
      </c>
      <c r="Z366" s="69">
        <f t="shared" si="91"/>
        <v>46003</v>
      </c>
      <c r="AA366" s="1"/>
      <c r="AB366" s="1"/>
      <c r="AC366" s="1"/>
      <c r="AD366" s="1"/>
      <c r="AE366" s="1"/>
      <c r="AF366" s="1"/>
      <c r="AG366" s="1"/>
    </row>
    <row r="367" spans="1:33" ht="20">
      <c r="A367" s="1"/>
      <c r="B367" s="11"/>
      <c r="C367" s="50">
        <v>347</v>
      </c>
      <c r="D367" s="51">
        <v>1</v>
      </c>
      <c r="E367" s="52">
        <f t="shared" si="84"/>
        <v>12</v>
      </c>
      <c r="F367" s="53">
        <f t="shared" si="85"/>
        <v>46004</v>
      </c>
      <c r="G367" s="54" t="str">
        <f t="shared" si="86"/>
        <v>Sat</v>
      </c>
      <c r="H367" s="55"/>
      <c r="I367" s="56"/>
      <c r="J367" s="82"/>
      <c r="K367" s="83"/>
      <c r="L367" s="59">
        <f t="shared" si="90"/>
        <v>335664.3356643357</v>
      </c>
      <c r="M367" s="60">
        <f t="shared" si="81"/>
        <v>-335664.3356643357</v>
      </c>
      <c r="N367" s="61">
        <f t="shared" si="66"/>
        <v>0</v>
      </c>
      <c r="O367" s="80"/>
      <c r="P367" s="107">
        <f>IF(D367=0,0,SUM($L$355:L367))</f>
        <v>4027972.0279720281</v>
      </c>
      <c r="Q367" s="59">
        <f>IF(D367=0,0,SUM($I$355:I367))</f>
        <v>0</v>
      </c>
      <c r="R367" s="63">
        <f t="shared" si="82"/>
        <v>-4027972.0279720281</v>
      </c>
      <c r="S367" s="64">
        <f t="shared" si="87"/>
        <v>0</v>
      </c>
      <c r="T367" s="73"/>
      <c r="U367" s="59">
        <f>IF(D367=0,0,SUM($L$21:L367))</f>
        <v>75999999.999999627</v>
      </c>
      <c r="V367" s="59">
        <f>IF(D367=0,0,SUM($J$21:J367))</f>
        <v>31748860</v>
      </c>
      <c r="W367" s="66">
        <f t="shared" si="83"/>
        <v>-44251139.999999627</v>
      </c>
      <c r="X367" s="67">
        <f t="shared" si="88"/>
        <v>0.4177481578947389</v>
      </c>
      <c r="Y367" s="68">
        <f t="shared" si="91"/>
        <v>46004</v>
      </c>
      <c r="Z367" s="69">
        <f t="shared" si="91"/>
        <v>46004</v>
      </c>
      <c r="AA367" s="1"/>
      <c r="AB367" s="1"/>
      <c r="AC367" s="1"/>
      <c r="AD367" s="1"/>
      <c r="AE367" s="1"/>
      <c r="AF367" s="1"/>
      <c r="AG367" s="1"/>
    </row>
    <row r="368" spans="1:33" ht="20">
      <c r="A368" s="1"/>
      <c r="B368" s="11"/>
      <c r="C368" s="50">
        <v>348</v>
      </c>
      <c r="D368" s="51">
        <v>0</v>
      </c>
      <c r="E368" s="52">
        <f t="shared" si="84"/>
        <v>12</v>
      </c>
      <c r="F368" s="53">
        <f t="shared" si="85"/>
        <v>46005</v>
      </c>
      <c r="G368" s="54" t="str">
        <f t="shared" si="86"/>
        <v>Sun</v>
      </c>
      <c r="H368" s="55"/>
      <c r="I368" s="56"/>
      <c r="J368" s="82"/>
      <c r="K368" s="83"/>
      <c r="L368" s="59">
        <f t="shared" si="90"/>
        <v>0</v>
      </c>
      <c r="M368" s="60">
        <f t="shared" si="81"/>
        <v>0</v>
      </c>
      <c r="N368" s="61" t="str">
        <f t="shared" si="66"/>
        <v>¥0</v>
      </c>
      <c r="O368" s="81"/>
      <c r="P368" s="107">
        <f>IF(D368=0,0,SUM($L$355:L368))</f>
        <v>0</v>
      </c>
      <c r="Q368" s="59">
        <f>IF(D368=0,0,SUM($I$355:I368))</f>
        <v>0</v>
      </c>
      <c r="R368" s="63">
        <f t="shared" si="82"/>
        <v>0</v>
      </c>
      <c r="S368" s="64">
        <f t="shared" si="87"/>
        <v>0</v>
      </c>
      <c r="T368" s="78"/>
      <c r="U368" s="59">
        <f>IF(D368=0,0,SUM($L$21:L368))</f>
        <v>0</v>
      </c>
      <c r="V368" s="59">
        <f>IF(D368=0,0,SUM($J$21:J368))</f>
        <v>0</v>
      </c>
      <c r="W368" s="66">
        <f t="shared" si="83"/>
        <v>0</v>
      </c>
      <c r="X368" s="67">
        <f t="shared" si="88"/>
        <v>0</v>
      </c>
      <c r="Y368" s="68">
        <f t="shared" si="91"/>
        <v>46005</v>
      </c>
      <c r="Z368" s="69">
        <f t="shared" si="91"/>
        <v>46005</v>
      </c>
      <c r="AA368" s="1"/>
      <c r="AB368" s="1"/>
      <c r="AC368" s="1"/>
      <c r="AD368" s="1"/>
      <c r="AE368" s="1"/>
      <c r="AF368" s="1"/>
      <c r="AG368" s="1"/>
    </row>
    <row r="369" spans="1:33" ht="20">
      <c r="A369" s="1"/>
      <c r="B369" s="11"/>
      <c r="C369" s="50">
        <v>349</v>
      </c>
      <c r="D369" s="51">
        <v>1</v>
      </c>
      <c r="E369" s="52">
        <f t="shared" si="84"/>
        <v>12</v>
      </c>
      <c r="F369" s="53">
        <f t="shared" si="85"/>
        <v>46006</v>
      </c>
      <c r="G369" s="54" t="str">
        <f t="shared" si="86"/>
        <v>Mon</v>
      </c>
      <c r="H369" s="55"/>
      <c r="I369" s="56"/>
      <c r="J369" s="82"/>
      <c r="K369" s="83"/>
      <c r="L369" s="59">
        <f t="shared" si="90"/>
        <v>335664.3356643357</v>
      </c>
      <c r="M369" s="60">
        <f t="shared" si="81"/>
        <v>-335664.3356643357</v>
      </c>
      <c r="N369" s="61">
        <f t="shared" si="66"/>
        <v>0</v>
      </c>
      <c r="O369" s="80"/>
      <c r="P369" s="107">
        <f>IF(D369=0,0,SUM($L$355:L369))</f>
        <v>4363636.3636363642</v>
      </c>
      <c r="Q369" s="59">
        <f>IF(D369=0,0,SUM($I$355:I369))</f>
        <v>0</v>
      </c>
      <c r="R369" s="63">
        <f t="shared" si="82"/>
        <v>-4363636.3636363642</v>
      </c>
      <c r="S369" s="64">
        <f t="shared" si="87"/>
        <v>0</v>
      </c>
      <c r="T369" s="73"/>
      <c r="U369" s="59">
        <f>IF(D369=0,0,SUM($L$21:L369))</f>
        <v>76335664.335663959</v>
      </c>
      <c r="V369" s="59">
        <f>IF(D369=0,0,SUM($J$21:J369))</f>
        <v>31748860</v>
      </c>
      <c r="W369" s="66">
        <f t="shared" si="83"/>
        <v>-44586804.335663959</v>
      </c>
      <c r="X369" s="67">
        <f t="shared" si="88"/>
        <v>0.4159112293880563</v>
      </c>
      <c r="Y369" s="68">
        <f t="shared" si="91"/>
        <v>46006</v>
      </c>
      <c r="Z369" s="69">
        <f t="shared" si="91"/>
        <v>46006</v>
      </c>
      <c r="AA369" s="1"/>
      <c r="AB369" s="1"/>
      <c r="AC369" s="1"/>
      <c r="AD369" s="1"/>
      <c r="AE369" s="1"/>
      <c r="AF369" s="1"/>
      <c r="AG369" s="1"/>
    </row>
    <row r="370" spans="1:33" ht="20">
      <c r="A370" s="1"/>
      <c r="B370" s="11"/>
      <c r="C370" s="50">
        <v>350</v>
      </c>
      <c r="D370" s="51">
        <v>1</v>
      </c>
      <c r="E370" s="52">
        <f t="shared" si="84"/>
        <v>12</v>
      </c>
      <c r="F370" s="53">
        <f t="shared" si="85"/>
        <v>46007</v>
      </c>
      <c r="G370" s="54" t="str">
        <f t="shared" si="86"/>
        <v>Tue</v>
      </c>
      <c r="H370" s="55"/>
      <c r="I370" s="56"/>
      <c r="J370" s="82"/>
      <c r="K370" s="83"/>
      <c r="L370" s="59">
        <f t="shared" si="90"/>
        <v>335664.3356643357</v>
      </c>
      <c r="M370" s="60">
        <f t="shared" si="81"/>
        <v>-335664.3356643357</v>
      </c>
      <c r="N370" s="61">
        <f t="shared" si="66"/>
        <v>0</v>
      </c>
      <c r="O370" s="80"/>
      <c r="P370" s="107">
        <f>IF(D370=0,0,SUM($L$355:L370))</f>
        <v>4699300.6993006999</v>
      </c>
      <c r="Q370" s="59">
        <f>IF(D370=0,0,SUM($I$355:I370))</f>
        <v>0</v>
      </c>
      <c r="R370" s="63">
        <f t="shared" si="82"/>
        <v>-4699300.6993006999</v>
      </c>
      <c r="S370" s="64">
        <f t="shared" si="87"/>
        <v>0</v>
      </c>
      <c r="T370" s="73"/>
      <c r="U370" s="59">
        <f>IF(D370=0,0,SUM($L$21:L370))</f>
        <v>76671328.671328291</v>
      </c>
      <c r="V370" s="59">
        <f>IF(D370=0,0,SUM($J$21:J370))</f>
        <v>31748860</v>
      </c>
      <c r="W370" s="66">
        <f t="shared" si="83"/>
        <v>-44922468.671328291</v>
      </c>
      <c r="X370" s="67">
        <f t="shared" si="88"/>
        <v>0.4140903848960254</v>
      </c>
      <c r="Y370" s="68">
        <f t="shared" si="91"/>
        <v>46007</v>
      </c>
      <c r="Z370" s="69">
        <f t="shared" si="91"/>
        <v>46007</v>
      </c>
      <c r="AA370" s="1"/>
      <c r="AB370" s="1"/>
      <c r="AC370" s="1"/>
      <c r="AD370" s="1"/>
      <c r="AE370" s="1"/>
      <c r="AF370" s="1"/>
      <c r="AG370" s="1"/>
    </row>
    <row r="371" spans="1:33" ht="20">
      <c r="A371" s="1"/>
      <c r="B371" s="11"/>
      <c r="C371" s="50">
        <v>351</v>
      </c>
      <c r="D371" s="51">
        <v>1</v>
      </c>
      <c r="E371" s="52">
        <f t="shared" si="84"/>
        <v>12</v>
      </c>
      <c r="F371" s="53">
        <f t="shared" si="85"/>
        <v>46008</v>
      </c>
      <c r="G371" s="54" t="str">
        <f t="shared" si="86"/>
        <v>Wed</v>
      </c>
      <c r="H371" s="55"/>
      <c r="I371" s="56"/>
      <c r="J371" s="82"/>
      <c r="K371" s="83"/>
      <c r="L371" s="59">
        <f t="shared" si="90"/>
        <v>335664.3356643357</v>
      </c>
      <c r="M371" s="60">
        <f t="shared" si="81"/>
        <v>-335664.3356643357</v>
      </c>
      <c r="N371" s="61">
        <f t="shared" si="66"/>
        <v>0</v>
      </c>
      <c r="O371" s="80"/>
      <c r="P371" s="107">
        <f>IF(D371=0,0,SUM($L$355:L371))</f>
        <v>5034965.0349650355</v>
      </c>
      <c r="Q371" s="59">
        <f>IF(D371=0,0,SUM($I$355:I371))</f>
        <v>0</v>
      </c>
      <c r="R371" s="63">
        <f t="shared" si="82"/>
        <v>-5034965.0349650355</v>
      </c>
      <c r="S371" s="64">
        <f t="shared" si="87"/>
        <v>0</v>
      </c>
      <c r="T371" s="73"/>
      <c r="U371" s="59">
        <f>IF(D371=0,0,SUM($L$21:L371))</f>
        <v>77006993.006992623</v>
      </c>
      <c r="V371" s="59">
        <f>IF(D371=0,0,SUM($J$21:J371))</f>
        <v>31748860</v>
      </c>
      <c r="W371" s="66">
        <f t="shared" si="83"/>
        <v>-45258133.006992623</v>
      </c>
      <c r="X371" s="67">
        <f t="shared" si="88"/>
        <v>0.41228541409371799</v>
      </c>
      <c r="Y371" s="68">
        <f t="shared" si="91"/>
        <v>46008</v>
      </c>
      <c r="Z371" s="69">
        <f t="shared" si="91"/>
        <v>46008</v>
      </c>
      <c r="AA371" s="1"/>
      <c r="AB371" s="1"/>
      <c r="AC371" s="1"/>
      <c r="AD371" s="1"/>
      <c r="AE371" s="1"/>
      <c r="AF371" s="1"/>
      <c r="AG371" s="1"/>
    </row>
    <row r="372" spans="1:33" ht="20">
      <c r="A372" s="1"/>
      <c r="B372" s="11"/>
      <c r="C372" s="50">
        <v>352</v>
      </c>
      <c r="D372" s="51">
        <v>1</v>
      </c>
      <c r="E372" s="52">
        <f t="shared" si="84"/>
        <v>12</v>
      </c>
      <c r="F372" s="53">
        <f t="shared" si="85"/>
        <v>46009</v>
      </c>
      <c r="G372" s="54" t="str">
        <f t="shared" si="86"/>
        <v>Thu</v>
      </c>
      <c r="H372" s="55"/>
      <c r="I372" s="56"/>
      <c r="J372" s="82"/>
      <c r="K372" s="83"/>
      <c r="L372" s="59">
        <f t="shared" si="90"/>
        <v>335664.3356643357</v>
      </c>
      <c r="M372" s="60">
        <f t="shared" si="81"/>
        <v>-335664.3356643357</v>
      </c>
      <c r="N372" s="61">
        <f t="shared" si="66"/>
        <v>0</v>
      </c>
      <c r="O372" s="80"/>
      <c r="P372" s="107">
        <f>IF(D372=0,0,SUM($L$355:L372))</f>
        <v>5370629.3706293711</v>
      </c>
      <c r="Q372" s="59">
        <f>IF(D372=0,0,SUM($I$355:I372))</f>
        <v>0</v>
      </c>
      <c r="R372" s="63">
        <f t="shared" si="82"/>
        <v>-5370629.3706293711</v>
      </c>
      <c r="S372" s="64">
        <f t="shared" si="87"/>
        <v>0</v>
      </c>
      <c r="T372" s="73"/>
      <c r="U372" s="59">
        <f>IF(D372=0,0,SUM($L$21:L372))</f>
        <v>77342657.342656955</v>
      </c>
      <c r="V372" s="59">
        <f>IF(D372=0,0,SUM($J$21:J372))</f>
        <v>31748860</v>
      </c>
      <c r="W372" s="66">
        <f t="shared" si="83"/>
        <v>-45593797.342656955</v>
      </c>
      <c r="X372" s="67">
        <f t="shared" si="88"/>
        <v>0.41049611030741617</v>
      </c>
      <c r="Y372" s="68">
        <f t="shared" si="91"/>
        <v>46009</v>
      </c>
      <c r="Z372" s="69">
        <f t="shared" si="91"/>
        <v>46009</v>
      </c>
      <c r="AA372" s="1"/>
      <c r="AB372" s="1"/>
      <c r="AC372" s="1"/>
      <c r="AD372" s="1"/>
      <c r="AE372" s="1"/>
      <c r="AF372" s="1"/>
      <c r="AG372" s="1"/>
    </row>
    <row r="373" spans="1:33" ht="20">
      <c r="A373" s="1"/>
      <c r="B373" s="11"/>
      <c r="C373" s="50">
        <v>353</v>
      </c>
      <c r="D373" s="51">
        <v>1</v>
      </c>
      <c r="E373" s="52">
        <f t="shared" si="84"/>
        <v>12</v>
      </c>
      <c r="F373" s="53">
        <f t="shared" si="85"/>
        <v>46010</v>
      </c>
      <c r="G373" s="54" t="str">
        <f t="shared" si="86"/>
        <v>Fri</v>
      </c>
      <c r="H373" s="55"/>
      <c r="I373" s="56"/>
      <c r="J373" s="82"/>
      <c r="K373" s="83"/>
      <c r="L373" s="59">
        <f t="shared" si="90"/>
        <v>335664.3356643357</v>
      </c>
      <c r="M373" s="60">
        <f t="shared" si="81"/>
        <v>-335664.3356643357</v>
      </c>
      <c r="N373" s="61">
        <f t="shared" si="66"/>
        <v>0</v>
      </c>
      <c r="O373" s="80"/>
      <c r="P373" s="107">
        <f>IF(D373=0,0,SUM($L$355:L373))</f>
        <v>5706293.7062937068</v>
      </c>
      <c r="Q373" s="59">
        <f>IF(D373=0,0,SUM($I$355:I373))</f>
        <v>0</v>
      </c>
      <c r="R373" s="63">
        <f t="shared" si="82"/>
        <v>-5706293.7062937068</v>
      </c>
      <c r="S373" s="64">
        <f t="shared" si="87"/>
        <v>0</v>
      </c>
      <c r="T373" s="73"/>
      <c r="U373" s="59">
        <f>IF(D373=0,0,SUM($L$21:L373))</f>
        <v>77678321.678321287</v>
      </c>
      <c r="V373" s="59">
        <f>IF(D373=0,0,SUM($J$21:J373))</f>
        <v>31748860</v>
      </c>
      <c r="W373" s="66">
        <f t="shared" si="83"/>
        <v>-45929461.678321287</v>
      </c>
      <c r="X373" s="67">
        <f t="shared" si="88"/>
        <v>0.40872227043572407</v>
      </c>
      <c r="Y373" s="68">
        <f t="shared" si="91"/>
        <v>46010</v>
      </c>
      <c r="Z373" s="69">
        <f t="shared" si="91"/>
        <v>46010</v>
      </c>
      <c r="AA373" s="1"/>
      <c r="AB373" s="1"/>
      <c r="AC373" s="1"/>
      <c r="AD373" s="1"/>
      <c r="AE373" s="1"/>
      <c r="AF373" s="1"/>
      <c r="AG373" s="1"/>
    </row>
    <row r="374" spans="1:33" ht="20">
      <c r="A374" s="1"/>
      <c r="B374" s="11"/>
      <c r="C374" s="50">
        <v>354</v>
      </c>
      <c r="D374" s="51">
        <v>1</v>
      </c>
      <c r="E374" s="52">
        <f t="shared" si="84"/>
        <v>12</v>
      </c>
      <c r="F374" s="53">
        <f t="shared" si="85"/>
        <v>46011</v>
      </c>
      <c r="G374" s="54" t="str">
        <f t="shared" si="86"/>
        <v>Sat</v>
      </c>
      <c r="H374" s="55"/>
      <c r="I374" s="56"/>
      <c r="J374" s="82"/>
      <c r="K374" s="83"/>
      <c r="L374" s="59">
        <f t="shared" si="90"/>
        <v>335664.3356643357</v>
      </c>
      <c r="M374" s="60">
        <f t="shared" si="81"/>
        <v>-335664.3356643357</v>
      </c>
      <c r="N374" s="61">
        <f t="shared" si="66"/>
        <v>0</v>
      </c>
      <c r="O374" s="80"/>
      <c r="P374" s="107">
        <f>IF(D374=0,0,SUM($L$355:L374))</f>
        <v>6041958.0419580424</v>
      </c>
      <c r="Q374" s="59">
        <f>IF(D374=0,0,SUM($I$355:I374))</f>
        <v>0</v>
      </c>
      <c r="R374" s="63">
        <f t="shared" si="82"/>
        <v>-6041958.0419580424</v>
      </c>
      <c r="S374" s="64">
        <f t="shared" si="87"/>
        <v>0</v>
      </c>
      <c r="T374" s="73"/>
      <c r="U374" s="59">
        <f>IF(D374=0,0,SUM($L$21:L374))</f>
        <v>78013986.013985619</v>
      </c>
      <c r="V374" s="59">
        <f>IF(D374=0,0,SUM($J$21:J374))</f>
        <v>31748860</v>
      </c>
      <c r="W374" s="66">
        <f t="shared" si="83"/>
        <v>-46265126.013985619</v>
      </c>
      <c r="X374" s="67">
        <f t="shared" si="88"/>
        <v>0.40696369487271628</v>
      </c>
      <c r="Y374" s="68">
        <f t="shared" si="91"/>
        <v>46011</v>
      </c>
      <c r="Z374" s="69">
        <f t="shared" si="91"/>
        <v>46011</v>
      </c>
      <c r="AA374" s="1"/>
      <c r="AB374" s="1"/>
      <c r="AC374" s="1"/>
      <c r="AD374" s="1"/>
      <c r="AE374" s="1"/>
      <c r="AF374" s="1"/>
      <c r="AG374" s="1"/>
    </row>
    <row r="375" spans="1:33" ht="20">
      <c r="A375" s="1"/>
      <c r="B375" s="11"/>
      <c r="C375" s="50">
        <v>355</v>
      </c>
      <c r="D375" s="51">
        <v>0</v>
      </c>
      <c r="E375" s="52">
        <f t="shared" si="84"/>
        <v>12</v>
      </c>
      <c r="F375" s="53">
        <f t="shared" si="85"/>
        <v>46012</v>
      </c>
      <c r="G375" s="54" t="str">
        <f t="shared" si="86"/>
        <v>Sun</v>
      </c>
      <c r="H375" s="55"/>
      <c r="I375" s="56"/>
      <c r="J375" s="82"/>
      <c r="K375" s="83"/>
      <c r="L375" s="59">
        <f t="shared" si="90"/>
        <v>0</v>
      </c>
      <c r="M375" s="60">
        <f t="shared" si="81"/>
        <v>0</v>
      </c>
      <c r="N375" s="61" t="str">
        <f t="shared" si="66"/>
        <v>¥0</v>
      </c>
      <c r="O375" s="81"/>
      <c r="P375" s="107">
        <f>IF(D375=0,0,SUM($L$355:L375))</f>
        <v>0</v>
      </c>
      <c r="Q375" s="59">
        <f>IF(D375=0,0,SUM($I$355:I375))</f>
        <v>0</v>
      </c>
      <c r="R375" s="63">
        <f t="shared" si="82"/>
        <v>0</v>
      </c>
      <c r="S375" s="64">
        <f t="shared" si="87"/>
        <v>0</v>
      </c>
      <c r="T375" s="78"/>
      <c r="U375" s="59">
        <f>IF(D375=0,0,SUM($L$21:L375))</f>
        <v>0</v>
      </c>
      <c r="V375" s="59">
        <f>IF(D375=0,0,SUM($J$21:J375))</f>
        <v>0</v>
      </c>
      <c r="W375" s="66">
        <f t="shared" si="83"/>
        <v>0</v>
      </c>
      <c r="X375" s="67">
        <f t="shared" si="88"/>
        <v>0</v>
      </c>
      <c r="Y375" s="68">
        <f t="shared" ref="Y375:Z385" si="92">Y374+1</f>
        <v>46012</v>
      </c>
      <c r="Z375" s="69">
        <f t="shared" si="92"/>
        <v>46012</v>
      </c>
      <c r="AA375" s="1"/>
      <c r="AB375" s="1"/>
      <c r="AC375" s="1"/>
      <c r="AD375" s="1"/>
      <c r="AE375" s="1"/>
      <c r="AF375" s="1"/>
      <c r="AG375" s="1"/>
    </row>
    <row r="376" spans="1:33" ht="20">
      <c r="A376" s="1"/>
      <c r="B376" s="11"/>
      <c r="C376" s="50">
        <v>356</v>
      </c>
      <c r="D376" s="51">
        <v>1</v>
      </c>
      <c r="E376" s="52">
        <f t="shared" si="84"/>
        <v>12</v>
      </c>
      <c r="F376" s="53">
        <f t="shared" si="85"/>
        <v>46013</v>
      </c>
      <c r="G376" s="54" t="str">
        <f t="shared" si="86"/>
        <v>Mon</v>
      </c>
      <c r="H376" s="55"/>
      <c r="I376" s="56"/>
      <c r="J376" s="82"/>
      <c r="K376" s="83"/>
      <c r="L376" s="59">
        <f t="shared" si="90"/>
        <v>335664.3356643357</v>
      </c>
      <c r="M376" s="60">
        <f t="shared" si="81"/>
        <v>-335664.3356643357</v>
      </c>
      <c r="N376" s="61">
        <f t="shared" si="66"/>
        <v>0</v>
      </c>
      <c r="O376" s="80"/>
      <c r="P376" s="107">
        <f>IF(D376=0,0,SUM($L$355:L376))</f>
        <v>6377622.3776223781</v>
      </c>
      <c r="Q376" s="59">
        <f>IF(D376=0,0,SUM($I$355:I376))</f>
        <v>0</v>
      </c>
      <c r="R376" s="63">
        <f t="shared" si="82"/>
        <v>-6377622.3776223781</v>
      </c>
      <c r="S376" s="64">
        <f t="shared" si="87"/>
        <v>0</v>
      </c>
      <c r="T376" s="73"/>
      <c r="U376" s="59">
        <f>IF(D376=0,0,SUM($L$21:L376))</f>
        <v>78349650.349649951</v>
      </c>
      <c r="V376" s="59">
        <f>IF(D376=0,0,SUM($J$21:J376))</f>
        <v>31748860</v>
      </c>
      <c r="W376" s="66">
        <f t="shared" si="83"/>
        <v>-46600790.349649951</v>
      </c>
      <c r="X376" s="67">
        <f t="shared" si="88"/>
        <v>0.40522018743306171</v>
      </c>
      <c r="Y376" s="68">
        <f t="shared" si="92"/>
        <v>46013</v>
      </c>
      <c r="Z376" s="69">
        <f t="shared" si="92"/>
        <v>46013</v>
      </c>
      <c r="AA376" s="1"/>
      <c r="AB376" s="1"/>
      <c r="AC376" s="1"/>
      <c r="AD376" s="1"/>
      <c r="AE376" s="1"/>
      <c r="AF376" s="1"/>
      <c r="AG376" s="1"/>
    </row>
    <row r="377" spans="1:33" ht="20">
      <c r="A377" s="1"/>
      <c r="B377" s="11"/>
      <c r="C377" s="50">
        <v>357</v>
      </c>
      <c r="D377" s="51">
        <v>1</v>
      </c>
      <c r="E377" s="52">
        <f t="shared" si="84"/>
        <v>12</v>
      </c>
      <c r="F377" s="53">
        <f t="shared" si="85"/>
        <v>46014</v>
      </c>
      <c r="G377" s="54" t="str">
        <f t="shared" si="86"/>
        <v>Tue</v>
      </c>
      <c r="H377" s="55"/>
      <c r="I377" s="56"/>
      <c r="J377" s="82"/>
      <c r="K377" s="83"/>
      <c r="L377" s="59">
        <f t="shared" si="90"/>
        <v>335664.3356643357</v>
      </c>
      <c r="M377" s="60">
        <f t="shared" si="81"/>
        <v>-335664.3356643357</v>
      </c>
      <c r="N377" s="61">
        <f t="shared" si="66"/>
        <v>0</v>
      </c>
      <c r="O377" s="80"/>
      <c r="P377" s="107">
        <f>IF(D377=0,0,SUM($L$355:L377))</f>
        <v>6713286.7132867137</v>
      </c>
      <c r="Q377" s="59">
        <f>IF(D377=0,0,SUM($I$355:I377))</f>
        <v>0</v>
      </c>
      <c r="R377" s="63">
        <f t="shared" si="82"/>
        <v>-6713286.7132867137</v>
      </c>
      <c r="S377" s="64">
        <f t="shared" si="87"/>
        <v>0</v>
      </c>
      <c r="T377" s="73"/>
      <c r="U377" s="59">
        <f>IF(D377=0,0,SUM($L$21:L377))</f>
        <v>78685314.685314283</v>
      </c>
      <c r="V377" s="59">
        <f>IF(D377=0,0,SUM($J$21:J377))</f>
        <v>31748860</v>
      </c>
      <c r="W377" s="66">
        <f t="shared" si="83"/>
        <v>-46936454.685314283</v>
      </c>
      <c r="X377" s="67">
        <f t="shared" si="88"/>
        <v>0.40349155527906355</v>
      </c>
      <c r="Y377" s="68">
        <f t="shared" si="92"/>
        <v>46014</v>
      </c>
      <c r="Z377" s="69">
        <f t="shared" si="92"/>
        <v>46014</v>
      </c>
      <c r="AA377" s="1"/>
      <c r="AB377" s="1"/>
      <c r="AC377" s="1"/>
      <c r="AD377" s="1"/>
      <c r="AE377" s="1"/>
      <c r="AF377" s="1"/>
      <c r="AG377" s="1"/>
    </row>
    <row r="378" spans="1:33" ht="20">
      <c r="A378" s="1"/>
      <c r="B378" s="11"/>
      <c r="C378" s="50">
        <v>358</v>
      </c>
      <c r="D378" s="51">
        <v>1</v>
      </c>
      <c r="E378" s="52">
        <f t="shared" si="84"/>
        <v>12</v>
      </c>
      <c r="F378" s="53">
        <f t="shared" si="85"/>
        <v>46015</v>
      </c>
      <c r="G378" s="54" t="str">
        <f t="shared" si="86"/>
        <v>Wed</v>
      </c>
      <c r="H378" s="55"/>
      <c r="I378" s="56"/>
      <c r="J378" s="82"/>
      <c r="K378" s="83"/>
      <c r="L378" s="59">
        <f t="shared" si="90"/>
        <v>335664.3356643357</v>
      </c>
      <c r="M378" s="60">
        <f t="shared" si="81"/>
        <v>-335664.3356643357</v>
      </c>
      <c r="N378" s="61">
        <f t="shared" si="66"/>
        <v>0</v>
      </c>
      <c r="O378" s="80"/>
      <c r="P378" s="107">
        <f>IF(D378=0,0,SUM($L$355:L378))</f>
        <v>7048951.0489510493</v>
      </c>
      <c r="Q378" s="59">
        <f>IF(D378=0,0,SUM($I$355:I378))</f>
        <v>0</v>
      </c>
      <c r="R378" s="63">
        <f t="shared" si="82"/>
        <v>-7048951.0489510493</v>
      </c>
      <c r="S378" s="64">
        <f t="shared" si="87"/>
        <v>0</v>
      </c>
      <c r="T378" s="73"/>
      <c r="U378" s="59">
        <f>IF(D378=0,0,SUM($L$21:L378))</f>
        <v>79020979.020978615</v>
      </c>
      <c r="V378" s="59">
        <f>IF(D378=0,0,SUM($J$21:J378))</f>
        <v>31748860</v>
      </c>
      <c r="W378" s="66">
        <f t="shared" si="83"/>
        <v>-47272119.020978615</v>
      </c>
      <c r="X378" s="67">
        <f t="shared" si="88"/>
        <v>0.4017776088495596</v>
      </c>
      <c r="Y378" s="68">
        <f t="shared" si="92"/>
        <v>46015</v>
      </c>
      <c r="Z378" s="69">
        <f t="shared" si="92"/>
        <v>46015</v>
      </c>
      <c r="AA378" s="1"/>
      <c r="AB378" s="1"/>
      <c r="AC378" s="1"/>
      <c r="AD378" s="1"/>
      <c r="AE378" s="1"/>
      <c r="AF378" s="1"/>
      <c r="AG378" s="1"/>
    </row>
    <row r="379" spans="1:33" ht="20">
      <c r="A379" s="1"/>
      <c r="B379" s="11"/>
      <c r="C379" s="50">
        <v>359</v>
      </c>
      <c r="D379" s="51">
        <v>1</v>
      </c>
      <c r="E379" s="52">
        <f t="shared" si="84"/>
        <v>12</v>
      </c>
      <c r="F379" s="53">
        <f t="shared" si="85"/>
        <v>46016</v>
      </c>
      <c r="G379" s="54" t="str">
        <f t="shared" si="86"/>
        <v>Thu</v>
      </c>
      <c r="H379" s="55"/>
      <c r="I379" s="56"/>
      <c r="J379" s="82"/>
      <c r="K379" s="83"/>
      <c r="L379" s="59">
        <f t="shared" si="90"/>
        <v>335664.3356643357</v>
      </c>
      <c r="M379" s="60">
        <f t="shared" si="81"/>
        <v>-335664.3356643357</v>
      </c>
      <c r="N379" s="61">
        <f t="shared" si="66"/>
        <v>0</v>
      </c>
      <c r="O379" s="80"/>
      <c r="P379" s="107">
        <f>IF(D379=0,0,SUM($L$355:L379))</f>
        <v>7384615.384615385</v>
      </c>
      <c r="Q379" s="59">
        <f>IF(D379=0,0,SUM($I$355:I379))</f>
        <v>0</v>
      </c>
      <c r="R379" s="63">
        <f t="shared" si="82"/>
        <v>-7384615.384615385</v>
      </c>
      <c r="S379" s="64">
        <f t="shared" si="87"/>
        <v>0</v>
      </c>
      <c r="T379" s="73"/>
      <c r="U379" s="59">
        <f>IF(D379=0,0,SUM($L$21:L379))</f>
        <v>79356643.356642947</v>
      </c>
      <c r="V379" s="59">
        <f>IF(D379=0,0,SUM($J$21:J379))</f>
        <v>31748860</v>
      </c>
      <c r="W379" s="66">
        <f t="shared" si="83"/>
        <v>-47607783.356642947</v>
      </c>
      <c r="X379" s="67">
        <f t="shared" si="88"/>
        <v>0.40007816179062594</v>
      </c>
      <c r="Y379" s="68">
        <f t="shared" si="92"/>
        <v>46016</v>
      </c>
      <c r="Z379" s="69">
        <f t="shared" si="92"/>
        <v>46016</v>
      </c>
      <c r="AA379" s="1"/>
      <c r="AB379" s="1"/>
      <c r="AC379" s="1"/>
      <c r="AD379" s="1"/>
      <c r="AE379" s="1"/>
      <c r="AF379" s="1"/>
      <c r="AG379" s="1"/>
    </row>
    <row r="380" spans="1:33" ht="20">
      <c r="A380" s="1"/>
      <c r="B380" s="11"/>
      <c r="C380" s="50">
        <v>360</v>
      </c>
      <c r="D380" s="51">
        <v>1</v>
      </c>
      <c r="E380" s="52">
        <f t="shared" si="84"/>
        <v>12</v>
      </c>
      <c r="F380" s="53">
        <f t="shared" si="85"/>
        <v>46017</v>
      </c>
      <c r="G380" s="54" t="str">
        <f t="shared" si="86"/>
        <v>Fri</v>
      </c>
      <c r="H380" s="55"/>
      <c r="I380" s="56"/>
      <c r="J380" s="82"/>
      <c r="K380" s="83"/>
      <c r="L380" s="59">
        <f t="shared" si="90"/>
        <v>335664.3356643357</v>
      </c>
      <c r="M380" s="60">
        <f t="shared" si="81"/>
        <v>-335664.3356643357</v>
      </c>
      <c r="N380" s="61">
        <f t="shared" si="66"/>
        <v>0</v>
      </c>
      <c r="O380" s="80"/>
      <c r="P380" s="107">
        <f>IF(D380=0,0,SUM($L$355:L380))</f>
        <v>7720279.7202797206</v>
      </c>
      <c r="Q380" s="59">
        <f>IF(D380=0,0,SUM($I$355:I380))</f>
        <v>0</v>
      </c>
      <c r="R380" s="63">
        <f t="shared" si="82"/>
        <v>-7720279.7202797206</v>
      </c>
      <c r="S380" s="64">
        <f t="shared" si="87"/>
        <v>0</v>
      </c>
      <c r="T380" s="73"/>
      <c r="U380" s="59">
        <f>IF(D380=0,0,SUM($L$21:L380))</f>
        <v>79692307.692307279</v>
      </c>
      <c r="V380" s="59">
        <f>IF(D380=0,0,SUM($J$21:J380))</f>
        <v>31748860</v>
      </c>
      <c r="W380" s="66">
        <f t="shared" si="83"/>
        <v>-47943447.692307279</v>
      </c>
      <c r="X380" s="67">
        <f t="shared" si="88"/>
        <v>0.39839303088803296</v>
      </c>
      <c r="Y380" s="68">
        <f t="shared" si="92"/>
        <v>46017</v>
      </c>
      <c r="Z380" s="69">
        <f t="shared" si="92"/>
        <v>46017</v>
      </c>
      <c r="AA380" s="1"/>
      <c r="AB380" s="1"/>
      <c r="AC380" s="1"/>
      <c r="AD380" s="1"/>
      <c r="AE380" s="1"/>
      <c r="AF380" s="1"/>
      <c r="AG380" s="1"/>
    </row>
    <row r="381" spans="1:33" ht="20">
      <c r="A381" s="1"/>
      <c r="B381" s="11"/>
      <c r="C381" s="50">
        <v>361</v>
      </c>
      <c r="D381" s="51">
        <v>1</v>
      </c>
      <c r="E381" s="52">
        <f t="shared" si="84"/>
        <v>12</v>
      </c>
      <c r="F381" s="53">
        <f t="shared" si="85"/>
        <v>46018</v>
      </c>
      <c r="G381" s="54" t="str">
        <f t="shared" si="86"/>
        <v>Sat</v>
      </c>
      <c r="H381" s="55"/>
      <c r="I381" s="56"/>
      <c r="J381" s="82"/>
      <c r="K381" s="83"/>
      <c r="L381" s="59">
        <f t="shared" si="90"/>
        <v>335664.3356643357</v>
      </c>
      <c r="M381" s="60">
        <f t="shared" si="81"/>
        <v>-335664.3356643357</v>
      </c>
      <c r="N381" s="61">
        <f t="shared" si="66"/>
        <v>0</v>
      </c>
      <c r="O381" s="80"/>
      <c r="P381" s="107">
        <f>IF(D381=0,0,SUM($L$355:L381))</f>
        <v>8055944.0559440563</v>
      </c>
      <c r="Q381" s="59">
        <f>IF(D381=0,0,SUM($I$355:I381))</f>
        <v>0</v>
      </c>
      <c r="R381" s="63">
        <f t="shared" si="82"/>
        <v>-8055944.0559440563</v>
      </c>
      <c r="S381" s="64">
        <f t="shared" si="87"/>
        <v>0</v>
      </c>
      <c r="T381" s="73"/>
      <c r="U381" s="59">
        <f>IF(D381=0,0,SUM($L$21:L381))</f>
        <v>80027972.02797161</v>
      </c>
      <c r="V381" s="59">
        <f>IF(D381=0,0,SUM($J$21:J381))</f>
        <v>31748860</v>
      </c>
      <c r="W381" s="66">
        <f t="shared" si="83"/>
        <v>-48279112.02797161</v>
      </c>
      <c r="X381" s="67">
        <f t="shared" si="88"/>
        <v>0.39672203600140016</v>
      </c>
      <c r="Y381" s="68">
        <f t="shared" si="92"/>
        <v>46018</v>
      </c>
      <c r="Z381" s="69">
        <f t="shared" si="92"/>
        <v>46018</v>
      </c>
      <c r="AA381" s="1"/>
      <c r="AB381" s="1"/>
      <c r="AC381" s="1"/>
      <c r="AD381" s="1"/>
      <c r="AE381" s="1"/>
      <c r="AF381" s="1"/>
      <c r="AG381" s="1"/>
    </row>
    <row r="382" spans="1:33" ht="20">
      <c r="A382" s="1"/>
      <c r="B382" s="11"/>
      <c r="C382" s="50">
        <v>362</v>
      </c>
      <c r="D382" s="51">
        <v>0</v>
      </c>
      <c r="E382" s="52">
        <f t="shared" si="84"/>
        <v>12</v>
      </c>
      <c r="F382" s="53">
        <f t="shared" si="85"/>
        <v>46019</v>
      </c>
      <c r="G382" s="54" t="str">
        <f t="shared" si="86"/>
        <v>Sun</v>
      </c>
      <c r="H382" s="55"/>
      <c r="I382" s="56"/>
      <c r="J382" s="82"/>
      <c r="K382" s="83"/>
      <c r="L382" s="59">
        <f t="shared" si="90"/>
        <v>0</v>
      </c>
      <c r="M382" s="60">
        <f t="shared" si="81"/>
        <v>0</v>
      </c>
      <c r="N382" s="61" t="str">
        <f t="shared" si="66"/>
        <v>¥0</v>
      </c>
      <c r="O382" s="81"/>
      <c r="P382" s="107">
        <f>IF(D382=0,0,SUM($L$355:L382))</f>
        <v>0</v>
      </c>
      <c r="Q382" s="59">
        <f>IF(D382=0,0,SUM($I$355:I382))</f>
        <v>0</v>
      </c>
      <c r="R382" s="63">
        <f t="shared" si="82"/>
        <v>0</v>
      </c>
      <c r="S382" s="64">
        <f t="shared" si="87"/>
        <v>0</v>
      </c>
      <c r="T382" s="78"/>
      <c r="U382" s="59">
        <f>IF(D382=0,0,SUM($L$21:L382))</f>
        <v>0</v>
      </c>
      <c r="V382" s="59">
        <f>IF(D382=0,0,SUM($J$21:J382))</f>
        <v>0</v>
      </c>
      <c r="W382" s="66">
        <f t="shared" si="83"/>
        <v>0</v>
      </c>
      <c r="X382" s="67">
        <f t="shared" si="88"/>
        <v>0</v>
      </c>
      <c r="Y382" s="68">
        <f t="shared" si="92"/>
        <v>46019</v>
      </c>
      <c r="Z382" s="69">
        <f t="shared" si="92"/>
        <v>46019</v>
      </c>
      <c r="AA382" s="1"/>
      <c r="AB382" s="1"/>
      <c r="AC382" s="1"/>
      <c r="AD382" s="1"/>
      <c r="AE382" s="1"/>
      <c r="AF382" s="1"/>
      <c r="AG382" s="1"/>
    </row>
    <row r="383" spans="1:33" ht="20">
      <c r="A383" s="1"/>
      <c r="B383" s="11"/>
      <c r="C383" s="50">
        <v>363</v>
      </c>
      <c r="D383" s="51">
        <v>0</v>
      </c>
      <c r="E383" s="52">
        <f t="shared" si="84"/>
        <v>12</v>
      </c>
      <c r="F383" s="53">
        <f t="shared" si="85"/>
        <v>46020</v>
      </c>
      <c r="G383" s="54" t="str">
        <f t="shared" si="86"/>
        <v>Mon</v>
      </c>
      <c r="H383" s="55"/>
      <c r="I383" s="56"/>
      <c r="J383" s="82"/>
      <c r="K383" s="83"/>
      <c r="L383" s="59">
        <f t="shared" si="90"/>
        <v>0</v>
      </c>
      <c r="M383" s="60">
        <f t="shared" si="81"/>
        <v>0</v>
      </c>
      <c r="N383" s="61" t="str">
        <f t="shared" si="66"/>
        <v>¥0</v>
      </c>
      <c r="O383" s="80"/>
      <c r="P383" s="107">
        <f>IF(D383=0,0,SUM($L$355:L383))</f>
        <v>0</v>
      </c>
      <c r="Q383" s="59">
        <f>IF(D383=0,0,SUM($I$355:I383))</f>
        <v>0</v>
      </c>
      <c r="R383" s="63">
        <f t="shared" si="82"/>
        <v>0</v>
      </c>
      <c r="S383" s="64">
        <f t="shared" si="87"/>
        <v>0</v>
      </c>
      <c r="T383" s="73"/>
      <c r="U383" s="59">
        <f>IF(D383=0,0,SUM($L$21:L383))</f>
        <v>0</v>
      </c>
      <c r="V383" s="59">
        <f>IF(D383=0,0,SUM($J$21:J383))</f>
        <v>0</v>
      </c>
      <c r="W383" s="66">
        <f t="shared" si="83"/>
        <v>0</v>
      </c>
      <c r="X383" s="67">
        <f t="shared" si="88"/>
        <v>0</v>
      </c>
      <c r="Y383" s="68">
        <f t="shared" si="92"/>
        <v>46020</v>
      </c>
      <c r="Z383" s="69">
        <f t="shared" si="92"/>
        <v>46020</v>
      </c>
      <c r="AA383" s="1"/>
      <c r="AB383" s="1"/>
      <c r="AC383" s="1"/>
      <c r="AD383" s="1"/>
      <c r="AE383" s="1"/>
      <c r="AF383" s="1"/>
      <c r="AG383" s="1"/>
    </row>
    <row r="384" spans="1:33" ht="20">
      <c r="A384" s="1"/>
      <c r="B384" s="11"/>
      <c r="C384" s="50">
        <v>364</v>
      </c>
      <c r="D384" s="51">
        <v>0</v>
      </c>
      <c r="E384" s="52">
        <f t="shared" si="84"/>
        <v>12</v>
      </c>
      <c r="F384" s="53">
        <f t="shared" si="85"/>
        <v>46021</v>
      </c>
      <c r="G384" s="54" t="str">
        <f t="shared" si="86"/>
        <v>Tue</v>
      </c>
      <c r="H384" s="55"/>
      <c r="I384" s="56"/>
      <c r="J384" s="82"/>
      <c r="K384" s="83"/>
      <c r="L384" s="59">
        <f t="shared" si="90"/>
        <v>0</v>
      </c>
      <c r="M384" s="60">
        <f t="shared" si="81"/>
        <v>0</v>
      </c>
      <c r="N384" s="61" t="str">
        <f t="shared" si="66"/>
        <v>¥0</v>
      </c>
      <c r="O384" s="81"/>
      <c r="P384" s="107">
        <f>IF(D384=0,0,SUM($L$355:L384))</f>
        <v>0</v>
      </c>
      <c r="Q384" s="59">
        <f>IF(D384=0,0,SUM($I$355:I384))</f>
        <v>0</v>
      </c>
      <c r="R384" s="63">
        <f t="shared" si="82"/>
        <v>0</v>
      </c>
      <c r="S384" s="64">
        <f t="shared" si="87"/>
        <v>0</v>
      </c>
      <c r="T384" s="78"/>
      <c r="U384" s="59">
        <f>IF(D384=0,0,SUM($L$21:L384))</f>
        <v>0</v>
      </c>
      <c r="V384" s="59">
        <f>IF(D384=0,0,SUM($J$21:J384))</f>
        <v>0</v>
      </c>
      <c r="W384" s="66">
        <f t="shared" si="83"/>
        <v>0</v>
      </c>
      <c r="X384" s="67">
        <f t="shared" si="88"/>
        <v>0</v>
      </c>
      <c r="Y384" s="68">
        <f t="shared" si="92"/>
        <v>46021</v>
      </c>
      <c r="Z384" s="69">
        <f t="shared" si="92"/>
        <v>46021</v>
      </c>
      <c r="AA384" s="1"/>
      <c r="AB384" s="1"/>
      <c r="AC384" s="1"/>
      <c r="AD384" s="1"/>
      <c r="AE384" s="1"/>
      <c r="AF384" s="1"/>
      <c r="AG384" s="1"/>
    </row>
    <row r="385" spans="1:33" ht="21" thickBot="1">
      <c r="A385" s="1"/>
      <c r="B385" s="11"/>
      <c r="C385" s="84">
        <v>365</v>
      </c>
      <c r="D385" s="85">
        <v>0</v>
      </c>
      <c r="E385" s="501">
        <f t="shared" si="84"/>
        <v>12</v>
      </c>
      <c r="F385" s="86">
        <f t="shared" si="85"/>
        <v>46022</v>
      </c>
      <c r="G385" s="87" t="str">
        <f t="shared" si="86"/>
        <v>Wed</v>
      </c>
      <c r="H385" s="88" t="s">
        <v>60</v>
      </c>
      <c r="I385" s="502"/>
      <c r="J385" s="89"/>
      <c r="K385" s="503"/>
      <c r="L385" s="90">
        <f t="shared" si="90"/>
        <v>0</v>
      </c>
      <c r="M385" s="91">
        <f t="shared" si="81"/>
        <v>0</v>
      </c>
      <c r="N385" s="108" t="str">
        <f t="shared" si="66"/>
        <v>¥0</v>
      </c>
      <c r="O385" s="213"/>
      <c r="P385" s="109">
        <f>IF(D385=0,0,SUM($L$355:L385))</f>
        <v>0</v>
      </c>
      <c r="Q385" s="90">
        <f>IF(D385=0,0,SUM($I$355:I385))</f>
        <v>0</v>
      </c>
      <c r="R385" s="91">
        <f t="shared" si="82"/>
        <v>0</v>
      </c>
      <c r="S385" s="505">
        <f t="shared" si="87"/>
        <v>0</v>
      </c>
      <c r="T385" s="510"/>
      <c r="U385" s="94">
        <f>IF(D385=0,0,SUM($L$21:L385))</f>
        <v>0</v>
      </c>
      <c r="V385" s="94">
        <f>IF(D385=0,0,SUM($J$21:J385))</f>
        <v>0</v>
      </c>
      <c r="W385" s="95">
        <f t="shared" si="83"/>
        <v>0</v>
      </c>
      <c r="X385" s="507">
        <f t="shared" si="88"/>
        <v>0</v>
      </c>
      <c r="Y385" s="68">
        <f t="shared" si="92"/>
        <v>46022</v>
      </c>
      <c r="Z385" s="69">
        <f t="shared" si="92"/>
        <v>46022</v>
      </c>
      <c r="AA385" s="1"/>
      <c r="AB385" s="1"/>
      <c r="AC385" s="1"/>
      <c r="AD385" s="1"/>
      <c r="AE385" s="1"/>
      <c r="AF385" s="1"/>
      <c r="AG385" s="1"/>
    </row>
    <row r="386" spans="1:33" ht="18" thickTop="1">
      <c r="A386" s="1"/>
      <c r="B386" s="1"/>
      <c r="C386" s="1"/>
      <c r="D386" s="2"/>
      <c r="E386" s="1"/>
      <c r="F386" s="1"/>
      <c r="G386" s="1"/>
      <c r="H386" s="1"/>
      <c r="I386" s="3"/>
      <c r="J386" s="1"/>
      <c r="K386" s="1"/>
      <c r="L386" s="1"/>
      <c r="M386" s="1"/>
      <c r="N386" s="1"/>
      <c r="O386" s="1"/>
      <c r="P386" s="1"/>
      <c r="Q386" s="1"/>
      <c r="R386" s="1"/>
      <c r="S386" s="1"/>
      <c r="T386" s="1"/>
      <c r="U386" s="1"/>
      <c r="V386" s="1"/>
      <c r="W386" s="1"/>
      <c r="X386" s="1"/>
      <c r="Y386" s="1"/>
      <c r="Z386" s="1"/>
      <c r="AA386" s="1"/>
      <c r="AB386" s="1"/>
      <c r="AC386" s="1"/>
      <c r="AD386" s="1"/>
      <c r="AE386" s="1"/>
      <c r="AF386" s="1"/>
      <c r="AG386" s="1"/>
    </row>
  </sheetData>
  <sheetProtection selectLockedCells="1"/>
  <mergeCells count="49">
    <mergeCell ref="B2:D3"/>
    <mergeCell ref="E2:F2"/>
    <mergeCell ref="H2:J2"/>
    <mergeCell ref="K2:L2"/>
    <mergeCell ref="E3:F3"/>
    <mergeCell ref="I3:J3"/>
    <mergeCell ref="K3:L3"/>
    <mergeCell ref="B6:C6"/>
    <mergeCell ref="I6:J6"/>
    <mergeCell ref="K6:L6"/>
    <mergeCell ref="N6:O6"/>
    <mergeCell ref="B7:C7"/>
    <mergeCell ref="I7:J7"/>
    <mergeCell ref="K7:L7"/>
    <mergeCell ref="N7:O7"/>
    <mergeCell ref="B8:C8"/>
    <mergeCell ref="I8:J8"/>
    <mergeCell ref="K8:L8"/>
    <mergeCell ref="N8:O8"/>
    <mergeCell ref="I9:J9"/>
    <mergeCell ref="K9:L9"/>
    <mergeCell ref="N9:O9"/>
    <mergeCell ref="I10:J10"/>
    <mergeCell ref="K10:L10"/>
    <mergeCell ref="N10:O10"/>
    <mergeCell ref="I11:J11"/>
    <mergeCell ref="K11:L11"/>
    <mergeCell ref="N11:O11"/>
    <mergeCell ref="I12:J12"/>
    <mergeCell ref="K12:L12"/>
    <mergeCell ref="N12:O12"/>
    <mergeCell ref="I13:J13"/>
    <mergeCell ref="K13:L13"/>
    <mergeCell ref="N13:O13"/>
    <mergeCell ref="I14:J14"/>
    <mergeCell ref="K14:L14"/>
    <mergeCell ref="N14:O14"/>
    <mergeCell ref="I15:J15"/>
    <mergeCell ref="K15:L15"/>
    <mergeCell ref="N15:O15"/>
    <mergeCell ref="I18:J18"/>
    <mergeCell ref="K18:L18"/>
    <mergeCell ref="N18:O18"/>
    <mergeCell ref="I16:J16"/>
    <mergeCell ref="K16:L16"/>
    <mergeCell ref="N16:O16"/>
    <mergeCell ref="I17:J17"/>
    <mergeCell ref="K17:L17"/>
    <mergeCell ref="N17:O17"/>
  </mergeCells>
  <phoneticPr fontId="2"/>
  <conditionalFormatting sqref="D21:X385">
    <cfRule type="expression" dxfId="12" priority="2">
      <formula>$D21=0</formula>
    </cfRule>
  </conditionalFormatting>
  <conditionalFormatting sqref="E21:X385">
    <cfRule type="expression" dxfId="11" priority="3">
      <formula>WEEKDAY($G21)=1</formula>
    </cfRule>
    <cfRule type="expression" dxfId="10" priority="4">
      <formula>WEEKDAY($G21)=7</formula>
    </cfRule>
  </conditionalFormatting>
  <conditionalFormatting sqref="F21:X385">
    <cfRule type="expression" dxfId="9" priority="1">
      <formula>$F21=TODAY()</formula>
    </cfRule>
  </conditionalFormatting>
  <conditionalFormatting sqref="N7:P18">
    <cfRule type="cellIs" dxfId="8" priority="5" operator="lessThan">
      <formula>0</formula>
    </cfRule>
    <cfRule type="cellIs" dxfId="7" priority="6" operator="greaterThan">
      <formula>"¥0"</formula>
    </cfRule>
  </conditionalFormatting>
  <dataValidations count="1">
    <dataValidation type="list" allowBlank="1" showErrorMessage="1" sqref="B2:D3" xr:uid="{00000000-0002-0000-0300-000000000000}">
      <formula1>"2025/1/1,2026/1/1,2027/1/1,2029/1/1,2030/1/1,2031/1/1,2033/1/1,2034/1/1,2035/1/1,2037/1/1,2038/1/1,2039/1/1,2041/1/1,2042/1/1,2043/1/1,2045/1/1"</formula1>
    </dataValidation>
  </dataValidations>
  <hyperlinks>
    <hyperlink ref="P2" location="目標_2025R7!E21" display="1月" xr:uid="{00000000-0004-0000-0300-000000000000}"/>
    <hyperlink ref="Q2" location="目標_2025R7!E52" display="2月" xr:uid="{00000000-0004-0000-0300-000001000000}"/>
    <hyperlink ref="R2" location="目標_2025R7!E80" display="3月" xr:uid="{00000000-0004-0000-0300-000002000000}"/>
    <hyperlink ref="S2" location="目標_2025R7!E111" display="4月" xr:uid="{00000000-0004-0000-0300-000003000000}"/>
    <hyperlink ref="P3" location="目標_2025R7!E141" display="5月" xr:uid="{00000000-0004-0000-0300-000004000000}"/>
    <hyperlink ref="Q3" location="目標_2025R7!E172" display="6月" xr:uid="{00000000-0004-0000-0300-000005000000}"/>
    <hyperlink ref="R3" location="目標_2025R7!E202" display="7月" xr:uid="{00000000-0004-0000-0300-000006000000}"/>
    <hyperlink ref="S3" location="目標_2025R7!E233" display="8月" xr:uid="{00000000-0004-0000-0300-000007000000}"/>
    <hyperlink ref="P4" location="目標_2025R7!E264" display="9月" xr:uid="{00000000-0004-0000-0300-000008000000}"/>
    <hyperlink ref="Q4" location="目標_2025R7!E294" display="10月" xr:uid="{00000000-0004-0000-0300-000009000000}"/>
    <hyperlink ref="R4" location="目標_2025R7!E325" display="11月" xr:uid="{00000000-0004-0000-0300-00000A000000}"/>
    <hyperlink ref="S4" location="目標_2025R7!E355" display="12月" xr:uid="{00000000-0004-0000-0300-00000B000000}"/>
  </hyperlinks>
  <pageMargins left="0.70866141732283472" right="0.70866141732283472" top="0.74803149606299213" bottom="0.74803149606299213" header="0.31496062992125984" footer="0.31496062992125984"/>
  <pageSetup paperSize="9" scale="59" orientation="landscape" copies="3" r:id="rId1"/>
  <rowBreaks count="1" manualBreakCount="1">
    <brk id="19" max="19" man="1"/>
  </rowBreaks>
  <colBreaks count="2" manualBreakCount="2">
    <brk id="19" max="385" man="1"/>
    <brk id="20" max="1048575"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28"/>
  <sheetViews>
    <sheetView topLeftCell="A11" zoomScale="87" zoomScaleNormal="87" workbookViewId="0">
      <selection activeCell="E4" sqref="E4"/>
    </sheetView>
  </sheetViews>
  <sheetFormatPr baseColWidth="10" defaultColWidth="9.140625" defaultRowHeight="19"/>
  <cols>
    <col min="1" max="1" width="9.140625" style="259"/>
    <col min="2" max="2" width="16.85546875" style="259" customWidth="1"/>
    <col min="3" max="3" width="11.5703125" style="259" customWidth="1"/>
    <col min="4" max="4" width="12.85546875" style="259" customWidth="1"/>
    <col min="5" max="5" width="14.140625" style="259" customWidth="1"/>
    <col min="6" max="6" width="13.140625" style="259" customWidth="1"/>
    <col min="7" max="7" width="1.42578125" style="259" customWidth="1"/>
    <col min="8" max="8" width="11.140625" style="259" customWidth="1"/>
    <col min="9" max="9" width="16.42578125" style="259" customWidth="1"/>
    <col min="10" max="10" width="15" style="259" customWidth="1"/>
    <col min="11" max="11" width="1.42578125" style="259" customWidth="1"/>
    <col min="12" max="12" width="17.140625" style="259" customWidth="1"/>
    <col min="13" max="13" width="15" style="259" customWidth="1"/>
    <col min="14" max="14" width="1.42578125" style="259" customWidth="1"/>
    <col min="15" max="15" width="15.5703125" style="259" customWidth="1"/>
    <col min="16" max="16384" width="9.140625" style="259"/>
  </cols>
  <sheetData>
    <row r="1" spans="1:17" ht="23">
      <c r="B1" s="260" t="s">
        <v>181</v>
      </c>
      <c r="C1" s="261"/>
      <c r="L1" s="262" t="s">
        <v>182</v>
      </c>
    </row>
    <row r="2" spans="1:17" ht="23">
      <c r="B2" s="263">
        <v>80000000</v>
      </c>
      <c r="C2" s="261">
        <f>SUM(B4:B27)</f>
        <v>63508421.052631572</v>
      </c>
      <c r="L2" s="264">
        <v>71110161</v>
      </c>
    </row>
    <row r="3" spans="1:17" ht="23" customHeight="1">
      <c r="A3" s="265"/>
      <c r="B3" s="265" t="s">
        <v>183</v>
      </c>
      <c r="C3" s="265" t="s">
        <v>184</v>
      </c>
      <c r="D3" s="265" t="s">
        <v>185</v>
      </c>
      <c r="E3" s="265" t="s">
        <v>186</v>
      </c>
      <c r="F3" s="266" t="s">
        <v>187</v>
      </c>
      <c r="G3" s="267"/>
      <c r="H3" s="268" t="s">
        <v>188</v>
      </c>
      <c r="I3" s="269" t="s">
        <v>189</v>
      </c>
      <c r="J3" s="265" t="s">
        <v>190</v>
      </c>
      <c r="K3" s="267"/>
      <c r="L3" s="268" t="s">
        <v>191</v>
      </c>
      <c r="M3" s="266" t="s">
        <v>192</v>
      </c>
      <c r="N3" s="267"/>
      <c r="O3" s="268" t="s">
        <v>193</v>
      </c>
      <c r="Q3" s="270"/>
    </row>
    <row r="4" spans="1:17" ht="23" customHeight="1">
      <c r="A4" s="749">
        <v>45658</v>
      </c>
      <c r="B4" s="755">
        <f>目標_2025R7!I7</f>
        <v>5835789.4736842103</v>
      </c>
      <c r="C4" s="752">
        <f>目標_2025R7!F7</f>
        <v>22</v>
      </c>
      <c r="D4" s="271" t="s">
        <v>194</v>
      </c>
      <c r="E4" s="272">
        <f>バルカ18期!E12</f>
        <v>0.73432464122524721</v>
      </c>
      <c r="F4" s="273">
        <f>B4*E4</f>
        <v>4285364.0115292324</v>
      </c>
      <c r="G4" s="274"/>
      <c r="H4" s="275">
        <v>0.3</v>
      </c>
      <c r="I4" s="276">
        <f t="shared" ref="I4:I27" si="0">F4*H4</f>
        <v>1285609.2034587697</v>
      </c>
      <c r="J4" s="277">
        <f>I4/C4</f>
        <v>58436.781975398626</v>
      </c>
      <c r="K4" s="278"/>
      <c r="L4" s="279">
        <f>バルカ18期!D13</f>
        <v>1264422</v>
      </c>
      <c r="M4" s="273">
        <f>I4-L4</f>
        <v>21187.203458769713</v>
      </c>
      <c r="N4" s="274"/>
      <c r="O4" s="754">
        <f>(I4+I5)/B4</f>
        <v>0.2734324641225247</v>
      </c>
      <c r="Q4" s="270"/>
    </row>
    <row r="5" spans="1:17" ht="23" customHeight="1">
      <c r="A5" s="749"/>
      <c r="B5" s="755"/>
      <c r="C5" s="753"/>
      <c r="D5" s="280" t="s">
        <v>195</v>
      </c>
      <c r="E5" s="281">
        <f>バルカ18期!E14</f>
        <v>0.26567535877475273</v>
      </c>
      <c r="F5" s="282">
        <f>B4*E5</f>
        <v>1550425.462154978</v>
      </c>
      <c r="G5" s="274"/>
      <c r="H5" s="283">
        <v>0.2</v>
      </c>
      <c r="I5" s="284">
        <f t="shared" si="0"/>
        <v>310085.0924309956</v>
      </c>
      <c r="J5" s="285">
        <f>I5/C4</f>
        <v>14094.776928681618</v>
      </c>
      <c r="K5" s="278"/>
      <c r="L5" s="286">
        <f>バルカ18期!D15</f>
        <v>486956</v>
      </c>
      <c r="M5" s="282">
        <f t="shared" ref="M5:M27" si="1">I5-L5</f>
        <v>-176870.9075690044</v>
      </c>
      <c r="N5" s="274"/>
      <c r="O5" s="754"/>
      <c r="Q5" s="270"/>
    </row>
    <row r="6" spans="1:17" ht="23" customHeight="1">
      <c r="A6" s="749">
        <v>45689</v>
      </c>
      <c r="B6" s="750">
        <f>目標_2025R7!I8</f>
        <v>4863157.8947368423</v>
      </c>
      <c r="C6" s="752">
        <f>目標_2025R7!F8</f>
        <v>22</v>
      </c>
      <c r="D6" s="271" t="s">
        <v>194</v>
      </c>
      <c r="E6" s="272">
        <f>バルカ18期!G12</f>
        <v>0.73169419992282825</v>
      </c>
      <c r="F6" s="273">
        <f>B6*E6</f>
        <v>3558344.4248878597</v>
      </c>
      <c r="G6" s="274"/>
      <c r="H6" s="275">
        <v>0.3</v>
      </c>
      <c r="I6" s="276">
        <f t="shared" si="0"/>
        <v>1067503.327466358</v>
      </c>
      <c r="J6" s="277">
        <f>I6/C6</f>
        <v>48522.878521198087</v>
      </c>
      <c r="K6" s="278"/>
      <c r="L6" s="279">
        <f>バルカ18期!F13</f>
        <v>1416358</v>
      </c>
      <c r="M6" s="273">
        <f t="shared" si="1"/>
        <v>-348854.67253364203</v>
      </c>
      <c r="N6" s="274"/>
      <c r="O6" s="754">
        <f>(I6+I7)/B6</f>
        <v>0.27316941999228289</v>
      </c>
      <c r="Q6" s="270"/>
    </row>
    <row r="7" spans="1:17" ht="23" customHeight="1">
      <c r="A7" s="749"/>
      <c r="B7" s="751"/>
      <c r="C7" s="753"/>
      <c r="D7" s="280" t="s">
        <v>195</v>
      </c>
      <c r="E7" s="281">
        <f>バルカ18期!G14</f>
        <v>0.26830580007717175</v>
      </c>
      <c r="F7" s="282">
        <f>B6*E7</f>
        <v>1304813.4698489828</v>
      </c>
      <c r="G7" s="274"/>
      <c r="H7" s="283">
        <v>0.2</v>
      </c>
      <c r="I7" s="284">
        <f t="shared" si="0"/>
        <v>260962.69396979656</v>
      </c>
      <c r="J7" s="285">
        <f>I7/C6</f>
        <v>11861.940634990753</v>
      </c>
      <c r="K7" s="278"/>
      <c r="L7" s="286">
        <f>バルカ18期!F15</f>
        <v>361305</v>
      </c>
      <c r="M7" s="282">
        <f t="shared" si="1"/>
        <v>-100342.30603020344</v>
      </c>
      <c r="N7" s="274"/>
      <c r="O7" s="754"/>
      <c r="Q7" s="270"/>
    </row>
    <row r="8" spans="1:17" ht="23" customHeight="1">
      <c r="A8" s="749">
        <v>45717</v>
      </c>
      <c r="B8" s="750">
        <f>目標_2025R7!I9</f>
        <v>7184210.5263157887</v>
      </c>
      <c r="C8" s="752">
        <f>目標_2025R7!F9</f>
        <v>25</v>
      </c>
      <c r="D8" s="271" t="s">
        <v>194</v>
      </c>
      <c r="E8" s="272">
        <f>バルカ18期!I12</f>
        <v>0.75556980940260665</v>
      </c>
      <c r="F8" s="273">
        <f>B8*E8</f>
        <v>5428172.5780766206</v>
      </c>
      <c r="G8" s="274"/>
      <c r="H8" s="275">
        <v>0.3</v>
      </c>
      <c r="I8" s="276">
        <f t="shared" si="0"/>
        <v>1628451.773422986</v>
      </c>
      <c r="J8" s="277">
        <f>I8/C8</f>
        <v>65138.070936919445</v>
      </c>
      <c r="K8" s="278"/>
      <c r="L8" s="279">
        <f>バルカ18期!H13</f>
        <v>1742628</v>
      </c>
      <c r="M8" s="273">
        <f t="shared" si="1"/>
        <v>-114176.22657701396</v>
      </c>
      <c r="N8" s="274"/>
      <c r="O8" s="754">
        <f>(I8+I9)/B8</f>
        <v>0.2755569809402606</v>
      </c>
      <c r="Q8" s="270"/>
    </row>
    <row r="9" spans="1:17" ht="23" customHeight="1">
      <c r="A9" s="749"/>
      <c r="B9" s="751"/>
      <c r="C9" s="753"/>
      <c r="D9" s="280" t="s">
        <v>195</v>
      </c>
      <c r="E9" s="281">
        <f>バルカ18期!I14</f>
        <v>0.24443019059739338</v>
      </c>
      <c r="F9" s="282">
        <f>B8*E9</f>
        <v>1756037.9482391679</v>
      </c>
      <c r="G9" s="274"/>
      <c r="H9" s="283">
        <v>0.2</v>
      </c>
      <c r="I9" s="284">
        <f t="shared" si="0"/>
        <v>351207.58964783361</v>
      </c>
      <c r="J9" s="285">
        <f>I9/C8</f>
        <v>14048.303585913345</v>
      </c>
      <c r="K9" s="278"/>
      <c r="L9" s="286">
        <f>バルカ18期!H15</f>
        <v>394307</v>
      </c>
      <c r="M9" s="282">
        <f t="shared" si="1"/>
        <v>-43099.410352166393</v>
      </c>
      <c r="N9" s="274"/>
      <c r="O9" s="754"/>
      <c r="Q9" s="270"/>
    </row>
    <row r="10" spans="1:17" ht="23" customHeight="1">
      <c r="A10" s="749">
        <v>45748</v>
      </c>
      <c r="B10" s="750">
        <f>目標_2025R7!I10</f>
        <v>7184210.5263157887</v>
      </c>
      <c r="C10" s="752">
        <f>目標_2025R7!F10</f>
        <v>25</v>
      </c>
      <c r="D10" s="271" t="s">
        <v>194</v>
      </c>
      <c r="E10" s="272">
        <f>バルカ18期!K12</f>
        <v>0.74456123775715899</v>
      </c>
      <c r="F10" s="273">
        <f>B10*E10</f>
        <v>5349084.6817816943</v>
      </c>
      <c r="G10" s="274"/>
      <c r="H10" s="275">
        <v>0.3</v>
      </c>
      <c r="I10" s="276">
        <f t="shared" si="0"/>
        <v>1604725.4045345082</v>
      </c>
      <c r="J10" s="277">
        <f>I10/C10</f>
        <v>64189.016181380328</v>
      </c>
      <c r="K10" s="278"/>
      <c r="L10" s="279">
        <f>バルカ18期!J13</f>
        <v>1870295</v>
      </c>
      <c r="M10" s="273">
        <f t="shared" si="1"/>
        <v>-265569.59546549176</v>
      </c>
      <c r="N10" s="274"/>
      <c r="O10" s="754">
        <f>(I10+I11)/B10</f>
        <v>0.27445612377571588</v>
      </c>
      <c r="Q10" s="270"/>
    </row>
    <row r="11" spans="1:17" ht="23" customHeight="1">
      <c r="A11" s="749"/>
      <c r="B11" s="751"/>
      <c r="C11" s="753"/>
      <c r="D11" s="280" t="s">
        <v>195</v>
      </c>
      <c r="E11" s="281">
        <f>バルカ18期!K14</f>
        <v>0.25543876224284101</v>
      </c>
      <c r="F11" s="282">
        <f>B10*E11</f>
        <v>1835125.8445340944</v>
      </c>
      <c r="G11" s="274"/>
      <c r="H11" s="283">
        <v>0.2</v>
      </c>
      <c r="I11" s="284">
        <f t="shared" si="0"/>
        <v>367025.1689068189</v>
      </c>
      <c r="J11" s="285">
        <f>I11/C10</f>
        <v>14681.006756272756</v>
      </c>
      <c r="K11" s="278"/>
      <c r="L11" s="286">
        <f>バルカ18期!J15</f>
        <v>369635</v>
      </c>
      <c r="M11" s="282">
        <f t="shared" si="1"/>
        <v>-2609.8310931810993</v>
      </c>
      <c r="N11" s="274"/>
      <c r="O11" s="754"/>
      <c r="Q11" s="270"/>
    </row>
    <row r="12" spans="1:17" ht="23" customHeight="1">
      <c r="A12" s="749">
        <v>45778</v>
      </c>
      <c r="B12" s="750">
        <f>目標_2025R7!I11</f>
        <v>5835789.4736842103</v>
      </c>
      <c r="C12" s="752">
        <f>目標_2025R7!F11</f>
        <v>24</v>
      </c>
      <c r="D12" s="271" t="s">
        <v>194</v>
      </c>
      <c r="E12" s="272">
        <f>バルカ18期!M12</f>
        <v>0.75478871891529775</v>
      </c>
      <c r="F12" s="273">
        <f>B12*E12</f>
        <v>4404788.0607014848</v>
      </c>
      <c r="G12" s="274"/>
      <c r="H12" s="275">
        <v>0.3</v>
      </c>
      <c r="I12" s="276">
        <f t="shared" si="0"/>
        <v>1321436.4182104454</v>
      </c>
      <c r="J12" s="277">
        <f>I12/C12</f>
        <v>55059.85075876856</v>
      </c>
      <c r="K12" s="278"/>
      <c r="L12" s="279">
        <f>バルカ18期!L13</f>
        <v>1771753</v>
      </c>
      <c r="M12" s="273">
        <f t="shared" si="1"/>
        <v>-450316.58178955456</v>
      </c>
      <c r="N12" s="274"/>
      <c r="O12" s="754">
        <f>(I12+I13)/B12</f>
        <v>0.27547887189152975</v>
      </c>
      <c r="Q12" s="270"/>
    </row>
    <row r="13" spans="1:17" ht="23" customHeight="1">
      <c r="A13" s="749"/>
      <c r="B13" s="751"/>
      <c r="C13" s="753"/>
      <c r="D13" s="280" t="s">
        <v>195</v>
      </c>
      <c r="E13" s="281">
        <f>バルカ18期!M14</f>
        <v>0.24521128108470222</v>
      </c>
      <c r="F13" s="282">
        <f>B12*E13</f>
        <v>1431001.4129827253</v>
      </c>
      <c r="G13" s="274"/>
      <c r="H13" s="283">
        <v>0.2</v>
      </c>
      <c r="I13" s="284">
        <f t="shared" si="0"/>
        <v>286200.28259654506</v>
      </c>
      <c r="J13" s="285">
        <f>I13/C12</f>
        <v>11925.011774856044</v>
      </c>
      <c r="K13" s="278"/>
      <c r="L13" s="286">
        <f>バルカ18期!L15</f>
        <v>336516</v>
      </c>
      <c r="M13" s="282">
        <f t="shared" si="1"/>
        <v>-50315.717403454939</v>
      </c>
      <c r="N13" s="274"/>
      <c r="O13" s="754"/>
      <c r="Q13" s="270"/>
    </row>
    <row r="14" spans="1:17" ht="23" customHeight="1">
      <c r="A14" s="749">
        <v>45809</v>
      </c>
      <c r="B14" s="750">
        <f>目標_2025R7!I12</f>
        <v>6078947.3684210526</v>
      </c>
      <c r="C14" s="752">
        <f>目標_2025R7!F12</f>
        <v>25</v>
      </c>
      <c r="D14" s="271" t="s">
        <v>194</v>
      </c>
      <c r="E14" s="272">
        <f>バルカ18期!O12</f>
        <v>0.75608290523785748</v>
      </c>
      <c r="F14" s="273">
        <f>B14*E14</f>
        <v>4596188.1871038182</v>
      </c>
      <c r="G14" s="274"/>
      <c r="H14" s="275">
        <v>0.3</v>
      </c>
      <c r="I14" s="276">
        <f t="shared" si="0"/>
        <v>1378856.4561311454</v>
      </c>
      <c r="J14" s="277">
        <f>I14/C14</f>
        <v>55154.258245245815</v>
      </c>
      <c r="K14" s="278"/>
      <c r="L14" s="279">
        <f>バルカ18期!N13</f>
        <v>2345230</v>
      </c>
      <c r="M14" s="273">
        <f t="shared" si="1"/>
        <v>-966373.54386885464</v>
      </c>
      <c r="N14" s="274"/>
      <c r="O14" s="754">
        <f>(I14+I15)/B14</f>
        <v>0.27560829052378577</v>
      </c>
      <c r="Q14" s="270"/>
    </row>
    <row r="15" spans="1:17" ht="23" customHeight="1">
      <c r="A15" s="749"/>
      <c r="B15" s="751"/>
      <c r="C15" s="753"/>
      <c r="D15" s="280" t="s">
        <v>195</v>
      </c>
      <c r="E15" s="281">
        <f>バルカ18期!O14</f>
        <v>0.24391709476214254</v>
      </c>
      <c r="F15" s="282">
        <f>B14*E15</f>
        <v>1482759.1813172349</v>
      </c>
      <c r="G15" s="274"/>
      <c r="H15" s="283">
        <v>0.2</v>
      </c>
      <c r="I15" s="284">
        <f t="shared" si="0"/>
        <v>296551.83626344701</v>
      </c>
      <c r="J15" s="285">
        <f>I15/C14</f>
        <v>11862.07345053788</v>
      </c>
      <c r="K15" s="278"/>
      <c r="L15" s="286">
        <f>バルカ18期!N15</f>
        <v>328916</v>
      </c>
      <c r="M15" s="282">
        <f t="shared" si="1"/>
        <v>-32364.16373655299</v>
      </c>
      <c r="N15" s="274"/>
      <c r="O15" s="754"/>
    </row>
    <row r="16" spans="1:17" ht="23" customHeight="1">
      <c r="A16" s="749">
        <v>45839</v>
      </c>
      <c r="B16" s="750">
        <f>目標_2025R7!I13</f>
        <v>5172631.5789473681</v>
      </c>
      <c r="C16" s="752">
        <f>目標_2025R7!F13</f>
        <v>26</v>
      </c>
      <c r="D16" s="271" t="s">
        <v>194</v>
      </c>
      <c r="E16" s="272">
        <f>バルカ18期!Q12</f>
        <v>0.77721653096316645</v>
      </c>
      <c r="F16" s="273">
        <f>B16*E16</f>
        <v>4020254.7717399998</v>
      </c>
      <c r="G16" s="274"/>
      <c r="H16" s="275">
        <v>0.3</v>
      </c>
      <c r="I16" s="276">
        <f t="shared" si="0"/>
        <v>1206076.4315219999</v>
      </c>
      <c r="J16" s="277">
        <f>I16/C16</f>
        <v>46387.555058538455</v>
      </c>
      <c r="K16" s="278"/>
      <c r="L16" s="279">
        <f>バルカ18期!P13</f>
        <v>1682168</v>
      </c>
      <c r="M16" s="273">
        <f>I16-L16</f>
        <v>-476091.56847800012</v>
      </c>
      <c r="N16" s="274"/>
      <c r="O16" s="754">
        <f>(I16+I17)/B16</f>
        <v>0.27772165309631663</v>
      </c>
    </row>
    <row r="17" spans="1:15" ht="23" customHeight="1">
      <c r="A17" s="749"/>
      <c r="B17" s="751"/>
      <c r="C17" s="753"/>
      <c r="D17" s="280" t="s">
        <v>195</v>
      </c>
      <c r="E17" s="281">
        <f>バルカ18期!Q14</f>
        <v>0.22278346903683352</v>
      </c>
      <c r="F17" s="282">
        <f>B16*E17</f>
        <v>1152376.8072073683</v>
      </c>
      <c r="G17" s="274"/>
      <c r="H17" s="283">
        <v>0.2</v>
      </c>
      <c r="I17" s="284">
        <f t="shared" si="0"/>
        <v>230475.36144147368</v>
      </c>
      <c r="J17" s="285">
        <f>I17/C16</f>
        <v>8864.4369785182189</v>
      </c>
      <c r="K17" s="278"/>
      <c r="L17" s="286">
        <f>バルカ18期!P15</f>
        <v>441503</v>
      </c>
      <c r="M17" s="282">
        <f t="shared" si="1"/>
        <v>-211027.63855852632</v>
      </c>
      <c r="N17" s="274"/>
      <c r="O17" s="754"/>
    </row>
    <row r="18" spans="1:15" ht="23" customHeight="1">
      <c r="A18" s="749">
        <v>45870</v>
      </c>
      <c r="B18" s="750">
        <f>目標_2025R7!I14</f>
        <v>2210526.3157894737</v>
      </c>
      <c r="C18" s="752">
        <f>目標_2025R7!F14</f>
        <v>20</v>
      </c>
      <c r="D18" s="271" t="s">
        <v>194</v>
      </c>
      <c r="E18" s="272">
        <f>バルカ18期!S12</f>
        <v>0.76478999787677404</v>
      </c>
      <c r="F18" s="273">
        <f>B18*E18</f>
        <v>1690588.4163591848</v>
      </c>
      <c r="G18" s="274"/>
      <c r="H18" s="275">
        <v>0.3</v>
      </c>
      <c r="I18" s="276">
        <f t="shared" si="0"/>
        <v>507176.52490775543</v>
      </c>
      <c r="J18" s="277">
        <f>I18/C18</f>
        <v>25358.826245387772</v>
      </c>
      <c r="K18" s="278"/>
      <c r="L18" s="279">
        <f>バルカ18期!R13</f>
        <v>1300325</v>
      </c>
      <c r="M18" s="273">
        <f t="shared" si="1"/>
        <v>-793148.47509224457</v>
      </c>
      <c r="N18" s="274"/>
      <c r="O18" s="754">
        <f>(I18+I19)/B18</f>
        <v>0.27647899978767743</v>
      </c>
    </row>
    <row r="19" spans="1:15" ht="23" customHeight="1">
      <c r="A19" s="749"/>
      <c r="B19" s="751"/>
      <c r="C19" s="753"/>
      <c r="D19" s="280" t="s">
        <v>195</v>
      </c>
      <c r="E19" s="281">
        <f>バルカ18期!S14</f>
        <v>0.23521000212322601</v>
      </c>
      <c r="F19" s="282">
        <f>B18*E19</f>
        <v>519937.89943028911</v>
      </c>
      <c r="G19" s="274"/>
      <c r="H19" s="283">
        <v>0.2</v>
      </c>
      <c r="I19" s="284">
        <f t="shared" si="0"/>
        <v>103987.57988605782</v>
      </c>
      <c r="J19" s="285">
        <f>I19/C18</f>
        <v>5199.3789943028914</v>
      </c>
      <c r="K19" s="278"/>
      <c r="L19" s="286">
        <f>バルカ18期!R15</f>
        <v>225741</v>
      </c>
      <c r="M19" s="282">
        <f t="shared" si="1"/>
        <v>-121753.42011394218</v>
      </c>
      <c r="N19" s="274"/>
      <c r="O19" s="754"/>
    </row>
    <row r="20" spans="1:15" ht="23" customHeight="1">
      <c r="A20" s="749">
        <v>45901</v>
      </c>
      <c r="B20" s="750">
        <f>目標_2025R7!I15</f>
        <v>3050526.3157894737</v>
      </c>
      <c r="C20" s="752">
        <f>目標_2025R7!F15</f>
        <v>23</v>
      </c>
      <c r="D20" s="271" t="s">
        <v>194</v>
      </c>
      <c r="E20" s="272">
        <f>バルカ18期!U12</f>
        <v>0.76676359313004894</v>
      </c>
      <c r="F20" s="273">
        <f>B20*E20</f>
        <v>2339032.5188325071</v>
      </c>
      <c r="G20" s="274"/>
      <c r="H20" s="275">
        <v>0.3</v>
      </c>
      <c r="I20" s="276">
        <f t="shared" si="0"/>
        <v>701709.7556497521</v>
      </c>
      <c r="J20" s="277">
        <f>I20/C20</f>
        <v>30509.119810858789</v>
      </c>
      <c r="K20" s="278"/>
      <c r="L20" s="279">
        <f>バルカ18期!T13</f>
        <v>1712780</v>
      </c>
      <c r="M20" s="273">
        <f t="shared" si="1"/>
        <v>-1011070.2443502479</v>
      </c>
      <c r="N20" s="274"/>
      <c r="O20" s="754">
        <f>(I20+I21)/B20</f>
        <v>0.27667635931300488</v>
      </c>
    </row>
    <row r="21" spans="1:15" ht="23" customHeight="1">
      <c r="A21" s="749"/>
      <c r="B21" s="751"/>
      <c r="C21" s="753"/>
      <c r="D21" s="280" t="s">
        <v>195</v>
      </c>
      <c r="E21" s="281">
        <f>バルカ18期!U14</f>
        <v>0.23323640686995112</v>
      </c>
      <c r="F21" s="282">
        <f>B20*E21</f>
        <v>711493.79695696663</v>
      </c>
      <c r="G21" s="274"/>
      <c r="H21" s="283">
        <v>0.2</v>
      </c>
      <c r="I21" s="284">
        <f t="shared" si="0"/>
        <v>142298.75939139334</v>
      </c>
      <c r="J21" s="285">
        <f>I21/C20</f>
        <v>6186.9025822344929</v>
      </c>
      <c r="K21" s="278"/>
      <c r="L21" s="286">
        <f>バルカ18期!T15</f>
        <v>358096</v>
      </c>
      <c r="M21" s="282">
        <f t="shared" si="1"/>
        <v>-215797.24060860666</v>
      </c>
      <c r="N21" s="274"/>
      <c r="O21" s="754"/>
    </row>
    <row r="22" spans="1:15" ht="23" customHeight="1">
      <c r="A22" s="749">
        <v>45931</v>
      </c>
      <c r="B22" s="750">
        <f>目標_2025R7!I16</f>
        <v>5172631.5789473681</v>
      </c>
      <c r="C22" s="752">
        <f>目標_2025R7!F16</f>
        <v>26</v>
      </c>
      <c r="D22" s="271" t="s">
        <v>194</v>
      </c>
      <c r="E22" s="272">
        <f>バルカ18期!W12</f>
        <v>0.76291190939478326</v>
      </c>
      <c r="F22" s="273">
        <f>B22*E22</f>
        <v>3946262.2344904891</v>
      </c>
      <c r="G22" s="274"/>
      <c r="H22" s="275">
        <v>0.3</v>
      </c>
      <c r="I22" s="276">
        <f t="shared" si="0"/>
        <v>1183878.6703471467</v>
      </c>
      <c r="J22" s="277">
        <f>I22/C22</f>
        <v>45533.795013351795</v>
      </c>
      <c r="K22" s="278"/>
      <c r="L22" s="279">
        <f>バルカ18期!V13</f>
        <v>1877653</v>
      </c>
      <c r="M22" s="273">
        <f t="shared" si="1"/>
        <v>-693774.32965285331</v>
      </c>
      <c r="N22" s="274"/>
      <c r="O22" s="754">
        <f>(I22+I23)/B22</f>
        <v>0.27629119093947835</v>
      </c>
    </row>
    <row r="23" spans="1:15" ht="23" customHeight="1">
      <c r="A23" s="749"/>
      <c r="B23" s="751"/>
      <c r="C23" s="753"/>
      <c r="D23" s="280" t="s">
        <v>195</v>
      </c>
      <c r="E23" s="281">
        <f>バルカ18期!W14</f>
        <v>0.23708809060521679</v>
      </c>
      <c r="F23" s="282">
        <f>B22*E23</f>
        <v>1226369.3444568792</v>
      </c>
      <c r="G23" s="274"/>
      <c r="H23" s="283">
        <v>0.2</v>
      </c>
      <c r="I23" s="284">
        <f t="shared" si="0"/>
        <v>245273.86889137584</v>
      </c>
      <c r="J23" s="285">
        <f>I23/C22</f>
        <v>9433.6103419759929</v>
      </c>
      <c r="K23" s="278"/>
      <c r="L23" s="286">
        <f>バルカ18期!V15</f>
        <v>424058</v>
      </c>
      <c r="M23" s="282">
        <f t="shared" si="1"/>
        <v>-178784.13110862416</v>
      </c>
      <c r="N23" s="274"/>
      <c r="O23" s="754"/>
    </row>
    <row r="24" spans="1:15" ht="23" customHeight="1">
      <c r="A24" s="749">
        <v>45962</v>
      </c>
      <c r="B24" s="750">
        <f>目標_2025R7!I17</f>
        <v>5084210.5263157897</v>
      </c>
      <c r="C24" s="752">
        <f>目標_2025R7!F17</f>
        <v>23</v>
      </c>
      <c r="D24" s="271" t="s">
        <v>194</v>
      </c>
      <c r="E24" s="272">
        <f>バルカ18期!Y12</f>
        <v>0.75359570691164324</v>
      </c>
      <c r="F24" s="273">
        <f>B24*E24</f>
        <v>3831439.2256665654</v>
      </c>
      <c r="G24" s="274"/>
      <c r="H24" s="275">
        <v>0.3</v>
      </c>
      <c r="I24" s="276">
        <f t="shared" si="0"/>
        <v>1149431.7676999695</v>
      </c>
      <c r="J24" s="277">
        <f>I24/C24</f>
        <v>49975.294247824757</v>
      </c>
      <c r="K24" s="278"/>
      <c r="L24" s="279">
        <f>バルカ18期!X13</f>
        <v>1365920</v>
      </c>
      <c r="M24" s="273">
        <f t="shared" si="1"/>
        <v>-216488.23230003053</v>
      </c>
      <c r="N24" s="274"/>
      <c r="O24" s="754">
        <f>(I24+I25)/B24</f>
        <v>0.27535957069116435</v>
      </c>
    </row>
    <row r="25" spans="1:15" ht="23" customHeight="1">
      <c r="A25" s="749"/>
      <c r="B25" s="751"/>
      <c r="C25" s="753"/>
      <c r="D25" s="280" t="s">
        <v>195</v>
      </c>
      <c r="E25" s="281">
        <f>バルカ18期!Y14</f>
        <v>0.24640429308835679</v>
      </c>
      <c r="F25" s="282">
        <f>B24*E25</f>
        <v>1252771.3006492245</v>
      </c>
      <c r="G25" s="274"/>
      <c r="H25" s="283">
        <v>0.2</v>
      </c>
      <c r="I25" s="284">
        <f t="shared" si="0"/>
        <v>250554.26012984492</v>
      </c>
      <c r="J25" s="285">
        <f>I25/C24</f>
        <v>10893.663483906301</v>
      </c>
      <c r="K25" s="278"/>
      <c r="L25" s="286">
        <f>バルカ18期!X15</f>
        <v>379401</v>
      </c>
      <c r="M25" s="282">
        <f t="shared" si="1"/>
        <v>-128846.73987015508</v>
      </c>
      <c r="N25" s="274"/>
      <c r="O25" s="754"/>
    </row>
    <row r="26" spans="1:15" ht="23" customHeight="1">
      <c r="A26" s="749">
        <v>45992</v>
      </c>
      <c r="B26" s="750">
        <f>目標_2025R7!I18</f>
        <v>5835789.4736842103</v>
      </c>
      <c r="C26" s="752">
        <f>目標_2025R7!F18</f>
        <v>24</v>
      </c>
      <c r="D26" s="271" t="s">
        <v>194</v>
      </c>
      <c r="E26" s="272">
        <f>バルカ18期!AA12</f>
        <v>0.75430599053606195</v>
      </c>
      <c r="F26" s="273">
        <f>B26*E26</f>
        <v>4401970.9595072921</v>
      </c>
      <c r="G26" s="274"/>
      <c r="H26" s="275">
        <v>0.3</v>
      </c>
      <c r="I26" s="276">
        <f t="shared" si="0"/>
        <v>1320591.2878521876</v>
      </c>
      <c r="J26" s="277">
        <f>I26/C26</f>
        <v>55024.636993841152</v>
      </c>
      <c r="K26" s="278"/>
      <c r="L26" s="279">
        <f>バルカ18期!Z13</f>
        <v>2079765</v>
      </c>
      <c r="M26" s="273">
        <f t="shared" si="1"/>
        <v>-759173.71214781236</v>
      </c>
      <c r="N26" s="274"/>
      <c r="O26" s="754">
        <f>(I26+I27)/B26</f>
        <v>0.27543059905360623</v>
      </c>
    </row>
    <row r="27" spans="1:15" ht="23" customHeight="1">
      <c r="A27" s="749"/>
      <c r="B27" s="751"/>
      <c r="C27" s="753"/>
      <c r="D27" s="280" t="s">
        <v>195</v>
      </c>
      <c r="E27" s="281">
        <f>バルカ18期!AA14</f>
        <v>0.24569400946393805</v>
      </c>
      <c r="F27" s="282">
        <f>B26*E27</f>
        <v>1433818.5141769184</v>
      </c>
      <c r="G27" s="274"/>
      <c r="H27" s="283">
        <v>0.2</v>
      </c>
      <c r="I27" s="284">
        <f t="shared" si="0"/>
        <v>286763.70283538371</v>
      </c>
      <c r="J27" s="285">
        <f>I27/C26</f>
        <v>11948.487618140987</v>
      </c>
      <c r="K27" s="278"/>
      <c r="L27" s="286">
        <f>バルカ18期!Z15</f>
        <v>568462</v>
      </c>
      <c r="M27" s="282">
        <f t="shared" si="1"/>
        <v>-281698.29716461629</v>
      </c>
      <c r="N27" s="274"/>
      <c r="O27" s="754"/>
    </row>
    <row r="28" spans="1:15" ht="23">
      <c r="I28" s="287">
        <f>SUM(I4:I27)</f>
        <v>17486833.217593994</v>
      </c>
      <c r="J28" s="288">
        <f>I28/B2</f>
        <v>0.21858541521992492</v>
      </c>
      <c r="L28" s="287">
        <f>SUM(L4:L27)</f>
        <v>25104193</v>
      </c>
      <c r="M28" s="288">
        <f>L28/L2</f>
        <v>0.3530324309067448</v>
      </c>
    </row>
  </sheetData>
  <mergeCells count="48">
    <mergeCell ref="A4:A5"/>
    <mergeCell ref="B4:B5"/>
    <mergeCell ref="C4:C5"/>
    <mergeCell ref="O4:O5"/>
    <mergeCell ref="A6:A7"/>
    <mergeCell ref="B6:B7"/>
    <mergeCell ref="C6:C7"/>
    <mergeCell ref="O6:O7"/>
    <mergeCell ref="A8:A9"/>
    <mergeCell ref="B8:B9"/>
    <mergeCell ref="C8:C9"/>
    <mergeCell ref="O8:O9"/>
    <mergeCell ref="A10:A11"/>
    <mergeCell ref="B10:B11"/>
    <mergeCell ref="C10:C11"/>
    <mergeCell ref="O10:O11"/>
    <mergeCell ref="A12:A13"/>
    <mergeCell ref="B12:B13"/>
    <mergeCell ref="C12:C13"/>
    <mergeCell ref="O12:O13"/>
    <mergeCell ref="A14:A15"/>
    <mergeCell ref="B14:B15"/>
    <mergeCell ref="C14:C15"/>
    <mergeCell ref="O14:O15"/>
    <mergeCell ref="A16:A17"/>
    <mergeCell ref="B16:B17"/>
    <mergeCell ref="C16:C17"/>
    <mergeCell ref="O16:O17"/>
    <mergeCell ref="A18:A19"/>
    <mergeCell ref="B18:B19"/>
    <mergeCell ref="C18:C19"/>
    <mergeCell ref="O18:O19"/>
    <mergeCell ref="A20:A21"/>
    <mergeCell ref="B20:B21"/>
    <mergeCell ref="C20:C21"/>
    <mergeCell ref="O20:O21"/>
    <mergeCell ref="A22:A23"/>
    <mergeCell ref="B22:B23"/>
    <mergeCell ref="C22:C23"/>
    <mergeCell ref="O22:O23"/>
    <mergeCell ref="A24:A25"/>
    <mergeCell ref="B24:B25"/>
    <mergeCell ref="C24:C25"/>
    <mergeCell ref="O24:O25"/>
    <mergeCell ref="A26:A27"/>
    <mergeCell ref="B26:B27"/>
    <mergeCell ref="C26:C27"/>
    <mergeCell ref="O26:O27"/>
  </mergeCells>
  <phoneticPr fontId="2"/>
  <pageMargins left="0.7" right="0.7" top="0.75" bottom="0.75" header="0.3" footer="0.3"/>
  <pageSetup paperSize="9" scale="61" orientation="landscape" verticalDpi="0" copies="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B2:J32"/>
  <sheetViews>
    <sheetView zoomScale="75" zoomScaleNormal="100" workbookViewId="0">
      <selection activeCell="E29" sqref="E29"/>
    </sheetView>
  </sheetViews>
  <sheetFormatPr baseColWidth="10" defaultColWidth="9.140625" defaultRowHeight="20"/>
  <cols>
    <col min="1" max="1" width="9.140625" style="115"/>
    <col min="2" max="2" width="14" style="115" customWidth="1"/>
    <col min="3" max="3" width="1" style="115" customWidth="1"/>
    <col min="4" max="4" width="20" style="115" customWidth="1"/>
    <col min="5" max="5" width="16.85546875" style="115" customWidth="1"/>
    <col min="6" max="6" width="21.42578125" style="115" customWidth="1"/>
    <col min="7" max="7" width="15.5703125" style="115" customWidth="1"/>
    <col min="8" max="8" width="9.140625" style="115"/>
    <col min="9" max="9" width="20.5703125" style="115" customWidth="1"/>
    <col min="10" max="10" width="19.140625" style="115" customWidth="1"/>
    <col min="11" max="16384" width="9.140625" style="115"/>
  </cols>
  <sheetData>
    <row r="2" spans="2:10">
      <c r="B2" s="113" t="s">
        <v>61</v>
      </c>
      <c r="C2" s="114"/>
      <c r="D2" s="113" t="s">
        <v>62</v>
      </c>
      <c r="E2" s="113" t="s">
        <v>63</v>
      </c>
      <c r="F2" s="113" t="s">
        <v>64</v>
      </c>
      <c r="I2" s="116" t="s">
        <v>65</v>
      </c>
      <c r="J2" s="116" t="s">
        <v>66</v>
      </c>
    </row>
    <row r="3" spans="2:10" ht="26">
      <c r="B3" s="117">
        <v>45822</v>
      </c>
      <c r="C3" s="118"/>
      <c r="D3" s="119">
        <f>INDEX(目標_2025R7!L20:L384, MATCH(B3, 目標_2025R7!F20:F384, 0))</f>
        <v>174297.90189045001</v>
      </c>
      <c r="E3" s="119" cm="1">
        <f t="array" ref="E3">INDEX(目標_2025R7!I7:I18, MONTH(B3))</f>
        <v>6078947.3684210526</v>
      </c>
      <c r="F3" s="120">
        <f>SUMIFS(目標_2025R7!D20:D384, 目標_2025R7!F20:F384, "&gt;=" &amp; B3, 目標_2025R7!E20:E384, MONTH(B3))</f>
        <v>14</v>
      </c>
      <c r="I3" s="121">
        <v>1275</v>
      </c>
      <c r="J3" s="121">
        <v>6274</v>
      </c>
    </row>
    <row r="4" spans="2:10" ht="7.25" customHeight="1"/>
    <row r="5" spans="2:10" ht="48" customHeight="1">
      <c r="D5" s="122" t="s">
        <v>67</v>
      </c>
      <c r="E5" s="123" cm="1">
        <f t="array" ref="E5">IF(
  INDEX(実績_2024R6!D20:D385,
    MATCH(1,
      (実績_2024R6!G20:G385=TEXT(B3,"ddd"))*
      (実績_2024R6!F20:F385&gt;=B3-370)*
      (実績_2024R6!F20:F385&lt;=B3-358),
    0)
  )=0,
  "店休日",
  INDEX(実績_2024R6!J20:J385,
    MATCH(1,
      (実績_2024R6!G20:G385=TEXT(B3,"ddd"))*
      (実績_2024R6!F20:F385&gt;=B3-370)*
      (実績_2024R6!F20:F385&lt;=B3-358),
    0)
  )
)</f>
        <v>161770</v>
      </c>
      <c r="F5" s="124" t="str" cm="1">
        <f t="array" ref="F5">TEXT(
  INDEX(実績_2024R6!F20:F385,
    MATCH(1,
      (実績_2024R6!G20:G385=TEXT(B3,"ddd"))*
      (実績_2024R6!F20:F385&gt;=B3-370)*
      (実績_2024R6!F20:F385&lt;=B3-358),
    0)
  ),
  "yyyy/m/d (ddd)"
)</f>
        <v>2024/6/15 (Sat)</v>
      </c>
      <c r="G5" s="115" t="s">
        <v>68</v>
      </c>
    </row>
    <row r="6" spans="2:10">
      <c r="D6" s="122" t="s">
        <v>69</v>
      </c>
      <c r="E6" s="125">
        <f>E5-D3</f>
        <v>-12527.901890450012</v>
      </c>
    </row>
    <row r="7" spans="2:10">
      <c r="D7" s="122" t="s">
        <v>70</v>
      </c>
      <c r="E7" s="126">
        <f>E5/D3</f>
        <v>0.9281236219451221</v>
      </c>
    </row>
    <row r="8" spans="2:10" ht="7.25" customHeight="1">
      <c r="D8" s="127"/>
    </row>
    <row r="9" spans="2:10">
      <c r="D9" s="122" t="s">
        <v>71</v>
      </c>
      <c r="E9" s="128">
        <f>INDEX(目標_2025R7!Q20:Q384, MATCH(B3, 目標_2025R7!F20:F384, 0))</f>
        <v>2650720</v>
      </c>
    </row>
    <row r="10" spans="2:10">
      <c r="D10" s="122" t="s">
        <v>72</v>
      </c>
      <c r="E10" s="128">
        <f>INDEX(目標_2025R7!P20:P384, MATCH(B3, 目標_2025R7!F20:F384, 0))</f>
        <v>2960345.8631344652</v>
      </c>
    </row>
    <row r="11" spans="2:10">
      <c r="D11" s="122" t="s">
        <v>73</v>
      </c>
      <c r="E11" s="125">
        <f>E9-E10</f>
        <v>-309625.86313446518</v>
      </c>
      <c r="F11" s="129"/>
    </row>
    <row r="12" spans="2:10">
      <c r="D12" s="122" t="s">
        <v>74</v>
      </c>
      <c r="E12" s="126">
        <f>E10/E9</f>
        <v>1.1168082117818801</v>
      </c>
      <c r="F12" s="130"/>
    </row>
    <row r="13" spans="2:10" ht="23">
      <c r="D13" s="122" t="s">
        <v>75</v>
      </c>
      <c r="E13" s="131">
        <f>E11/F3</f>
        <v>-22116.133081033226</v>
      </c>
      <c r="F13" s="132" t="s">
        <v>76</v>
      </c>
    </row>
    <row r="14" spans="2:10" ht="7.25" customHeight="1">
      <c r="D14" s="127"/>
    </row>
    <row r="15" spans="2:10">
      <c r="D15" s="122" t="s">
        <v>77</v>
      </c>
      <c r="E15" s="128">
        <f>INDEX(目標_2025R7!V20:V384, MATCH(B3, 目標_2025R7!F20:F384, 0))</f>
        <v>34379580</v>
      </c>
    </row>
    <row r="16" spans="2:10">
      <c r="D16" s="122" t="s">
        <v>78</v>
      </c>
      <c r="E16" s="128">
        <f>INDEX(目標_2025R7!U20:U384, MATCH(B3, 目標_2025R7!F20:F384, 0))</f>
        <v>33863503.7578713</v>
      </c>
    </row>
    <row r="17" spans="4:7">
      <c r="D17" s="122" t="s">
        <v>79</v>
      </c>
      <c r="E17" s="125">
        <f>E16-E15</f>
        <v>-516076.24212870002</v>
      </c>
    </row>
    <row r="18" spans="4:7">
      <c r="D18" s="122" t="s">
        <v>80</v>
      </c>
      <c r="E18" s="126">
        <f>E15/E16</f>
        <v>1.0152398950155517</v>
      </c>
    </row>
    <row r="19" spans="4:7" ht="21" thickBot="1"/>
    <row r="20" spans="4:7" ht="22.25" customHeight="1">
      <c r="D20" s="764" t="s">
        <v>81</v>
      </c>
      <c r="E20" s="765"/>
      <c r="F20" s="765"/>
      <c r="G20" s="766"/>
    </row>
    <row r="21" spans="4:7" ht="23">
      <c r="D21" s="767" t="s">
        <v>82</v>
      </c>
      <c r="E21" s="768"/>
      <c r="F21" s="769">
        <f>D3</f>
        <v>174297.90189045001</v>
      </c>
      <c r="G21" s="770"/>
    </row>
    <row r="22" spans="4:7" ht="23">
      <c r="D22" s="767" t="s">
        <v>83</v>
      </c>
      <c r="E22" s="768"/>
      <c r="F22" s="771">
        <f>E5</f>
        <v>161770</v>
      </c>
      <c r="G22" s="772"/>
    </row>
    <row r="23" spans="4:7" ht="24" thickBot="1">
      <c r="D23" s="773" t="s">
        <v>84</v>
      </c>
      <c r="E23" s="774"/>
      <c r="F23" s="775">
        <f>F22-F21</f>
        <v>-12527.901890450012</v>
      </c>
      <c r="G23" s="776"/>
    </row>
    <row r="24" spans="4:7" ht="23">
      <c r="D24" s="756" t="s">
        <v>85</v>
      </c>
      <c r="E24" s="757"/>
      <c r="F24" s="758">
        <f>F25-F23</f>
        <v>217805.90189045001</v>
      </c>
      <c r="G24" s="759"/>
    </row>
    <row r="25" spans="4:7" ht="24" thickBot="1">
      <c r="D25" s="760" t="s">
        <v>86</v>
      </c>
      <c r="E25" s="761"/>
      <c r="F25" s="762">
        <f>SUM(G27:G32)</f>
        <v>205278</v>
      </c>
      <c r="G25" s="763"/>
    </row>
    <row r="26" spans="4:7">
      <c r="D26" s="133" t="s">
        <v>87</v>
      </c>
      <c r="E26" s="134" t="s">
        <v>88</v>
      </c>
      <c r="F26" s="135" t="s">
        <v>89</v>
      </c>
      <c r="G26" s="136" t="s">
        <v>90</v>
      </c>
    </row>
    <row r="27" spans="4:7">
      <c r="D27" s="137" t="s">
        <v>91</v>
      </c>
      <c r="E27" s="138">
        <f>'2024年間データ'!G30</f>
        <v>1275.1666666666667</v>
      </c>
      <c r="F27" s="139">
        <v>67</v>
      </c>
      <c r="G27" s="140">
        <f t="shared" ref="G27:G32" si="0">E27*F27</f>
        <v>85436.166666666672</v>
      </c>
    </row>
    <row r="28" spans="4:7">
      <c r="D28" s="137" t="s">
        <v>92</v>
      </c>
      <c r="E28" s="138">
        <f>'2024年間データ'!H30</f>
        <v>6274.416666666667</v>
      </c>
      <c r="F28" s="139">
        <v>14</v>
      </c>
      <c r="G28" s="140">
        <f t="shared" si="0"/>
        <v>87841.833333333343</v>
      </c>
    </row>
    <row r="29" spans="4:7">
      <c r="D29" s="137" t="s">
        <v>93</v>
      </c>
      <c r="E29" s="138">
        <v>5500</v>
      </c>
      <c r="F29" s="139">
        <v>0</v>
      </c>
      <c r="G29" s="140">
        <f t="shared" si="0"/>
        <v>0</v>
      </c>
    </row>
    <row r="30" spans="4:7">
      <c r="D30" s="137" t="s">
        <v>94</v>
      </c>
      <c r="E30" s="138">
        <v>6800</v>
      </c>
      <c r="F30" s="139">
        <v>0</v>
      </c>
      <c r="G30" s="140">
        <f t="shared" si="0"/>
        <v>0</v>
      </c>
    </row>
    <row r="31" spans="4:7">
      <c r="D31" s="137" t="s">
        <v>95</v>
      </c>
      <c r="E31" s="138">
        <v>8000</v>
      </c>
      <c r="F31" s="139">
        <v>4</v>
      </c>
      <c r="G31" s="140">
        <f t="shared" si="0"/>
        <v>32000</v>
      </c>
    </row>
    <row r="32" spans="4:7" ht="21" thickBot="1">
      <c r="D32" s="141"/>
      <c r="E32" s="142"/>
      <c r="F32" s="143">
        <v>0</v>
      </c>
      <c r="G32" s="144">
        <f t="shared" si="0"/>
        <v>0</v>
      </c>
    </row>
  </sheetData>
  <sheetProtection sheet="1" selectLockedCells="1"/>
  <mergeCells count="11">
    <mergeCell ref="D24:E24"/>
    <mergeCell ref="F24:G24"/>
    <mergeCell ref="D25:E25"/>
    <mergeCell ref="F25:G25"/>
    <mergeCell ref="D20:G20"/>
    <mergeCell ref="D21:E21"/>
    <mergeCell ref="F21:G21"/>
    <mergeCell ref="D22:E22"/>
    <mergeCell ref="F22:G22"/>
    <mergeCell ref="D23:E23"/>
    <mergeCell ref="F23:G23"/>
  </mergeCells>
  <phoneticPr fontId="2"/>
  <conditionalFormatting sqref="F23:G23 F24">
    <cfRule type="cellIs" dxfId="6" priority="1" stopIfTrue="1" operator="less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AN386"/>
  <sheetViews>
    <sheetView tabSelected="1" topLeftCell="B1" zoomScale="80" zoomScaleNormal="80" workbookViewId="0">
      <pane xSplit="5" ySplit="19" topLeftCell="V20" activePane="bottomRight" state="frozen"/>
      <selection activeCell="B1" sqref="B1"/>
      <selection pane="topRight" activeCell="G1" sqref="G1"/>
      <selection pane="bottomLeft" activeCell="B20" sqref="B20"/>
      <selection pane="bottomRight" activeCell="AE20" sqref="AE20"/>
    </sheetView>
  </sheetViews>
  <sheetFormatPr baseColWidth="10" defaultColWidth="9.5703125" defaultRowHeight="17" outlineLevelRow="1" outlineLevelCol="1"/>
  <cols>
    <col min="1" max="1" width="2.140625" style="148" customWidth="1"/>
    <col min="2" max="2" width="9.140625" style="148" customWidth="1"/>
    <col min="3" max="3" width="4.42578125" style="148" customWidth="1"/>
    <col min="4" max="4" width="4.42578125" style="217" customWidth="1"/>
    <col min="5" max="5" width="5.85546875" style="148" customWidth="1"/>
    <col min="6" max="6" width="7.140625" style="148" customWidth="1"/>
    <col min="7" max="7" width="13.42578125" style="148" customWidth="1"/>
    <col min="8" max="8" width="10.140625" style="148" customWidth="1"/>
    <col min="9" max="9" width="1.42578125" style="148" customWidth="1"/>
    <col min="10" max="10" width="14.5703125" style="148" customWidth="1"/>
    <col min="11" max="11" width="1.42578125" style="155" customWidth="1"/>
    <col min="12" max="12" width="14.140625" style="148" customWidth="1"/>
    <col min="13" max="13" width="16.85546875" style="148" customWidth="1"/>
    <col min="14" max="14" width="11.140625" style="148" customWidth="1"/>
    <col min="15" max="15" width="1.42578125" style="148" customWidth="1"/>
    <col min="16" max="16" width="13.42578125" style="148" customWidth="1"/>
    <col min="17" max="17" width="15.140625" style="148" customWidth="1"/>
    <col min="18" max="18" width="16.5703125" style="148" customWidth="1"/>
    <col min="19" max="19" width="11.140625" style="148" customWidth="1"/>
    <col min="20" max="20" width="1.42578125" style="148" customWidth="1"/>
    <col min="21" max="21" width="15.140625" style="148" customWidth="1"/>
    <col min="22" max="22" width="13.42578125" style="148" customWidth="1"/>
    <col min="23" max="23" width="13.140625" style="148" customWidth="1"/>
    <col min="24" max="24" width="10.5703125" style="148" customWidth="1"/>
    <col min="25" max="25" width="3.42578125" style="148" customWidth="1"/>
    <col min="26" max="26" width="5.7109375" style="148" bestFit="1" customWidth="1"/>
    <col min="27" max="27" width="4.140625" style="148" bestFit="1" customWidth="1"/>
    <col min="28" max="28" width="9.5703125" style="4" collapsed="1"/>
    <col min="29" max="29" width="6.85546875" style="4" customWidth="1" outlineLevel="1"/>
    <col min="30" max="30" width="6.7109375" style="4" customWidth="1" outlineLevel="1"/>
    <col min="31" max="31" width="10.28515625" style="4" customWidth="1" outlineLevel="1"/>
    <col min="32" max="32" width="8.28515625" style="148" bestFit="1" customWidth="1"/>
    <col min="33" max="33" width="12.42578125" style="148" hidden="1" customWidth="1" outlineLevel="1"/>
    <col min="34" max="34" width="10.85546875" style="148" customWidth="1" collapsed="1"/>
    <col min="35" max="35" width="10.7109375" style="148" customWidth="1"/>
    <col min="36" max="16384" width="9.5703125" style="148"/>
  </cols>
  <sheetData>
    <row r="1" spans="1:40" ht="10.5" customHeight="1">
      <c r="A1" s="145"/>
      <c r="B1" s="145"/>
      <c r="C1" s="145"/>
      <c r="D1" s="146"/>
      <c r="E1" s="145"/>
      <c r="F1" s="145"/>
      <c r="G1" s="145"/>
      <c r="H1" s="145"/>
      <c r="I1" s="145"/>
      <c r="J1" s="145"/>
      <c r="K1" s="147"/>
      <c r="L1" s="145"/>
      <c r="M1" s="145"/>
      <c r="N1" s="145"/>
      <c r="O1" s="145"/>
      <c r="P1" s="145"/>
      <c r="Q1" s="145"/>
      <c r="R1" s="145"/>
      <c r="S1" s="145"/>
      <c r="T1" s="145"/>
      <c r="U1" s="145"/>
      <c r="V1" s="145"/>
      <c r="W1" s="145"/>
      <c r="X1" s="145"/>
      <c r="Y1" s="145"/>
      <c r="Z1" s="145"/>
      <c r="AA1" s="145"/>
      <c r="AB1" s="1"/>
      <c r="AC1" s="1"/>
      <c r="AD1" s="1"/>
      <c r="AE1" s="1"/>
      <c r="AF1" s="145"/>
      <c r="AG1" s="145"/>
      <c r="AH1" s="145"/>
      <c r="AI1" s="145"/>
      <c r="AJ1" s="145"/>
      <c r="AK1" s="145"/>
      <c r="AL1" s="145"/>
      <c r="AM1" s="145"/>
      <c r="AN1" s="145"/>
    </row>
    <row r="2" spans="1:40" ht="23">
      <c r="A2" s="145"/>
      <c r="B2" s="798">
        <v>45292</v>
      </c>
      <c r="C2" s="799"/>
      <c r="D2" s="800"/>
      <c r="E2" s="742" t="s">
        <v>96</v>
      </c>
      <c r="F2" s="737"/>
      <c r="G2" s="804" t="s">
        <v>97</v>
      </c>
      <c r="H2" s="805"/>
      <c r="I2" s="806" t="s">
        <v>98</v>
      </c>
      <c r="J2" s="806"/>
      <c r="K2" s="806"/>
      <c r="L2" s="806"/>
      <c r="M2" s="745" t="s">
        <v>3</v>
      </c>
      <c r="N2" s="745"/>
      <c r="O2" s="745" t="s">
        <v>99</v>
      </c>
      <c r="P2" s="745"/>
      <c r="Q2" s="149" t="s">
        <v>100</v>
      </c>
      <c r="R2" s="149" t="s">
        <v>101</v>
      </c>
      <c r="S2" s="145"/>
      <c r="AD2" s="1"/>
      <c r="AE2" s="1"/>
      <c r="AF2" s="145"/>
      <c r="AG2" s="145"/>
      <c r="AH2" s="145"/>
      <c r="AI2" s="145"/>
      <c r="AJ2" s="145"/>
      <c r="AK2" s="145"/>
      <c r="AL2" s="145"/>
      <c r="AM2" s="145"/>
      <c r="AN2" s="145"/>
    </row>
    <row r="3" spans="1:40" ht="22">
      <c r="A3" s="145"/>
      <c r="B3" s="801"/>
      <c r="C3" s="802"/>
      <c r="D3" s="803"/>
      <c r="E3" s="807">
        <f>SUM(F6:F17)</f>
        <v>289</v>
      </c>
      <c r="F3" s="737"/>
      <c r="G3" s="808">
        <v>71220821</v>
      </c>
      <c r="H3" s="809"/>
      <c r="I3" s="810">
        <f>SUM(AD6:AD17)*100</f>
        <v>0.9999996000000001</v>
      </c>
      <c r="J3" s="811"/>
      <c r="K3" s="812">
        <f>G3*I3</f>
        <v>71220792.511671603</v>
      </c>
      <c r="L3" s="812"/>
      <c r="M3" s="791">
        <f>SUM(J20:J385)</f>
        <v>71220821</v>
      </c>
      <c r="N3" s="791"/>
      <c r="O3" s="792">
        <f>M3-G3</f>
        <v>0</v>
      </c>
      <c r="P3" s="792"/>
      <c r="Q3" s="150">
        <v>0.21</v>
      </c>
      <c r="R3" s="151">
        <f>M3*Q3</f>
        <v>14956372.41</v>
      </c>
      <c r="S3" s="145"/>
      <c r="AD3" s="1"/>
      <c r="AE3" s="1"/>
      <c r="AF3" s="145"/>
      <c r="AG3" s="145"/>
      <c r="AH3" s="145"/>
      <c r="AI3" s="145"/>
      <c r="AJ3" s="145"/>
      <c r="AK3" s="145"/>
      <c r="AL3" s="145"/>
      <c r="AM3" s="145"/>
      <c r="AN3" s="145"/>
    </row>
    <row r="4" spans="1:40" ht="20">
      <c r="A4" s="145"/>
      <c r="B4" s="152"/>
      <c r="C4" s="152"/>
      <c r="D4" s="153"/>
      <c r="E4" s="152"/>
      <c r="F4" s="152"/>
      <c r="G4" s="154"/>
      <c r="L4" s="152"/>
      <c r="N4" s="145"/>
      <c r="P4" s="152"/>
      <c r="AD4" s="1"/>
      <c r="AE4" s="1"/>
      <c r="AF4" s="145"/>
      <c r="AG4" s="145"/>
      <c r="AH4" s="145"/>
      <c r="AM4" s="145"/>
      <c r="AN4" s="145"/>
    </row>
    <row r="5" spans="1:40" ht="22" hidden="1" outlineLevel="1">
      <c r="A5" s="145"/>
      <c r="B5" s="793" t="s">
        <v>18</v>
      </c>
      <c r="C5" s="794"/>
      <c r="D5" s="153"/>
      <c r="E5" s="156" t="s">
        <v>19</v>
      </c>
      <c r="F5" s="156" t="s">
        <v>20</v>
      </c>
      <c r="G5" s="157" t="s">
        <v>21</v>
      </c>
      <c r="H5" s="795" t="s">
        <v>22</v>
      </c>
      <c r="I5" s="737"/>
      <c r="J5" s="156" t="s">
        <v>102</v>
      </c>
      <c r="K5" s="796" t="s">
        <v>24</v>
      </c>
      <c r="L5" s="797"/>
      <c r="M5" s="158" t="s">
        <v>103</v>
      </c>
      <c r="N5" s="795" t="s">
        <v>104</v>
      </c>
      <c r="O5" s="737"/>
      <c r="P5" s="156" t="s">
        <v>27</v>
      </c>
      <c r="Q5" s="159"/>
      <c r="R5" s="786" t="s">
        <v>105</v>
      </c>
      <c r="S5" s="786"/>
      <c r="T5" s="786"/>
      <c r="U5" s="786"/>
      <c r="V5" s="786"/>
      <c r="AC5" s="4" t="str">
        <f>TEXT(K6,"¥0")</f>
        <v>¥221795</v>
      </c>
      <c r="AD5" s="1"/>
      <c r="AE5" s="1"/>
      <c r="AF5" s="145"/>
      <c r="AG5" s="145"/>
      <c r="AH5" s="145"/>
    </row>
    <row r="6" spans="1:40" ht="23" hidden="1" outlineLevel="1">
      <c r="A6" s="145"/>
      <c r="B6" s="787" t="s">
        <v>28</v>
      </c>
      <c r="C6" s="729"/>
      <c r="D6" s="153"/>
      <c r="E6" s="20" t="s">
        <v>29</v>
      </c>
      <c r="F6" s="21">
        <f>COUNTIF(D20:D50,1)</f>
        <v>22</v>
      </c>
      <c r="G6" s="22">
        <f>$B$7*F6</f>
        <v>5421654.1937716268</v>
      </c>
      <c r="H6" s="777">
        <v>0.9</v>
      </c>
      <c r="I6" s="778"/>
      <c r="J6" s="160">
        <f>G6*H6</f>
        <v>4879488.7743944647</v>
      </c>
      <c r="K6" s="726">
        <f t="shared" ref="K6:K17" si="0">J6/F6</f>
        <v>221794.9442906575</v>
      </c>
      <c r="L6" s="727"/>
      <c r="M6" s="161">
        <f>SUM(J20:J50)</f>
        <v>4982374</v>
      </c>
      <c r="N6" s="728">
        <f t="shared" ref="N6:N17" si="1">M6-J6</f>
        <v>102885.22560553532</v>
      </c>
      <c r="O6" s="729"/>
      <c r="P6" s="25">
        <f t="shared" ref="P6:P17" si="2">M6/G6</f>
        <v>0.91897672221952664</v>
      </c>
      <c r="R6" s="782" t="s">
        <v>45</v>
      </c>
      <c r="S6" s="782"/>
      <c r="T6" s="788" t="s">
        <v>106</v>
      </c>
      <c r="U6" s="789"/>
      <c r="V6" s="162">
        <v>0.76</v>
      </c>
      <c r="Z6" s="163"/>
      <c r="AC6" s="4" t="str">
        <f t="shared" ref="AC6:AC16" si="3">TEXT(K7,"¥0")</f>
        <v>¥209473</v>
      </c>
      <c r="AD6" s="164">
        <f t="shared" ref="AD6:AD17" si="4">(H6/100)*AE6</f>
        <v>7.4999970000000013E-4</v>
      </c>
      <c r="AE6" s="31">
        <v>8.3333299999999999E-2</v>
      </c>
      <c r="AF6" s="145"/>
      <c r="AG6" s="145"/>
      <c r="AH6" s="145"/>
    </row>
    <row r="7" spans="1:40" ht="23" hidden="1" outlineLevel="1">
      <c r="A7" s="145"/>
      <c r="B7" s="790">
        <f>G3/E3</f>
        <v>246438.82698961938</v>
      </c>
      <c r="C7" s="729"/>
      <c r="D7" s="153"/>
      <c r="E7" s="20" t="s">
        <v>107</v>
      </c>
      <c r="F7" s="21">
        <f>COUNTIF(D51:D79,1)</f>
        <v>23</v>
      </c>
      <c r="G7" s="22">
        <f t="shared" ref="G7:G17" si="5">$B$7*F7</f>
        <v>5668093.0207612459</v>
      </c>
      <c r="H7" s="777">
        <v>0.85</v>
      </c>
      <c r="I7" s="778"/>
      <c r="J7" s="160">
        <f t="shared" ref="J7:J17" si="6">G7*H7</f>
        <v>4817879.0676470585</v>
      </c>
      <c r="K7" s="726">
        <f t="shared" si="0"/>
        <v>209473.00294117647</v>
      </c>
      <c r="L7" s="727"/>
      <c r="M7" s="165">
        <f>SUM(J51:J79)</f>
        <v>5001830</v>
      </c>
      <c r="N7" s="728">
        <f t="shared" si="1"/>
        <v>183950.93235294148</v>
      </c>
      <c r="O7" s="729"/>
      <c r="P7" s="25">
        <f t="shared" si="2"/>
        <v>0.88245376031747547</v>
      </c>
      <c r="R7" s="782"/>
      <c r="S7" s="782"/>
      <c r="T7" s="771">
        <f>T6*V6</f>
        <v>177508.64</v>
      </c>
      <c r="U7" s="771"/>
      <c r="V7" s="771"/>
      <c r="AC7" s="4" t="str">
        <f t="shared" si="3"/>
        <v>¥246439</v>
      </c>
      <c r="AD7" s="164">
        <f t="shared" si="4"/>
        <v>7.0833305000000003E-4</v>
      </c>
      <c r="AE7" s="31">
        <v>8.3333299999999999E-2</v>
      </c>
      <c r="AF7" s="145"/>
      <c r="AG7" s="145"/>
      <c r="AH7" s="145"/>
    </row>
    <row r="8" spans="1:40" ht="23" hidden="1" outlineLevel="1">
      <c r="A8" s="145"/>
      <c r="D8" s="153"/>
      <c r="E8" s="20" t="s">
        <v>31</v>
      </c>
      <c r="F8" s="21">
        <f>COUNTIF(D80:D110,1)</f>
        <v>25</v>
      </c>
      <c r="G8" s="22">
        <f t="shared" si="5"/>
        <v>6160970.6747404849</v>
      </c>
      <c r="H8" s="777">
        <v>1</v>
      </c>
      <c r="I8" s="778"/>
      <c r="J8" s="160">
        <f t="shared" si="6"/>
        <v>6160970.6747404849</v>
      </c>
      <c r="K8" s="726">
        <f t="shared" si="0"/>
        <v>246438.82698961941</v>
      </c>
      <c r="L8" s="727"/>
      <c r="M8" s="165">
        <f>SUM(J80:J110)</f>
        <v>6460608</v>
      </c>
      <c r="N8" s="728">
        <f t="shared" si="1"/>
        <v>299637.32525951508</v>
      </c>
      <c r="O8" s="729"/>
      <c r="P8" s="25">
        <f t="shared" si="2"/>
        <v>1.0486347592089678</v>
      </c>
      <c r="R8" s="782" t="s">
        <v>84</v>
      </c>
      <c r="S8" s="782"/>
      <c r="T8" s="783">
        <f>T9-T6</f>
        <v>87436</v>
      </c>
      <c r="U8" s="783"/>
      <c r="V8" s="783"/>
      <c r="AC8" s="4" t="str">
        <f t="shared" si="3"/>
        <v>¥258761</v>
      </c>
      <c r="AD8" s="164">
        <f t="shared" si="4"/>
        <v>8.3333300000000001E-4</v>
      </c>
      <c r="AE8" s="31">
        <v>8.3333299999999999E-2</v>
      </c>
      <c r="AF8" s="145"/>
      <c r="AG8" s="145"/>
      <c r="AH8" s="145"/>
    </row>
    <row r="9" spans="1:40" ht="23" hidden="1" outlineLevel="1">
      <c r="A9" s="145"/>
      <c r="B9" s="166"/>
      <c r="C9" s="152"/>
      <c r="D9" s="153"/>
      <c r="E9" s="20" t="s">
        <v>32</v>
      </c>
      <c r="F9" s="21">
        <f>COUNTIF(D111:D140,1)</f>
        <v>25</v>
      </c>
      <c r="G9" s="22">
        <f t="shared" si="5"/>
        <v>6160970.6747404849</v>
      </c>
      <c r="H9" s="777">
        <v>1.05</v>
      </c>
      <c r="I9" s="778"/>
      <c r="J9" s="160">
        <f t="shared" si="6"/>
        <v>6469019.2084775092</v>
      </c>
      <c r="K9" s="726">
        <f t="shared" si="0"/>
        <v>258760.76833910038</v>
      </c>
      <c r="L9" s="727"/>
      <c r="M9" s="165">
        <f>SUM(J111:J140)</f>
        <v>6676657</v>
      </c>
      <c r="N9" s="728">
        <f t="shared" si="1"/>
        <v>207637.79152249079</v>
      </c>
      <c r="O9" s="729"/>
      <c r="P9" s="25">
        <f t="shared" si="2"/>
        <v>1.0837021230069785</v>
      </c>
      <c r="R9" s="784" t="s">
        <v>85</v>
      </c>
      <c r="S9" s="784"/>
      <c r="T9" s="785">
        <f>SUM(V11:V16)</f>
        <v>321000</v>
      </c>
      <c r="U9" s="785"/>
      <c r="V9" s="785"/>
      <c r="AC9" s="4" t="str">
        <f t="shared" si="3"/>
        <v>¥246439</v>
      </c>
      <c r="AD9" s="164">
        <f t="shared" si="4"/>
        <v>8.7499965000000001E-4</v>
      </c>
      <c r="AE9" s="31">
        <v>8.3333299999999999E-2</v>
      </c>
      <c r="AF9" s="145"/>
      <c r="AG9" s="145"/>
      <c r="AH9" s="145"/>
    </row>
    <row r="10" spans="1:40" ht="20" hidden="1" outlineLevel="1">
      <c r="A10" s="145"/>
      <c r="B10" s="166"/>
      <c r="C10" s="152"/>
      <c r="D10" s="153"/>
      <c r="E10" s="20" t="s">
        <v>33</v>
      </c>
      <c r="F10" s="21">
        <f>COUNTIF(D141:D171,1)</f>
        <v>24</v>
      </c>
      <c r="G10" s="22">
        <f t="shared" si="5"/>
        <v>5914531.8477508649</v>
      </c>
      <c r="H10" s="777">
        <v>1</v>
      </c>
      <c r="I10" s="778"/>
      <c r="J10" s="160">
        <f t="shared" si="6"/>
        <v>5914531.8477508649</v>
      </c>
      <c r="K10" s="726">
        <f t="shared" si="0"/>
        <v>246438.82698961938</v>
      </c>
      <c r="L10" s="727"/>
      <c r="M10" s="165">
        <f>SUM(J141:J171)</f>
        <v>6165010</v>
      </c>
      <c r="N10" s="728">
        <f t="shared" si="1"/>
        <v>250478.15224913508</v>
      </c>
      <c r="O10" s="729"/>
      <c r="P10" s="25">
        <f t="shared" si="2"/>
        <v>1.0423496159454082</v>
      </c>
      <c r="R10" s="167" t="s">
        <v>87</v>
      </c>
      <c r="S10" s="167" t="s">
        <v>88</v>
      </c>
      <c r="T10" s="781" t="s">
        <v>89</v>
      </c>
      <c r="U10" s="781"/>
      <c r="V10" s="167" t="s">
        <v>90</v>
      </c>
      <c r="AC10" s="4" t="str">
        <f t="shared" si="3"/>
        <v>¥221795</v>
      </c>
      <c r="AD10" s="164">
        <f t="shared" si="4"/>
        <v>8.3333300000000001E-4</v>
      </c>
      <c r="AE10" s="31">
        <v>8.3333299999999999E-2</v>
      </c>
      <c r="AF10" s="145"/>
      <c r="AG10" s="145"/>
      <c r="AH10" s="145"/>
    </row>
    <row r="11" spans="1:40" ht="20" hidden="1" outlineLevel="1">
      <c r="A11" s="145"/>
      <c r="B11" s="166"/>
      <c r="C11" s="152"/>
      <c r="D11" s="153"/>
      <c r="E11" s="20" t="s">
        <v>34</v>
      </c>
      <c r="F11" s="21">
        <f>COUNTIF(D172:D201,1)</f>
        <v>25</v>
      </c>
      <c r="G11" s="22">
        <f t="shared" si="5"/>
        <v>6160970.6747404849</v>
      </c>
      <c r="H11" s="777">
        <v>0.9</v>
      </c>
      <c r="I11" s="778"/>
      <c r="J11" s="160">
        <f t="shared" si="6"/>
        <v>5544873.6072664363</v>
      </c>
      <c r="K11" s="726">
        <f t="shared" si="0"/>
        <v>221794.94429065744</v>
      </c>
      <c r="L11" s="727"/>
      <c r="M11" s="165">
        <f>SUM(J172:J201)</f>
        <v>5907950</v>
      </c>
      <c r="N11" s="728">
        <f t="shared" si="1"/>
        <v>363076.39273356367</v>
      </c>
      <c r="O11" s="729"/>
      <c r="P11" s="25">
        <f t="shared" si="2"/>
        <v>0.95893168656396133</v>
      </c>
      <c r="R11" s="168" t="s">
        <v>91</v>
      </c>
      <c r="S11" s="169">
        <v>1100</v>
      </c>
      <c r="T11" s="780">
        <v>60</v>
      </c>
      <c r="U11" s="780"/>
      <c r="V11" s="170">
        <f t="shared" ref="V11:V16" si="7">S11*T11</f>
        <v>66000</v>
      </c>
      <c r="AC11" s="4" t="str">
        <f t="shared" si="3"/>
        <v>¥234117</v>
      </c>
      <c r="AD11" s="164">
        <f t="shared" si="4"/>
        <v>7.4999970000000013E-4</v>
      </c>
      <c r="AE11" s="31">
        <v>8.3333299999999999E-2</v>
      </c>
      <c r="AF11" s="145"/>
      <c r="AG11" s="145"/>
      <c r="AH11" s="145"/>
    </row>
    <row r="12" spans="1:40" ht="20" hidden="1" outlineLevel="1">
      <c r="A12" s="145"/>
      <c r="B12" s="152"/>
      <c r="C12" s="152"/>
      <c r="D12" s="153"/>
      <c r="E12" s="20" t="s">
        <v>35</v>
      </c>
      <c r="F12" s="21">
        <f>COUNTIF(D202:D232,1)</f>
        <v>26</v>
      </c>
      <c r="G12" s="22">
        <f t="shared" si="5"/>
        <v>6407409.501730104</v>
      </c>
      <c r="H12" s="777">
        <v>0.95</v>
      </c>
      <c r="I12" s="778"/>
      <c r="J12" s="160">
        <f t="shared" si="6"/>
        <v>6087039.0266435985</v>
      </c>
      <c r="K12" s="726">
        <f t="shared" si="0"/>
        <v>234116.88564013841</v>
      </c>
      <c r="L12" s="727"/>
      <c r="M12" s="165">
        <f>SUM(J202:J232)</f>
        <v>6522185</v>
      </c>
      <c r="N12" s="728">
        <f t="shared" si="1"/>
        <v>435145.97335640155</v>
      </c>
      <c r="O12" s="729"/>
      <c r="P12" s="25">
        <f t="shared" si="2"/>
        <v>1.0179129331813277</v>
      </c>
      <c r="R12" s="168" t="s">
        <v>92</v>
      </c>
      <c r="S12" s="169">
        <v>4500</v>
      </c>
      <c r="T12" s="780">
        <v>20</v>
      </c>
      <c r="U12" s="780"/>
      <c r="V12" s="170">
        <f t="shared" si="7"/>
        <v>90000</v>
      </c>
      <c r="AC12" s="4" t="str">
        <f t="shared" si="3"/>
        <v>¥197151</v>
      </c>
      <c r="AD12" s="164">
        <f t="shared" si="4"/>
        <v>7.9166635000000002E-4</v>
      </c>
      <c r="AE12" s="31">
        <v>8.3333299999999999E-2</v>
      </c>
      <c r="AF12" s="145"/>
      <c r="AG12" s="145"/>
      <c r="AH12" s="145"/>
    </row>
    <row r="13" spans="1:40" ht="20" hidden="1" outlineLevel="1">
      <c r="A13" s="145"/>
      <c r="B13" s="152"/>
      <c r="C13" s="152"/>
      <c r="D13" s="153"/>
      <c r="E13" s="20" t="s">
        <v>36</v>
      </c>
      <c r="F13" s="21">
        <f>COUNTIF(D233:D263,1)</f>
        <v>22</v>
      </c>
      <c r="G13" s="22">
        <f t="shared" si="5"/>
        <v>5421654.1937716268</v>
      </c>
      <c r="H13" s="777">
        <v>0.8</v>
      </c>
      <c r="I13" s="778"/>
      <c r="J13" s="160">
        <f t="shared" si="6"/>
        <v>4337323.3550173016</v>
      </c>
      <c r="K13" s="726">
        <f t="shared" si="0"/>
        <v>197151.06159169553</v>
      </c>
      <c r="L13" s="727"/>
      <c r="M13" s="165">
        <f>SUM(J233:J263)</f>
        <v>4512002</v>
      </c>
      <c r="N13" s="728">
        <f t="shared" si="1"/>
        <v>174678.64498269837</v>
      </c>
      <c r="O13" s="729"/>
      <c r="P13" s="25">
        <f t="shared" si="2"/>
        <v>0.83221869907958512</v>
      </c>
      <c r="R13" s="168" t="s">
        <v>108</v>
      </c>
      <c r="S13" s="169">
        <v>5500</v>
      </c>
      <c r="T13" s="780">
        <v>30</v>
      </c>
      <c r="U13" s="780"/>
      <c r="V13" s="170">
        <f t="shared" si="7"/>
        <v>165000</v>
      </c>
      <c r="Z13" s="145"/>
      <c r="AA13" s="145"/>
      <c r="AB13" s="1"/>
      <c r="AC13" s="4" t="str">
        <f t="shared" si="3"/>
        <v>¥234117</v>
      </c>
      <c r="AD13" s="164">
        <f t="shared" si="4"/>
        <v>6.6666640000000003E-4</v>
      </c>
      <c r="AE13" s="31">
        <v>8.3333299999999999E-2</v>
      </c>
      <c r="AF13" s="145"/>
      <c r="AG13" s="171"/>
      <c r="AH13" s="171"/>
    </row>
    <row r="14" spans="1:40" ht="20" hidden="1" customHeight="1" outlineLevel="1">
      <c r="A14" s="145"/>
      <c r="B14" s="152"/>
      <c r="C14" s="152"/>
      <c r="D14" s="153"/>
      <c r="E14" s="20" t="s">
        <v>37</v>
      </c>
      <c r="F14" s="21">
        <f>COUNTIF(D264:D293,1)</f>
        <v>23</v>
      </c>
      <c r="G14" s="22">
        <f t="shared" si="5"/>
        <v>5668093.0207612459</v>
      </c>
      <c r="H14" s="777">
        <v>0.95</v>
      </c>
      <c r="I14" s="778"/>
      <c r="J14" s="160">
        <f t="shared" si="6"/>
        <v>5384688.3697231831</v>
      </c>
      <c r="K14" s="726">
        <f t="shared" si="0"/>
        <v>234116.88564013838</v>
      </c>
      <c r="L14" s="727"/>
      <c r="M14" s="165">
        <f>SUM(J264:J293)</f>
        <v>5425075</v>
      </c>
      <c r="N14" s="728">
        <f t="shared" si="1"/>
        <v>40386.630276816897</v>
      </c>
      <c r="O14" s="729"/>
      <c r="P14" s="25">
        <f t="shared" si="2"/>
        <v>0.957125258906106</v>
      </c>
      <c r="R14" s="168"/>
      <c r="S14" s="169"/>
      <c r="T14" s="780">
        <v>0</v>
      </c>
      <c r="U14" s="780"/>
      <c r="V14" s="170">
        <f t="shared" si="7"/>
        <v>0</v>
      </c>
      <c r="Z14" s="145"/>
      <c r="AA14" s="145"/>
      <c r="AB14" s="1"/>
      <c r="AC14" s="4" t="str">
        <f t="shared" si="3"/>
        <v>¥308049</v>
      </c>
      <c r="AD14" s="164">
        <f t="shared" si="4"/>
        <v>7.9166635000000002E-4</v>
      </c>
      <c r="AE14" s="31">
        <v>8.3333299999999999E-2</v>
      </c>
      <c r="AF14" s="145"/>
      <c r="AG14" s="171"/>
      <c r="AH14" s="171"/>
    </row>
    <row r="15" spans="1:40" ht="20" hidden="1" customHeight="1" outlineLevel="1">
      <c r="A15" s="145"/>
      <c r="B15" s="152"/>
      <c r="C15" s="152"/>
      <c r="D15" s="153"/>
      <c r="E15" s="20" t="s">
        <v>38</v>
      </c>
      <c r="F15" s="21">
        <f>COUNTIF(D294:D324,1)</f>
        <v>26</v>
      </c>
      <c r="G15" s="22">
        <f t="shared" si="5"/>
        <v>6407409.501730104</v>
      </c>
      <c r="H15" s="777">
        <v>1.25</v>
      </c>
      <c r="I15" s="778"/>
      <c r="J15" s="160">
        <f t="shared" si="6"/>
        <v>8009261.8771626297</v>
      </c>
      <c r="K15" s="726">
        <f t="shared" si="0"/>
        <v>308048.53373702423</v>
      </c>
      <c r="L15" s="727"/>
      <c r="M15" s="165">
        <f>SUM(J294:J324)</f>
        <v>5555530</v>
      </c>
      <c r="N15" s="728">
        <f t="shared" si="1"/>
        <v>-2453731.8771626297</v>
      </c>
      <c r="O15" s="729"/>
      <c r="P15" s="25">
        <f t="shared" si="2"/>
        <v>0.86704775127918965</v>
      </c>
      <c r="R15" s="168"/>
      <c r="S15" s="169"/>
      <c r="T15" s="779">
        <v>0</v>
      </c>
      <c r="U15" s="779"/>
      <c r="V15" s="170">
        <f t="shared" si="7"/>
        <v>0</v>
      </c>
      <c r="Z15" s="145"/>
      <c r="AA15" s="145"/>
      <c r="AB15" s="1"/>
      <c r="AC15" s="4" t="str">
        <f t="shared" si="3"/>
        <v>¥258761</v>
      </c>
      <c r="AD15" s="164">
        <f t="shared" si="4"/>
        <v>1.04166625E-3</v>
      </c>
      <c r="AE15" s="31">
        <v>8.3333299999999999E-2</v>
      </c>
      <c r="AF15" s="145"/>
      <c r="AG15" s="171"/>
      <c r="AH15" s="171"/>
      <c r="AI15" s="171"/>
    </row>
    <row r="16" spans="1:40" ht="22" hidden="1" outlineLevel="1">
      <c r="A16" s="145"/>
      <c r="B16" s="152"/>
      <c r="C16" s="152"/>
      <c r="D16" s="153"/>
      <c r="E16" s="20" t="s">
        <v>39</v>
      </c>
      <c r="F16" s="21">
        <f>COUNTIF(D325:D354,1)</f>
        <v>24</v>
      </c>
      <c r="G16" s="22">
        <f t="shared" si="5"/>
        <v>5914531.8477508649</v>
      </c>
      <c r="H16" s="777">
        <v>1.05</v>
      </c>
      <c r="I16" s="778"/>
      <c r="J16" s="160">
        <f t="shared" si="6"/>
        <v>6210258.440138408</v>
      </c>
      <c r="K16" s="726">
        <f t="shared" si="0"/>
        <v>258760.76833910032</v>
      </c>
      <c r="L16" s="727"/>
      <c r="M16" s="165">
        <f>SUM(J325:J354)</f>
        <v>6112150</v>
      </c>
      <c r="N16" s="728">
        <f t="shared" si="1"/>
        <v>-98108.440138407983</v>
      </c>
      <c r="O16" s="729"/>
      <c r="P16" s="25">
        <f t="shared" si="2"/>
        <v>1.0334123067279253</v>
      </c>
      <c r="R16" s="168"/>
      <c r="S16" s="169"/>
      <c r="T16" s="779">
        <v>0</v>
      </c>
      <c r="U16" s="779"/>
      <c r="V16" s="170">
        <f t="shared" si="7"/>
        <v>0</v>
      </c>
      <c r="W16" s="145"/>
      <c r="X16" s="145"/>
      <c r="Y16" s="145"/>
      <c r="Z16" s="145"/>
      <c r="AA16" s="145"/>
      <c r="AB16" s="1"/>
      <c r="AC16" s="4" t="str">
        <f t="shared" si="3"/>
        <v>¥320370</v>
      </c>
      <c r="AD16" s="164">
        <f t="shared" si="4"/>
        <v>8.7499965000000001E-4</v>
      </c>
      <c r="AE16" s="31">
        <v>8.3333299999999999E-2</v>
      </c>
      <c r="AF16" s="145"/>
      <c r="AG16" s="171"/>
      <c r="AH16" s="171"/>
      <c r="AI16" s="171"/>
    </row>
    <row r="17" spans="1:40" ht="20" hidden="1" outlineLevel="1">
      <c r="A17" s="145"/>
      <c r="B17" s="152"/>
      <c r="C17" s="152"/>
      <c r="D17" s="153"/>
      <c r="E17" s="20" t="s">
        <v>40</v>
      </c>
      <c r="F17" s="21">
        <f>COUNTIF(D355:D385,1)</f>
        <v>24</v>
      </c>
      <c r="G17" s="22">
        <f t="shared" si="5"/>
        <v>5914531.8477508649</v>
      </c>
      <c r="H17" s="777">
        <v>1.3</v>
      </c>
      <c r="I17" s="778"/>
      <c r="J17" s="160">
        <f t="shared" si="6"/>
        <v>7688891.4020761242</v>
      </c>
      <c r="K17" s="726">
        <f t="shared" si="0"/>
        <v>320370.47508650518</v>
      </c>
      <c r="L17" s="727"/>
      <c r="M17" s="165">
        <f>SUM(J355:J385)</f>
        <v>7899450</v>
      </c>
      <c r="N17" s="728">
        <f t="shared" si="1"/>
        <v>210558.59792387579</v>
      </c>
      <c r="O17" s="729"/>
      <c r="P17" s="25">
        <f t="shared" si="2"/>
        <v>1.3356002137352503</v>
      </c>
      <c r="R17" s="145"/>
      <c r="S17" s="145"/>
      <c r="U17" s="152"/>
      <c r="V17" s="152"/>
      <c r="W17" s="145"/>
      <c r="X17" s="145"/>
      <c r="Y17" s="145"/>
      <c r="Z17" s="145"/>
      <c r="AA17" s="145"/>
      <c r="AB17" s="1"/>
      <c r="AC17" s="1"/>
      <c r="AD17" s="164">
        <f t="shared" si="4"/>
        <v>1.0833329000000001E-3</v>
      </c>
      <c r="AE17" s="31">
        <v>8.3333299999999999E-2</v>
      </c>
      <c r="AF17" s="145"/>
      <c r="AG17" s="171"/>
      <c r="AH17" s="171"/>
      <c r="AI17" s="171"/>
      <c r="AJ17" s="171"/>
      <c r="AK17" s="171"/>
      <c r="AL17" s="171"/>
      <c r="AM17" s="171"/>
      <c r="AN17" s="171"/>
    </row>
    <row r="18" spans="1:40" ht="15" customHeight="1" collapsed="1">
      <c r="A18" s="145"/>
      <c r="B18" s="152"/>
      <c r="C18" s="152"/>
      <c r="D18" s="153"/>
      <c r="E18" s="152"/>
      <c r="F18" s="172"/>
      <c r="G18" s="152"/>
      <c r="H18" s="152"/>
      <c r="I18" s="152"/>
      <c r="J18" s="152"/>
      <c r="K18" s="173"/>
      <c r="L18" s="152"/>
      <c r="M18" s="152"/>
      <c r="N18" s="152"/>
      <c r="O18" s="152"/>
      <c r="P18" s="152"/>
      <c r="Q18" s="152"/>
      <c r="R18" s="152"/>
      <c r="S18" s="152"/>
      <c r="T18" s="152"/>
      <c r="U18" s="152"/>
      <c r="V18" s="152"/>
      <c r="W18" s="145"/>
      <c r="X18" s="145"/>
      <c r="Y18" s="145"/>
      <c r="Z18" s="145"/>
      <c r="AA18" s="145"/>
      <c r="AB18" s="1"/>
      <c r="AC18" s="1"/>
      <c r="AD18" s="1"/>
      <c r="AE18" s="1"/>
      <c r="AF18" s="145"/>
      <c r="AG18" s="145"/>
      <c r="AH18" s="145"/>
      <c r="AI18" s="145"/>
      <c r="AJ18" s="145"/>
      <c r="AK18" s="145"/>
      <c r="AL18" s="145"/>
      <c r="AM18" s="145"/>
      <c r="AN18" s="145"/>
    </row>
    <row r="19" spans="1:40" ht="20">
      <c r="A19" s="145"/>
      <c r="B19" s="152"/>
      <c r="C19" s="174"/>
      <c r="D19" s="175"/>
      <c r="E19" s="176" t="s">
        <v>19</v>
      </c>
      <c r="F19" s="176" t="s">
        <v>41</v>
      </c>
      <c r="G19" s="177" t="s">
        <v>42</v>
      </c>
      <c r="H19" s="178" t="s">
        <v>109</v>
      </c>
      <c r="I19" s="179"/>
      <c r="J19" s="178" t="s">
        <v>44</v>
      </c>
      <c r="K19" s="180"/>
      <c r="L19" s="181" t="s">
        <v>110</v>
      </c>
      <c r="M19" s="182" t="s">
        <v>111</v>
      </c>
      <c r="N19" s="183" t="s">
        <v>46</v>
      </c>
      <c r="O19" s="184"/>
      <c r="P19" s="185" t="s">
        <v>47</v>
      </c>
      <c r="Q19" s="176" t="s">
        <v>48</v>
      </c>
      <c r="R19" s="178" t="s">
        <v>112</v>
      </c>
      <c r="S19" s="186" t="s">
        <v>27</v>
      </c>
      <c r="T19" s="179"/>
      <c r="U19" s="185" t="s">
        <v>51</v>
      </c>
      <c r="V19" s="176" t="s">
        <v>52</v>
      </c>
      <c r="W19" s="176" t="s">
        <v>113</v>
      </c>
      <c r="X19" s="174" t="s">
        <v>114</v>
      </c>
      <c r="Y19" s="145"/>
      <c r="Z19" s="145"/>
      <c r="AA19" s="145"/>
      <c r="AB19" s="145"/>
      <c r="AC19" s="548" t="s">
        <v>308</v>
      </c>
      <c r="AD19" s="548" t="s">
        <v>309</v>
      </c>
      <c r="AE19" s="548" t="s">
        <v>352</v>
      </c>
      <c r="AF19" s="549" t="s">
        <v>311</v>
      </c>
      <c r="AG19" s="565"/>
      <c r="AH19" s="565" t="s">
        <v>353</v>
      </c>
      <c r="AI19" s="813" t="s">
        <v>354</v>
      </c>
      <c r="AJ19" s="813"/>
      <c r="AK19" s="145"/>
      <c r="AL19" s="145"/>
      <c r="AM19" s="145"/>
      <c r="AN19" s="145"/>
    </row>
    <row r="20" spans="1:40" ht="20">
      <c r="A20" s="145"/>
      <c r="B20" s="152"/>
      <c r="C20" s="50">
        <v>1</v>
      </c>
      <c r="D20" s="51">
        <v>0</v>
      </c>
      <c r="E20" s="187" t="str">
        <f t="shared" ref="E20:E274" si="8">TEXT(AA20,"m")</f>
        <v>1</v>
      </c>
      <c r="F20" s="188">
        <f>B2</f>
        <v>45292</v>
      </c>
      <c r="G20" s="189" t="str">
        <f>TEXT(Z20,"ddd")</f>
        <v>Mon</v>
      </c>
      <c r="H20" s="190" t="s">
        <v>55</v>
      </c>
      <c r="I20" s="191"/>
      <c r="J20" s="192">
        <v>0</v>
      </c>
      <c r="K20" s="193"/>
      <c r="L20" s="59">
        <f t="shared" ref="L20:L50" si="9">IF(D20=0,0,$K$6)</f>
        <v>0</v>
      </c>
      <c r="M20" s="60">
        <f t="shared" ref="M20:M83" si="10">IF(D20=0,0,J20-L20)</f>
        <v>0</v>
      </c>
      <c r="N20" s="97" t="str">
        <f t="shared" ref="N20:N274" si="11">IFERROR(J20/L20,"0%")</f>
        <v>0%</v>
      </c>
      <c r="O20" s="194"/>
      <c r="P20" s="106">
        <f>IF(D20=0,0,$K$6)</f>
        <v>0</v>
      </c>
      <c r="Q20" s="59">
        <f>IF(D20=0,0,$J$20)</f>
        <v>0</v>
      </c>
      <c r="R20" s="63">
        <f t="shared" ref="R20:R83" si="12">IF(D20=0,0,Q20-P20)</f>
        <v>0</v>
      </c>
      <c r="S20" s="61" t="str">
        <f t="shared" ref="S20:S274" si="13">IFERROR(Q20/P20,"0%")</f>
        <v>0%</v>
      </c>
      <c r="T20" s="195"/>
      <c r="U20" s="59">
        <f>IF(D20=0,0,$L$20)</f>
        <v>0</v>
      </c>
      <c r="V20" s="59">
        <f>IF(D20=0,0,$J$20)</f>
        <v>0</v>
      </c>
      <c r="W20" s="63">
        <f t="shared" ref="W20:W83" si="14">IF(D20=0,0,V20-U20)</f>
        <v>0</v>
      </c>
      <c r="X20" s="61" t="str">
        <f t="shared" ref="X20:X274" si="15">IFERROR(V20/U20,"0%")</f>
        <v>0%</v>
      </c>
      <c r="Y20" s="145"/>
      <c r="Z20" s="196">
        <f>B2</f>
        <v>45292</v>
      </c>
      <c r="AA20" s="197">
        <f>B2</f>
        <v>45292</v>
      </c>
      <c r="AB20" s="566">
        <v>45292</v>
      </c>
      <c r="AC20" s="567">
        <v>1</v>
      </c>
      <c r="AD20" s="552" t="s">
        <v>355</v>
      </c>
      <c r="AE20" s="553">
        <f>IFERROR(AVERAGEIFS(J20:J50,D20:D50,1,G20:G50,"mon"),0)</f>
        <v>253025</v>
      </c>
      <c r="AF20" s="567">
        <f>COUNTIFS(D20:D50,1,G20:G50,"Mon")</f>
        <v>4</v>
      </c>
      <c r="AG20" s="553">
        <f>SUMIFS(J20:J50,D20:D50,1,G20:G50,"mon")</f>
        <v>1012100</v>
      </c>
      <c r="AH20" s="553">
        <f>AE20*AF20</f>
        <v>1012100</v>
      </c>
      <c r="AI20" s="568">
        <f>AH20/$M$6</f>
        <v>0.20313609536337496</v>
      </c>
      <c r="AJ20" s="814">
        <f>SUM(AI20:AI26)</f>
        <v>0.99999999999999989</v>
      </c>
      <c r="AK20" s="155"/>
      <c r="AL20" s="145"/>
      <c r="AM20" s="145"/>
      <c r="AN20" s="145"/>
    </row>
    <row r="21" spans="1:40" ht="20">
      <c r="A21" s="145"/>
      <c r="B21" s="152"/>
      <c r="C21" s="50">
        <f t="shared" ref="C21:C84" si="16">C20+1</f>
        <v>2</v>
      </c>
      <c r="D21" s="51">
        <v>0</v>
      </c>
      <c r="E21" s="187" t="str">
        <f t="shared" si="8"/>
        <v>1</v>
      </c>
      <c r="F21" s="188">
        <f t="shared" ref="F21:F84" si="17">F20+1</f>
        <v>45293</v>
      </c>
      <c r="G21" s="189" t="str">
        <f t="shared" ref="G21:G84" si="18">TEXT(Z21,"ddd")</f>
        <v>Tue</v>
      </c>
      <c r="H21" s="190" t="s">
        <v>56</v>
      </c>
      <c r="I21" s="191"/>
      <c r="J21" s="192">
        <v>0</v>
      </c>
      <c r="K21" s="193"/>
      <c r="L21" s="59">
        <f t="shared" si="9"/>
        <v>0</v>
      </c>
      <c r="M21" s="60">
        <f t="shared" si="10"/>
        <v>0</v>
      </c>
      <c r="N21" s="61" t="str">
        <f t="shared" si="11"/>
        <v>0%</v>
      </c>
      <c r="O21" s="194"/>
      <c r="P21" s="106">
        <f>IF(D21=0,0,SUM($L$20:L21))</f>
        <v>0</v>
      </c>
      <c r="Q21" s="59">
        <f>IF(D21=0,0,SUM($J$20:J21))</f>
        <v>0</v>
      </c>
      <c r="R21" s="63">
        <f t="shared" si="12"/>
        <v>0</v>
      </c>
      <c r="S21" s="61" t="str">
        <f t="shared" si="13"/>
        <v>0%</v>
      </c>
      <c r="T21" s="195"/>
      <c r="U21" s="59">
        <f>IF(D21=0,0,SUM($L$20:L21))</f>
        <v>0</v>
      </c>
      <c r="V21" s="59">
        <f>IF(D21=0,0,SUM($J$20:J21))</f>
        <v>0</v>
      </c>
      <c r="W21" s="63">
        <f t="shared" si="14"/>
        <v>0</v>
      </c>
      <c r="X21" s="61" t="str">
        <f t="shared" si="15"/>
        <v>0%</v>
      </c>
      <c r="Y21" s="145"/>
      <c r="Z21" s="196">
        <f t="shared" ref="Z21:AA36" si="19">Z20+1</f>
        <v>45293</v>
      </c>
      <c r="AA21" s="197">
        <f t="shared" si="19"/>
        <v>45293</v>
      </c>
      <c r="AB21" s="566">
        <v>45293</v>
      </c>
      <c r="AC21" s="567">
        <v>1</v>
      </c>
      <c r="AD21" s="552" t="s">
        <v>356</v>
      </c>
      <c r="AE21" s="553">
        <f>IFERROR(AVERAGEIFS(J20:J50,D20:D50,1,G20:G50,"tue"),0)</f>
        <v>214411</v>
      </c>
      <c r="AF21" s="567">
        <f>COUNTIFS(D20:D50,1,G20:G50,"Tue")</f>
        <v>4</v>
      </c>
      <c r="AG21" s="553"/>
      <c r="AH21" s="553">
        <f t="shared" ref="AH21:AH84" si="20">AE21*AF21</f>
        <v>857644</v>
      </c>
      <c r="AI21" s="568">
        <f t="shared" ref="AI21:AI26" si="21">AH21/$M$6</f>
        <v>0.17213561246104769</v>
      </c>
      <c r="AJ21" s="814"/>
      <c r="AK21" s="155"/>
      <c r="AL21" s="145"/>
      <c r="AM21" s="145"/>
      <c r="AN21" s="145"/>
    </row>
    <row r="22" spans="1:40" ht="20">
      <c r="A22" s="145"/>
      <c r="B22" s="152"/>
      <c r="C22" s="50">
        <f t="shared" si="16"/>
        <v>3</v>
      </c>
      <c r="D22" s="51">
        <v>0</v>
      </c>
      <c r="E22" s="187" t="str">
        <f t="shared" si="8"/>
        <v>1</v>
      </c>
      <c r="F22" s="188">
        <f t="shared" si="17"/>
        <v>45294</v>
      </c>
      <c r="G22" s="189" t="str">
        <f t="shared" si="18"/>
        <v>Wed</v>
      </c>
      <c r="H22" s="190" t="s">
        <v>56</v>
      </c>
      <c r="I22" s="191"/>
      <c r="J22" s="192">
        <v>0</v>
      </c>
      <c r="K22" s="193"/>
      <c r="L22" s="59">
        <f t="shared" si="9"/>
        <v>0</v>
      </c>
      <c r="M22" s="60">
        <f t="shared" si="10"/>
        <v>0</v>
      </c>
      <c r="N22" s="61" t="str">
        <f t="shared" si="11"/>
        <v>0%</v>
      </c>
      <c r="O22" s="194"/>
      <c r="P22" s="106">
        <f>IF(D22=0,0,SUM($L$20:L22))</f>
        <v>0</v>
      </c>
      <c r="Q22" s="59">
        <f>IF(D22=0,0,SUM($J$20:J22))</f>
        <v>0</v>
      </c>
      <c r="R22" s="63">
        <f t="shared" si="12"/>
        <v>0</v>
      </c>
      <c r="S22" s="61" t="str">
        <f t="shared" si="13"/>
        <v>0%</v>
      </c>
      <c r="T22" s="195"/>
      <c r="U22" s="59">
        <f>IF(D22=0,0,SUM($L$20:L22))</f>
        <v>0</v>
      </c>
      <c r="V22" s="59">
        <f>IF(D22=0,0,SUM($J$20:J22))</f>
        <v>0</v>
      </c>
      <c r="W22" s="63">
        <f t="shared" si="14"/>
        <v>0</v>
      </c>
      <c r="X22" s="61" t="str">
        <f t="shared" si="15"/>
        <v>0%</v>
      </c>
      <c r="Y22" s="145"/>
      <c r="Z22" s="196">
        <f t="shared" si="19"/>
        <v>45294</v>
      </c>
      <c r="AA22" s="197">
        <f t="shared" si="19"/>
        <v>45294</v>
      </c>
      <c r="AB22" s="566">
        <v>45294</v>
      </c>
      <c r="AC22" s="567">
        <v>1</v>
      </c>
      <c r="AD22" s="552" t="s">
        <v>357</v>
      </c>
      <c r="AE22" s="553">
        <f>IFERROR(AVERAGEIFS(J20:J50,D20:D50,1,G20:G50,"wed"),0)</f>
        <v>241500</v>
      </c>
      <c r="AF22" s="567">
        <f>COUNTIFS(D20:D50,1,G20:G50,"wed")</f>
        <v>4</v>
      </c>
      <c r="AG22" s="553"/>
      <c r="AH22" s="553">
        <f t="shared" si="20"/>
        <v>966000</v>
      </c>
      <c r="AI22" s="568">
        <f t="shared" si="21"/>
        <v>0.19388347803677525</v>
      </c>
      <c r="AJ22" s="814"/>
      <c r="AK22" s="155"/>
      <c r="AL22" s="145"/>
      <c r="AM22" s="145"/>
      <c r="AN22" s="145"/>
    </row>
    <row r="23" spans="1:40" ht="20">
      <c r="A23" s="145"/>
      <c r="B23" s="152"/>
      <c r="C23" s="50">
        <f t="shared" si="16"/>
        <v>4</v>
      </c>
      <c r="D23" s="51">
        <v>0</v>
      </c>
      <c r="E23" s="187" t="str">
        <f t="shared" si="8"/>
        <v>1</v>
      </c>
      <c r="F23" s="188">
        <f t="shared" si="17"/>
        <v>45295</v>
      </c>
      <c r="G23" s="189" t="str">
        <f t="shared" si="18"/>
        <v>Thu</v>
      </c>
      <c r="H23" s="190" t="s">
        <v>115</v>
      </c>
      <c r="I23" s="191"/>
      <c r="J23" s="192">
        <v>0</v>
      </c>
      <c r="K23" s="193"/>
      <c r="L23" s="59">
        <f t="shared" si="9"/>
        <v>0</v>
      </c>
      <c r="M23" s="60">
        <f t="shared" si="10"/>
        <v>0</v>
      </c>
      <c r="N23" s="61" t="str">
        <f t="shared" si="11"/>
        <v>0%</v>
      </c>
      <c r="O23" s="194"/>
      <c r="P23" s="106">
        <f>IF(D23=0,0,SUM($L$20:L23))</f>
        <v>0</v>
      </c>
      <c r="Q23" s="59">
        <f>IF(D23=0,0,SUM($J$20:J23))</f>
        <v>0</v>
      </c>
      <c r="R23" s="63">
        <f t="shared" si="12"/>
        <v>0</v>
      </c>
      <c r="S23" s="61" t="str">
        <f t="shared" si="13"/>
        <v>0%</v>
      </c>
      <c r="T23" s="199"/>
      <c r="U23" s="59">
        <f>IF(D23=0,0,SUM($L$20:L23))</f>
        <v>0</v>
      </c>
      <c r="V23" s="59">
        <f>IF(D23=0,0,SUM($J$20:J23))</f>
        <v>0</v>
      </c>
      <c r="W23" s="63">
        <f t="shared" si="14"/>
        <v>0</v>
      </c>
      <c r="X23" s="61" t="str">
        <f t="shared" si="15"/>
        <v>0%</v>
      </c>
      <c r="Y23" s="145"/>
      <c r="Z23" s="196">
        <f t="shared" si="19"/>
        <v>45295</v>
      </c>
      <c r="AA23" s="197">
        <f t="shared" si="19"/>
        <v>45295</v>
      </c>
      <c r="AB23" s="566">
        <v>45295</v>
      </c>
      <c r="AC23" s="567">
        <v>1</v>
      </c>
      <c r="AD23" s="552" t="s">
        <v>358</v>
      </c>
      <c r="AE23" s="553">
        <f>IFERROR(AVERAGEIFS(J20:J50,D20:D50,1,G20:G50,"thu"),0)</f>
        <v>223706.66666666666</v>
      </c>
      <c r="AF23" s="567">
        <f>COUNTIFS(D20:D50,1,G20:G50,"thu")</f>
        <v>3</v>
      </c>
      <c r="AG23" s="553"/>
      <c r="AH23" s="553">
        <f t="shared" si="20"/>
        <v>671120</v>
      </c>
      <c r="AI23" s="568">
        <f t="shared" si="21"/>
        <v>0.13469884035200891</v>
      </c>
      <c r="AJ23" s="814"/>
      <c r="AK23" s="155"/>
      <c r="AL23" s="145"/>
      <c r="AM23" s="145"/>
      <c r="AN23" s="145"/>
    </row>
    <row r="24" spans="1:40" ht="20">
      <c r="A24" s="145"/>
      <c r="B24" s="152"/>
      <c r="C24" s="50">
        <f t="shared" si="16"/>
        <v>5</v>
      </c>
      <c r="D24" s="51">
        <v>1</v>
      </c>
      <c r="E24" s="187" t="str">
        <f t="shared" si="8"/>
        <v>1</v>
      </c>
      <c r="F24" s="188">
        <f t="shared" si="17"/>
        <v>45296</v>
      </c>
      <c r="G24" s="189" t="str">
        <f t="shared" si="18"/>
        <v>Fri</v>
      </c>
      <c r="H24" s="190"/>
      <c r="I24" s="191"/>
      <c r="J24" s="192">
        <v>365950</v>
      </c>
      <c r="K24" s="193"/>
      <c r="L24" s="59">
        <f t="shared" si="9"/>
        <v>221794.9442906575</v>
      </c>
      <c r="M24" s="60">
        <f t="shared" si="10"/>
        <v>144155.0557093425</v>
      </c>
      <c r="N24" s="61">
        <f t="shared" si="11"/>
        <v>1.6499474375774337</v>
      </c>
      <c r="O24" s="194"/>
      <c r="P24" s="106">
        <f>IF(D24=0,0,SUM($L$20:L24))</f>
        <v>221794.9442906575</v>
      </c>
      <c r="Q24" s="59">
        <f>IF(D24=0,0,SUM($J$20:J24))</f>
        <v>365950</v>
      </c>
      <c r="R24" s="63">
        <f t="shared" si="12"/>
        <v>144155.0557093425</v>
      </c>
      <c r="S24" s="61">
        <f t="shared" si="13"/>
        <v>1.6499474375774337</v>
      </c>
      <c r="T24" s="195"/>
      <c r="U24" s="59">
        <f>IF(D24=0,0,SUM($L$20:L24))</f>
        <v>221794.9442906575</v>
      </c>
      <c r="V24" s="59">
        <f>IF(D24=0,0,SUM($J$20:J24))</f>
        <v>365950</v>
      </c>
      <c r="W24" s="63">
        <f t="shared" si="14"/>
        <v>144155.0557093425</v>
      </c>
      <c r="X24" s="61">
        <f t="shared" si="15"/>
        <v>1.6499474375774337</v>
      </c>
      <c r="Y24" s="145"/>
      <c r="Z24" s="196">
        <f t="shared" si="19"/>
        <v>45296</v>
      </c>
      <c r="AA24" s="197">
        <f t="shared" si="19"/>
        <v>45296</v>
      </c>
      <c r="AB24" s="566">
        <v>45296</v>
      </c>
      <c r="AC24" s="567">
        <v>1</v>
      </c>
      <c r="AD24" s="552" t="s">
        <v>359</v>
      </c>
      <c r="AE24" s="553">
        <f>IFERROR(AVERAGEIFS(J20:J50,D20:D50,1,G20:G50,"fri"),0)</f>
        <v>292927.5</v>
      </c>
      <c r="AF24" s="567">
        <f>COUNTIFS(D20:D50,1,G20:G50,"fri")</f>
        <v>4</v>
      </c>
      <c r="AG24" s="553"/>
      <c r="AH24" s="553">
        <f t="shared" si="20"/>
        <v>1171710</v>
      </c>
      <c r="AI24" s="568">
        <f t="shared" si="21"/>
        <v>0.23517102489696678</v>
      </c>
      <c r="AJ24" s="814"/>
      <c r="AK24" s="155"/>
      <c r="AL24" s="145"/>
      <c r="AM24" s="145"/>
      <c r="AN24" s="145"/>
    </row>
    <row r="25" spans="1:40" ht="20">
      <c r="A25" s="145"/>
      <c r="B25" s="152"/>
      <c r="C25" s="50">
        <f t="shared" si="16"/>
        <v>6</v>
      </c>
      <c r="D25" s="51">
        <v>0</v>
      </c>
      <c r="E25" s="187" t="str">
        <f t="shared" si="8"/>
        <v>1</v>
      </c>
      <c r="F25" s="188">
        <f t="shared" si="17"/>
        <v>45297</v>
      </c>
      <c r="G25" s="189" t="str">
        <f t="shared" si="18"/>
        <v>Sat</v>
      </c>
      <c r="H25" s="190"/>
      <c r="I25" s="191"/>
      <c r="J25" s="192">
        <v>0</v>
      </c>
      <c r="K25" s="193"/>
      <c r="L25" s="59">
        <f t="shared" si="9"/>
        <v>0</v>
      </c>
      <c r="M25" s="60">
        <f t="shared" si="10"/>
        <v>0</v>
      </c>
      <c r="N25" s="61" t="str">
        <f t="shared" si="11"/>
        <v>0%</v>
      </c>
      <c r="O25" s="194"/>
      <c r="P25" s="106">
        <f>IF(D25=0,0,SUM($L$20:L25))</f>
        <v>0</v>
      </c>
      <c r="Q25" s="59">
        <f>IF(D25=0,0,SUM($J$20:J25))</f>
        <v>0</v>
      </c>
      <c r="R25" s="63">
        <f t="shared" si="12"/>
        <v>0</v>
      </c>
      <c r="S25" s="61" t="str">
        <f t="shared" si="13"/>
        <v>0%</v>
      </c>
      <c r="T25" s="80"/>
      <c r="U25" s="59">
        <f>IF(D25=0,0,SUM($L$20:L25))</f>
        <v>0</v>
      </c>
      <c r="V25" s="59">
        <f>IF(D25=0,0,SUM($J$20:J25))</f>
        <v>0</v>
      </c>
      <c r="W25" s="63">
        <f t="shared" si="14"/>
        <v>0</v>
      </c>
      <c r="X25" s="61" t="str">
        <f t="shared" si="15"/>
        <v>0%</v>
      </c>
      <c r="Y25" s="145"/>
      <c r="Z25" s="196">
        <f t="shared" si="19"/>
        <v>45297</v>
      </c>
      <c r="AA25" s="197">
        <f t="shared" si="19"/>
        <v>45297</v>
      </c>
      <c r="AB25" s="566">
        <v>45297</v>
      </c>
      <c r="AC25" s="567">
        <v>1</v>
      </c>
      <c r="AD25" s="552" t="s">
        <v>360</v>
      </c>
      <c r="AE25" s="553">
        <f>IFERROR(AVERAGEIFS(J20:J50,D20:D50,1,G20:G50,"sat"),0)</f>
        <v>101266.66666666667</v>
      </c>
      <c r="AF25" s="567">
        <f>COUNTIFS(D20:D50,1,G20:G50,"sat")</f>
        <v>3</v>
      </c>
      <c r="AG25" s="553"/>
      <c r="AH25" s="553">
        <f t="shared" si="20"/>
        <v>303800</v>
      </c>
      <c r="AI25" s="568">
        <f t="shared" si="21"/>
        <v>6.0974948889826415E-2</v>
      </c>
      <c r="AJ25" s="814"/>
      <c r="AK25" s="155"/>
      <c r="AL25" s="145"/>
      <c r="AM25" s="145"/>
      <c r="AN25" s="145"/>
    </row>
    <row r="26" spans="1:40" ht="20">
      <c r="A26" s="145"/>
      <c r="B26" s="152"/>
      <c r="C26" s="50">
        <f t="shared" si="16"/>
        <v>7</v>
      </c>
      <c r="D26" s="51">
        <v>0</v>
      </c>
      <c r="E26" s="187" t="str">
        <f t="shared" si="8"/>
        <v>1</v>
      </c>
      <c r="F26" s="188">
        <f t="shared" si="17"/>
        <v>45298</v>
      </c>
      <c r="G26" s="189" t="str">
        <f t="shared" si="18"/>
        <v>Sun</v>
      </c>
      <c r="H26" s="190" t="s">
        <v>58</v>
      </c>
      <c r="I26" s="191"/>
      <c r="J26" s="192">
        <v>0</v>
      </c>
      <c r="K26" s="193"/>
      <c r="L26" s="59">
        <f t="shared" si="9"/>
        <v>0</v>
      </c>
      <c r="M26" s="60">
        <f t="shared" si="10"/>
        <v>0</v>
      </c>
      <c r="N26" s="61" t="str">
        <f t="shared" si="11"/>
        <v>0%</v>
      </c>
      <c r="O26" s="194"/>
      <c r="P26" s="106">
        <f>IF(D26=0,0,SUM($L$20:L26))</f>
        <v>0</v>
      </c>
      <c r="Q26" s="59">
        <f>IF(D26=0,0,SUM($J$20:J26))</f>
        <v>0</v>
      </c>
      <c r="R26" s="63">
        <f t="shared" si="12"/>
        <v>0</v>
      </c>
      <c r="S26" s="61" t="str">
        <f t="shared" si="13"/>
        <v>0%</v>
      </c>
      <c r="T26" s="80"/>
      <c r="U26" s="59">
        <f>IF(D26=0,0,SUM($L$20:L26))</f>
        <v>0</v>
      </c>
      <c r="V26" s="59">
        <f>IF(D26=0,0,SUM($J$20:J26))</f>
        <v>0</v>
      </c>
      <c r="W26" s="63">
        <f t="shared" si="14"/>
        <v>0</v>
      </c>
      <c r="X26" s="61" t="str">
        <f t="shared" si="15"/>
        <v>0%</v>
      </c>
      <c r="Y26" s="145"/>
      <c r="Z26" s="196">
        <f t="shared" si="19"/>
        <v>45298</v>
      </c>
      <c r="AA26" s="197">
        <f t="shared" si="19"/>
        <v>45298</v>
      </c>
      <c r="AB26" s="566">
        <v>45298</v>
      </c>
      <c r="AC26" s="567">
        <v>1</v>
      </c>
      <c r="AD26" s="552" t="s">
        <v>361</v>
      </c>
      <c r="AE26" s="553">
        <f>IFERROR(AVERAGEIFS(J20:J50,D20:D50,1,G20:G50,"sun"),0)</f>
        <v>0</v>
      </c>
      <c r="AF26" s="567">
        <f>IFERROR(COUNTIFS(D20:D50,1,G20:G50,"sun"),0)</f>
        <v>0</v>
      </c>
      <c r="AG26" s="553"/>
      <c r="AH26" s="553">
        <f t="shared" si="20"/>
        <v>0</v>
      </c>
      <c r="AI26" s="568">
        <f t="shared" si="21"/>
        <v>0</v>
      </c>
      <c r="AJ26" s="814"/>
      <c r="AL26" s="145"/>
      <c r="AM26" s="145"/>
      <c r="AN26" s="145"/>
    </row>
    <row r="27" spans="1:40" ht="20">
      <c r="A27" s="145"/>
      <c r="B27" s="152"/>
      <c r="C27" s="50">
        <f t="shared" si="16"/>
        <v>8</v>
      </c>
      <c r="D27" s="51">
        <v>1</v>
      </c>
      <c r="E27" s="187" t="str">
        <f t="shared" si="8"/>
        <v>1</v>
      </c>
      <c r="F27" s="188">
        <f t="shared" si="17"/>
        <v>45299</v>
      </c>
      <c r="G27" s="189" t="str">
        <f t="shared" si="18"/>
        <v>Mon</v>
      </c>
      <c r="H27" s="190"/>
      <c r="I27" s="200"/>
      <c r="J27" s="201">
        <v>250000</v>
      </c>
      <c r="K27" s="202"/>
      <c r="L27" s="59">
        <f t="shared" si="9"/>
        <v>221794.9442906575</v>
      </c>
      <c r="M27" s="60">
        <f t="shared" si="10"/>
        <v>28205.055709342501</v>
      </c>
      <c r="N27" s="61">
        <f t="shared" si="11"/>
        <v>1.1271672616323498</v>
      </c>
      <c r="O27" s="194"/>
      <c r="P27" s="106">
        <f>IF(D27=0,0,SUM($L$20:L27))</f>
        <v>443589.888581315</v>
      </c>
      <c r="Q27" s="59">
        <f>IF(D27=0,0,SUM($J$20:J27))</f>
        <v>615950</v>
      </c>
      <c r="R27" s="63">
        <f t="shared" si="12"/>
        <v>172360.111418685</v>
      </c>
      <c r="S27" s="61">
        <f t="shared" si="13"/>
        <v>1.3885573496048917</v>
      </c>
      <c r="T27" s="80"/>
      <c r="U27" s="59">
        <f>IF(D27=0,0,SUM($L$20:L27))</f>
        <v>443589.888581315</v>
      </c>
      <c r="V27" s="59">
        <f>IF(D27=0,0,SUM($J$20:J27))</f>
        <v>615950</v>
      </c>
      <c r="W27" s="63">
        <f t="shared" si="14"/>
        <v>172360.111418685</v>
      </c>
      <c r="X27" s="61">
        <f t="shared" si="15"/>
        <v>1.3885573496048917</v>
      </c>
      <c r="Y27" s="145"/>
      <c r="Z27" s="196">
        <f t="shared" si="19"/>
        <v>45299</v>
      </c>
      <c r="AA27" s="197">
        <f t="shared" si="19"/>
        <v>45299</v>
      </c>
      <c r="AB27" s="566">
        <v>45299</v>
      </c>
      <c r="AC27" s="567">
        <v>2</v>
      </c>
      <c r="AD27" s="552" t="s">
        <v>355</v>
      </c>
      <c r="AE27" s="553">
        <f>AVERAGEIFS(J51:J79,D51:D79,1,G51:G79,"mon")</f>
        <v>231250</v>
      </c>
      <c r="AF27" s="567">
        <f>COUNTIFS(D51:D79,1,G51:G79,"Mon")</f>
        <v>3</v>
      </c>
      <c r="AG27" s="553"/>
      <c r="AH27" s="553">
        <f t="shared" si="20"/>
        <v>693750</v>
      </c>
      <c r="AI27" s="568">
        <f>AH27/$M$7</f>
        <v>0.13869923607959486</v>
      </c>
      <c r="AJ27" s="814">
        <f>SUM(AI27:AI33)</f>
        <v>1</v>
      </c>
      <c r="AK27" s="569" t="s">
        <v>362</v>
      </c>
      <c r="AL27" s="145"/>
      <c r="AM27" s="145"/>
      <c r="AN27" s="145"/>
    </row>
    <row r="28" spans="1:40" ht="20">
      <c r="A28" s="145"/>
      <c r="B28" s="152"/>
      <c r="C28" s="50">
        <f t="shared" si="16"/>
        <v>9</v>
      </c>
      <c r="D28" s="51">
        <v>1</v>
      </c>
      <c r="E28" s="187" t="str">
        <f t="shared" si="8"/>
        <v>1</v>
      </c>
      <c r="F28" s="188">
        <f t="shared" si="17"/>
        <v>45300</v>
      </c>
      <c r="G28" s="189" t="str">
        <f t="shared" si="18"/>
        <v>Tue</v>
      </c>
      <c r="H28" s="190"/>
      <c r="I28" s="200"/>
      <c r="J28" s="201">
        <v>143850</v>
      </c>
      <c r="K28" s="202"/>
      <c r="L28" s="59">
        <f t="shared" si="9"/>
        <v>221794.9442906575</v>
      </c>
      <c r="M28" s="60">
        <f t="shared" si="10"/>
        <v>-77944.944290657499</v>
      </c>
      <c r="N28" s="61">
        <f t="shared" si="11"/>
        <v>0.64857204234325405</v>
      </c>
      <c r="O28" s="194"/>
      <c r="P28" s="106">
        <f>IF(D28=0,0,SUM($L$20:L28))</f>
        <v>665384.83287197247</v>
      </c>
      <c r="Q28" s="59">
        <f>IF(D28=0,0,SUM($J$20:J28))</f>
        <v>759800</v>
      </c>
      <c r="R28" s="63">
        <f t="shared" si="12"/>
        <v>94415.167128027533</v>
      </c>
      <c r="S28" s="61">
        <f t="shared" si="13"/>
        <v>1.1418955805176794</v>
      </c>
      <c r="T28" s="80"/>
      <c r="U28" s="59">
        <f>IF(D28=0,0,SUM($L$20:L28))</f>
        <v>665384.83287197247</v>
      </c>
      <c r="V28" s="59">
        <f>IF(D28=0,0,SUM($J$20:J28))</f>
        <v>759800</v>
      </c>
      <c r="W28" s="63">
        <f t="shared" si="14"/>
        <v>94415.167128027533</v>
      </c>
      <c r="X28" s="61">
        <f t="shared" si="15"/>
        <v>1.1418955805176794</v>
      </c>
      <c r="Y28" s="145"/>
      <c r="Z28" s="196">
        <f t="shared" si="19"/>
        <v>45300</v>
      </c>
      <c r="AA28" s="197">
        <f t="shared" si="19"/>
        <v>45300</v>
      </c>
      <c r="AB28" s="566">
        <v>45300</v>
      </c>
      <c r="AC28" s="567">
        <v>2</v>
      </c>
      <c r="AD28" s="552" t="s">
        <v>356</v>
      </c>
      <c r="AE28" s="553">
        <f>AVERAGEIFS(J51:J79,D51:D79,1,G51:G79,"tue")</f>
        <v>214245</v>
      </c>
      <c r="AF28" s="567">
        <f>COUNTIFS(D51:D79,1,G51:G79,"tue")</f>
        <v>4</v>
      </c>
      <c r="AG28" s="553"/>
      <c r="AH28" s="553">
        <f t="shared" si="20"/>
        <v>856980</v>
      </c>
      <c r="AI28" s="568">
        <f t="shared" ref="AI28:AI33" si="22">AH28/$M$7</f>
        <v>0.17133329201512246</v>
      </c>
      <c r="AJ28" s="814"/>
      <c r="AK28" s="569"/>
      <c r="AL28" s="145"/>
      <c r="AM28" s="145"/>
      <c r="AN28" s="145"/>
    </row>
    <row r="29" spans="1:40" ht="20">
      <c r="A29" s="145"/>
      <c r="B29" s="152"/>
      <c r="C29" s="50">
        <f t="shared" si="16"/>
        <v>10</v>
      </c>
      <c r="D29" s="51">
        <v>1</v>
      </c>
      <c r="E29" s="187" t="str">
        <f t="shared" si="8"/>
        <v>1</v>
      </c>
      <c r="F29" s="188">
        <f t="shared" si="17"/>
        <v>45301</v>
      </c>
      <c r="G29" s="189" t="str">
        <f t="shared" si="18"/>
        <v>Wed</v>
      </c>
      <c r="H29" s="190"/>
      <c r="I29" s="200"/>
      <c r="J29" s="201">
        <v>331400</v>
      </c>
      <c r="K29" s="202"/>
      <c r="L29" s="59">
        <f t="shared" si="9"/>
        <v>221794.9442906575</v>
      </c>
      <c r="M29" s="60">
        <f t="shared" si="10"/>
        <v>109605.0557093425</v>
      </c>
      <c r="N29" s="61">
        <f t="shared" si="11"/>
        <v>1.494172922019843</v>
      </c>
      <c r="O29" s="194"/>
      <c r="P29" s="106">
        <f>IF(D29=0,0,SUM($L$20:L29))</f>
        <v>887179.77716262999</v>
      </c>
      <c r="Q29" s="59">
        <f>IF(D29=0,0,SUM($J$20:J29))</f>
        <v>1091200</v>
      </c>
      <c r="R29" s="63">
        <f t="shared" si="12"/>
        <v>204020.22283737001</v>
      </c>
      <c r="S29" s="61">
        <f t="shared" si="13"/>
        <v>1.2299649158932202</v>
      </c>
      <c r="T29" s="80"/>
      <c r="U29" s="59">
        <f>IF(D29=0,0,SUM($L$20:L29))</f>
        <v>887179.77716262999</v>
      </c>
      <c r="V29" s="59">
        <f>IF(D29=0,0,SUM($J$20:J29))</f>
        <v>1091200</v>
      </c>
      <c r="W29" s="63">
        <f t="shared" si="14"/>
        <v>204020.22283737001</v>
      </c>
      <c r="X29" s="61">
        <f t="shared" si="15"/>
        <v>1.2299649158932202</v>
      </c>
      <c r="Y29" s="145"/>
      <c r="Z29" s="196">
        <f t="shared" si="19"/>
        <v>45301</v>
      </c>
      <c r="AA29" s="197">
        <f t="shared" si="19"/>
        <v>45301</v>
      </c>
      <c r="AB29" s="566">
        <v>45301</v>
      </c>
      <c r="AC29" s="567">
        <v>2</v>
      </c>
      <c r="AD29" s="552" t="s">
        <v>357</v>
      </c>
      <c r="AE29" s="553">
        <f>AVERAGEIFS(J51:J79,D51:D79,1,G51:G79,"wed")</f>
        <v>221717.5</v>
      </c>
      <c r="AF29" s="567">
        <f>COUNTIFS(D51:D79,1,G51:G79,"wed")</f>
        <v>4</v>
      </c>
      <c r="AG29" s="553"/>
      <c r="AH29" s="553">
        <f t="shared" si="20"/>
        <v>886870</v>
      </c>
      <c r="AI29" s="568">
        <f t="shared" si="22"/>
        <v>0.17730910486761844</v>
      </c>
      <c r="AJ29" s="814"/>
      <c r="AK29" s="569"/>
      <c r="AL29" s="145"/>
      <c r="AM29" s="145"/>
      <c r="AN29" s="145"/>
    </row>
    <row r="30" spans="1:40" ht="20">
      <c r="A30" s="145"/>
      <c r="B30" s="152"/>
      <c r="C30" s="50">
        <f t="shared" si="16"/>
        <v>11</v>
      </c>
      <c r="D30" s="51">
        <v>1</v>
      </c>
      <c r="E30" s="187" t="str">
        <f t="shared" si="8"/>
        <v>1</v>
      </c>
      <c r="F30" s="188">
        <f t="shared" si="17"/>
        <v>45302</v>
      </c>
      <c r="G30" s="189" t="str">
        <f t="shared" si="18"/>
        <v>Thu</v>
      </c>
      <c r="H30" s="190"/>
      <c r="I30" s="200"/>
      <c r="J30" s="201">
        <v>263220</v>
      </c>
      <c r="K30" s="202"/>
      <c r="L30" s="59">
        <f t="shared" si="9"/>
        <v>221794.9442906575</v>
      </c>
      <c r="M30" s="60">
        <f t="shared" si="10"/>
        <v>41425.055709342501</v>
      </c>
      <c r="N30" s="61">
        <f t="shared" si="11"/>
        <v>1.1867718664274685</v>
      </c>
      <c r="O30" s="194"/>
      <c r="P30" s="106">
        <f>IF(D30=0,0,SUM($L$20:L30))</f>
        <v>1108974.7214532874</v>
      </c>
      <c r="Q30" s="59">
        <f>IF(D30=0,0,SUM($J$20:J30))</f>
        <v>1354420</v>
      </c>
      <c r="R30" s="63">
        <f t="shared" si="12"/>
        <v>245445.27854671259</v>
      </c>
      <c r="S30" s="61">
        <f t="shared" si="13"/>
        <v>1.2213263060000699</v>
      </c>
      <c r="T30" s="80"/>
      <c r="U30" s="59">
        <f>IF(D30=0,0,SUM($L$20:L30))</f>
        <v>1108974.7214532874</v>
      </c>
      <c r="V30" s="59">
        <f>IF(D30=0,0,SUM($J$20:J30))</f>
        <v>1354420</v>
      </c>
      <c r="W30" s="63">
        <f t="shared" si="14"/>
        <v>245445.27854671259</v>
      </c>
      <c r="X30" s="61">
        <f t="shared" si="15"/>
        <v>1.2213263060000699</v>
      </c>
      <c r="Y30" s="145"/>
      <c r="Z30" s="196">
        <f t="shared" si="19"/>
        <v>45302</v>
      </c>
      <c r="AA30" s="197">
        <f t="shared" si="19"/>
        <v>45302</v>
      </c>
      <c r="AB30" s="566">
        <v>45302</v>
      </c>
      <c r="AC30" s="567">
        <v>2</v>
      </c>
      <c r="AD30" s="552" t="s">
        <v>358</v>
      </c>
      <c r="AE30" s="553">
        <f>AVERAGEIFS(J51:J79,D51:D79,1,G51:G79,"thu")</f>
        <v>233396</v>
      </c>
      <c r="AF30" s="567">
        <f>COUNTIFS(D51:D79,1,G51:G79,"thu")</f>
        <v>5</v>
      </c>
      <c r="AG30" s="553"/>
      <c r="AH30" s="553">
        <f t="shared" si="20"/>
        <v>1166980</v>
      </c>
      <c r="AI30" s="568">
        <f t="shared" si="22"/>
        <v>0.23331060831735584</v>
      </c>
      <c r="AJ30" s="814"/>
      <c r="AK30" s="569"/>
      <c r="AL30" s="145"/>
      <c r="AM30" s="145"/>
      <c r="AN30" s="145"/>
    </row>
    <row r="31" spans="1:40" ht="20">
      <c r="A31" s="145"/>
      <c r="B31" s="152"/>
      <c r="C31" s="50">
        <f t="shared" si="16"/>
        <v>12</v>
      </c>
      <c r="D31" s="51">
        <v>1</v>
      </c>
      <c r="E31" s="187" t="str">
        <f t="shared" si="8"/>
        <v>1</v>
      </c>
      <c r="F31" s="188">
        <f t="shared" si="17"/>
        <v>45303</v>
      </c>
      <c r="G31" s="189" t="str">
        <f t="shared" si="18"/>
        <v>Fri</v>
      </c>
      <c r="H31" s="190"/>
      <c r="I31" s="200"/>
      <c r="J31" s="201">
        <v>230860</v>
      </c>
      <c r="K31" s="202"/>
      <c r="L31" s="59">
        <f t="shared" si="9"/>
        <v>221794.9442906575</v>
      </c>
      <c r="M31" s="60">
        <f t="shared" si="10"/>
        <v>9065.0557093425014</v>
      </c>
      <c r="N31" s="61">
        <f t="shared" si="11"/>
        <v>1.0408713360817772</v>
      </c>
      <c r="O31" s="194"/>
      <c r="P31" s="106">
        <f>IF(D31=0,0,SUM($L$20:L31))</f>
        <v>1330769.6657439449</v>
      </c>
      <c r="Q31" s="59">
        <f>IF(D31=0,0,SUM($J$20:J31))</f>
        <v>1585280</v>
      </c>
      <c r="R31" s="63">
        <f t="shared" si="12"/>
        <v>254510.33425605507</v>
      </c>
      <c r="S31" s="61">
        <f t="shared" si="13"/>
        <v>1.1912504776803545</v>
      </c>
      <c r="T31" s="81"/>
      <c r="U31" s="59">
        <f>IF(D31=0,0,SUM($L$20:L31))</f>
        <v>1330769.6657439449</v>
      </c>
      <c r="V31" s="59">
        <f>IF(D31=0,0,SUM($J$20:J31))</f>
        <v>1585280</v>
      </c>
      <c r="W31" s="63">
        <f t="shared" si="14"/>
        <v>254510.33425605507</v>
      </c>
      <c r="X31" s="61">
        <f t="shared" si="15"/>
        <v>1.1912504776803545</v>
      </c>
      <c r="Y31" s="145"/>
      <c r="Z31" s="196">
        <f t="shared" si="19"/>
        <v>45303</v>
      </c>
      <c r="AA31" s="197">
        <f t="shared" si="19"/>
        <v>45303</v>
      </c>
      <c r="AB31" s="566">
        <v>45303</v>
      </c>
      <c r="AC31" s="567">
        <v>2</v>
      </c>
      <c r="AD31" s="552" t="s">
        <v>359</v>
      </c>
      <c r="AE31" s="553">
        <f>AVERAGEIFS(J51:J79,D51:D79,1,G51:G79,"fri")</f>
        <v>283893.33333333331</v>
      </c>
      <c r="AF31" s="567">
        <f>COUNTIFS(D51:D79,1,G51:G79,"fri")</f>
        <v>3</v>
      </c>
      <c r="AG31" s="553"/>
      <c r="AH31" s="553">
        <f t="shared" si="20"/>
        <v>851680</v>
      </c>
      <c r="AI31" s="568">
        <f t="shared" si="22"/>
        <v>0.17027367983318106</v>
      </c>
      <c r="AJ31" s="814"/>
      <c r="AK31" s="569"/>
      <c r="AL31" s="145"/>
      <c r="AM31" s="145"/>
      <c r="AN31" s="145"/>
    </row>
    <row r="32" spans="1:40" ht="20">
      <c r="A32" s="145"/>
      <c r="B32" s="152"/>
      <c r="C32" s="50">
        <f t="shared" si="16"/>
        <v>13</v>
      </c>
      <c r="D32" s="51">
        <v>1</v>
      </c>
      <c r="E32" s="187" t="str">
        <f t="shared" si="8"/>
        <v>1</v>
      </c>
      <c r="F32" s="188">
        <f t="shared" si="17"/>
        <v>45304</v>
      </c>
      <c r="G32" s="189" t="str">
        <f t="shared" si="18"/>
        <v>Sat</v>
      </c>
      <c r="H32" s="190"/>
      <c r="I32" s="200"/>
      <c r="J32" s="201">
        <v>50050</v>
      </c>
      <c r="K32" s="202"/>
      <c r="L32" s="59">
        <f t="shared" si="9"/>
        <v>221794.9442906575</v>
      </c>
      <c r="M32" s="60">
        <f t="shared" si="10"/>
        <v>-171744.9442906575</v>
      </c>
      <c r="N32" s="61">
        <f t="shared" si="11"/>
        <v>0.22565888577879645</v>
      </c>
      <c r="O32" s="194"/>
      <c r="P32" s="106">
        <f>IF(D32=0,0,SUM($L$20:L32))</f>
        <v>1552564.6100346025</v>
      </c>
      <c r="Q32" s="59">
        <f>IF(D32=0,0,SUM($J$20:J32))</f>
        <v>1635330</v>
      </c>
      <c r="R32" s="63">
        <f t="shared" si="12"/>
        <v>82765.389965397539</v>
      </c>
      <c r="S32" s="61">
        <f t="shared" si="13"/>
        <v>1.0533088216944175</v>
      </c>
      <c r="T32" s="81"/>
      <c r="U32" s="59">
        <f>IF(D32=0,0,SUM($L$20:L32))</f>
        <v>1552564.6100346025</v>
      </c>
      <c r="V32" s="59">
        <f>IF(D32=0,0,SUM($J$20:J32))</f>
        <v>1635330</v>
      </c>
      <c r="W32" s="63">
        <f t="shared" si="14"/>
        <v>82765.389965397539</v>
      </c>
      <c r="X32" s="61">
        <f t="shared" si="15"/>
        <v>1.0533088216944175</v>
      </c>
      <c r="Y32" s="145"/>
      <c r="Z32" s="196">
        <f t="shared" si="19"/>
        <v>45304</v>
      </c>
      <c r="AA32" s="197">
        <f t="shared" si="19"/>
        <v>45304</v>
      </c>
      <c r="AB32" s="566">
        <v>45304</v>
      </c>
      <c r="AC32" s="567">
        <v>2</v>
      </c>
      <c r="AD32" s="552" t="s">
        <v>360</v>
      </c>
      <c r="AE32" s="553">
        <f>AVERAGEIFS(J51:J79,D51:D79,1,G51:G79,"sat")</f>
        <v>136392.5</v>
      </c>
      <c r="AF32" s="567">
        <f>COUNTIFS(D51:D79,1,G51:G79,"sat")</f>
        <v>4</v>
      </c>
      <c r="AG32" s="553"/>
      <c r="AH32" s="553">
        <f t="shared" si="20"/>
        <v>545570</v>
      </c>
      <c r="AI32" s="568">
        <f t="shared" si="22"/>
        <v>0.10907407888712731</v>
      </c>
      <c r="AJ32" s="814"/>
      <c r="AK32" s="569"/>
      <c r="AL32" s="145"/>
      <c r="AM32" s="145"/>
      <c r="AN32" s="145"/>
    </row>
    <row r="33" spans="1:40" ht="20">
      <c r="A33" s="145"/>
      <c r="B33" s="152"/>
      <c r="C33" s="50">
        <f t="shared" si="16"/>
        <v>14</v>
      </c>
      <c r="D33" s="51">
        <v>0</v>
      </c>
      <c r="E33" s="187" t="str">
        <f t="shared" si="8"/>
        <v>1</v>
      </c>
      <c r="F33" s="188">
        <f t="shared" si="17"/>
        <v>45305</v>
      </c>
      <c r="G33" s="189" t="str">
        <f t="shared" si="18"/>
        <v>Sun</v>
      </c>
      <c r="H33" s="190"/>
      <c r="I33" s="191"/>
      <c r="J33" s="192">
        <v>0</v>
      </c>
      <c r="K33" s="193"/>
      <c r="L33" s="59">
        <f t="shared" si="9"/>
        <v>0</v>
      </c>
      <c r="M33" s="60">
        <f t="shared" si="10"/>
        <v>0</v>
      </c>
      <c r="N33" s="61" t="str">
        <f t="shared" si="11"/>
        <v>0%</v>
      </c>
      <c r="O33" s="194"/>
      <c r="P33" s="106">
        <f>IF(D33=0,0,SUM($L$20:L33))</f>
        <v>0</v>
      </c>
      <c r="Q33" s="59">
        <f>IF(D33=0,0,SUM($J$20:J33))</f>
        <v>0</v>
      </c>
      <c r="R33" s="63">
        <f t="shared" si="12"/>
        <v>0</v>
      </c>
      <c r="S33" s="61" t="str">
        <f t="shared" si="13"/>
        <v>0%</v>
      </c>
      <c r="T33" s="80"/>
      <c r="U33" s="59">
        <f>IF(D33=0,0,SUM($L$20:L33))</f>
        <v>0</v>
      </c>
      <c r="V33" s="59">
        <f>IF(D33=0,0,SUM($J$20:J33))</f>
        <v>0</v>
      </c>
      <c r="W33" s="63">
        <f t="shared" si="14"/>
        <v>0</v>
      </c>
      <c r="X33" s="61" t="str">
        <f t="shared" si="15"/>
        <v>0%</v>
      </c>
      <c r="Y33" s="145"/>
      <c r="Z33" s="196">
        <f t="shared" si="19"/>
        <v>45305</v>
      </c>
      <c r="AA33" s="197">
        <f t="shared" si="19"/>
        <v>45305</v>
      </c>
      <c r="AB33" s="566">
        <v>45305</v>
      </c>
      <c r="AC33" s="567">
        <v>2</v>
      </c>
      <c r="AD33" s="552" t="s">
        <v>361</v>
      </c>
      <c r="AE33" s="553">
        <f>IFERROR(AVERAGEIFS(J51:J79,D51:D79,1,G51:G79,"sun"),0)</f>
        <v>0</v>
      </c>
      <c r="AF33" s="567">
        <f>IFERROR(COUNTIFS(D51:D79,1,G51:G79,"sun"),0)</f>
        <v>0</v>
      </c>
      <c r="AG33" s="553"/>
      <c r="AH33" s="553">
        <f t="shared" si="20"/>
        <v>0</v>
      </c>
      <c r="AI33" s="568">
        <f t="shared" si="22"/>
        <v>0</v>
      </c>
      <c r="AJ33" s="814"/>
      <c r="AK33" s="569"/>
      <c r="AL33" s="145"/>
      <c r="AM33" s="145"/>
      <c r="AN33" s="145"/>
    </row>
    <row r="34" spans="1:40" ht="20">
      <c r="A34" s="145"/>
      <c r="B34" s="152"/>
      <c r="C34" s="50">
        <f t="shared" si="16"/>
        <v>15</v>
      </c>
      <c r="D34" s="51">
        <v>1</v>
      </c>
      <c r="E34" s="187" t="str">
        <f t="shared" si="8"/>
        <v>1</v>
      </c>
      <c r="F34" s="188">
        <f t="shared" si="17"/>
        <v>45306</v>
      </c>
      <c r="G34" s="189" t="str">
        <f t="shared" si="18"/>
        <v>Mon</v>
      </c>
      <c r="H34" s="190"/>
      <c r="I34" s="200"/>
      <c r="J34" s="201">
        <v>189100</v>
      </c>
      <c r="K34" s="202"/>
      <c r="L34" s="59">
        <f t="shared" si="9"/>
        <v>221794.9442906575</v>
      </c>
      <c r="M34" s="60">
        <f t="shared" si="10"/>
        <v>-32694.944290657499</v>
      </c>
      <c r="N34" s="61">
        <f t="shared" si="11"/>
        <v>0.85258931669870941</v>
      </c>
      <c r="O34" s="194"/>
      <c r="P34" s="106">
        <f>IF(D34=0,0,SUM($L$20:L34))</f>
        <v>1774359.55432526</v>
      </c>
      <c r="Q34" s="59">
        <f>IF(D34=0,0,SUM($J$20:J34))</f>
        <v>1824430</v>
      </c>
      <c r="R34" s="63">
        <f t="shared" si="12"/>
        <v>50070.445674740011</v>
      </c>
      <c r="S34" s="61">
        <f t="shared" si="13"/>
        <v>1.0282188835699539</v>
      </c>
      <c r="T34" s="80"/>
      <c r="U34" s="59">
        <f>IF(D34=0,0,SUM($L$20:L34))</f>
        <v>1774359.55432526</v>
      </c>
      <c r="V34" s="59">
        <f>IF(D34=0,0,SUM($J$20:J34))</f>
        <v>1824430</v>
      </c>
      <c r="W34" s="63">
        <f t="shared" si="14"/>
        <v>50070.445674740011</v>
      </c>
      <c r="X34" s="61">
        <f t="shared" si="15"/>
        <v>1.0282188835699539</v>
      </c>
      <c r="Y34" s="145"/>
      <c r="Z34" s="196">
        <f t="shared" si="19"/>
        <v>45306</v>
      </c>
      <c r="AA34" s="197">
        <f t="shared" si="19"/>
        <v>45306</v>
      </c>
      <c r="AB34" s="566">
        <v>45306</v>
      </c>
      <c r="AC34" s="567">
        <v>3</v>
      </c>
      <c r="AD34" s="552" t="s">
        <v>355</v>
      </c>
      <c r="AE34" s="553">
        <f>AVERAGEIFS(J80:J110,D80:D110,1,G80:G110,"mon")</f>
        <v>228962.5</v>
      </c>
      <c r="AF34" s="567">
        <f>COUNTIFS( D80:D110,1,G80:G110,"Mon")</f>
        <v>4</v>
      </c>
      <c r="AG34" s="553"/>
      <c r="AH34" s="553">
        <f t="shared" si="20"/>
        <v>915850</v>
      </c>
      <c r="AI34" s="568">
        <f>AH34/$M$8</f>
        <v>0.14175910378713583</v>
      </c>
      <c r="AJ34" s="814">
        <f>SUM(AI34:AI40)</f>
        <v>0.99999999999999989</v>
      </c>
      <c r="AK34" s="569" t="s">
        <v>332</v>
      </c>
      <c r="AL34" s="145"/>
      <c r="AM34" s="145"/>
      <c r="AN34" s="145"/>
    </row>
    <row r="35" spans="1:40" ht="20">
      <c r="A35" s="145"/>
      <c r="B35" s="152"/>
      <c r="C35" s="50">
        <f t="shared" si="16"/>
        <v>16</v>
      </c>
      <c r="D35" s="51">
        <v>1</v>
      </c>
      <c r="E35" s="187" t="str">
        <f t="shared" si="8"/>
        <v>1</v>
      </c>
      <c r="F35" s="188">
        <f t="shared" si="17"/>
        <v>45307</v>
      </c>
      <c r="G35" s="189" t="str">
        <f t="shared" si="18"/>
        <v>Tue</v>
      </c>
      <c r="H35" s="190"/>
      <c r="I35" s="200"/>
      <c r="J35" s="201">
        <v>212700</v>
      </c>
      <c r="K35" s="202"/>
      <c r="L35" s="59">
        <f t="shared" si="9"/>
        <v>221794.9442906575</v>
      </c>
      <c r="M35" s="60">
        <f t="shared" si="10"/>
        <v>-9094.9442906574986</v>
      </c>
      <c r="N35" s="61">
        <f t="shared" si="11"/>
        <v>0.95899390619680325</v>
      </c>
      <c r="O35" s="194"/>
      <c r="P35" s="106">
        <f>IF(D35=0,0,SUM($L$20:L35))</f>
        <v>1996154.4986159175</v>
      </c>
      <c r="Q35" s="59">
        <f>IF(D35=0,0,SUM($J$20:J35))</f>
        <v>2037130</v>
      </c>
      <c r="R35" s="63">
        <f t="shared" si="12"/>
        <v>40975.501384082483</v>
      </c>
      <c r="S35" s="61">
        <f t="shared" si="13"/>
        <v>1.0205272194173818</v>
      </c>
      <c r="T35" s="80"/>
      <c r="U35" s="59">
        <f>IF(D35=0,0,SUM($L$20:L35))</f>
        <v>1996154.4986159175</v>
      </c>
      <c r="V35" s="59">
        <f>IF(D35=0,0,SUM($J$20:J35))</f>
        <v>2037130</v>
      </c>
      <c r="W35" s="63">
        <f t="shared" si="14"/>
        <v>40975.501384082483</v>
      </c>
      <c r="X35" s="61">
        <f t="shared" si="15"/>
        <v>1.0205272194173818</v>
      </c>
      <c r="Y35" s="145"/>
      <c r="Z35" s="196">
        <f t="shared" si="19"/>
        <v>45307</v>
      </c>
      <c r="AA35" s="197">
        <f t="shared" si="19"/>
        <v>45307</v>
      </c>
      <c r="AB35" s="566">
        <v>45307</v>
      </c>
      <c r="AC35" s="567">
        <v>3</v>
      </c>
      <c r="AD35" s="552" t="s">
        <v>356</v>
      </c>
      <c r="AE35" s="553">
        <f>AVERAGEIFS(J80:J110,D80:D110,1,G80:G110,"tue")</f>
        <v>263967.5</v>
      </c>
      <c r="AF35" s="567">
        <f>COUNTIFS( D80:D110,1,G80:G110,"tue")</f>
        <v>4</v>
      </c>
      <c r="AG35" s="553"/>
      <c r="AH35" s="553">
        <f t="shared" si="20"/>
        <v>1055870</v>
      </c>
      <c r="AI35" s="568">
        <f t="shared" ref="AI35:AI40" si="23">AH35/$M$8</f>
        <v>0.16343198658702091</v>
      </c>
      <c r="AJ35" s="814"/>
      <c r="AK35" s="569"/>
      <c r="AL35" s="145"/>
      <c r="AM35" s="145"/>
      <c r="AN35" s="145"/>
    </row>
    <row r="36" spans="1:40" ht="20">
      <c r="A36" s="145"/>
      <c r="B36" s="152"/>
      <c r="C36" s="50">
        <f t="shared" si="16"/>
        <v>17</v>
      </c>
      <c r="D36" s="51">
        <v>1</v>
      </c>
      <c r="E36" s="187" t="str">
        <f t="shared" si="8"/>
        <v>1</v>
      </c>
      <c r="F36" s="188">
        <f t="shared" si="17"/>
        <v>45308</v>
      </c>
      <c r="G36" s="189" t="str">
        <f t="shared" si="18"/>
        <v>Wed</v>
      </c>
      <c r="H36" s="190"/>
      <c r="I36" s="200"/>
      <c r="J36" s="201">
        <v>172600</v>
      </c>
      <c r="K36" s="202"/>
      <c r="L36" s="59">
        <f t="shared" si="9"/>
        <v>221794.9442906575</v>
      </c>
      <c r="M36" s="60">
        <f t="shared" si="10"/>
        <v>-49194.944290657499</v>
      </c>
      <c r="N36" s="61">
        <f t="shared" si="11"/>
        <v>0.7781962774309743</v>
      </c>
      <c r="O36" s="194"/>
      <c r="P36" s="106">
        <f>IF(D36=0,0,SUM($L$20:L36))</f>
        <v>2217949.4429065748</v>
      </c>
      <c r="Q36" s="59">
        <f>IF(D36=0,0,SUM($J$20:J36))</f>
        <v>2209730</v>
      </c>
      <c r="R36" s="63">
        <f t="shared" si="12"/>
        <v>-8219.4429065748118</v>
      </c>
      <c r="S36" s="61">
        <f t="shared" si="13"/>
        <v>0.99629412521874106</v>
      </c>
      <c r="T36" s="80"/>
      <c r="U36" s="59">
        <f>IF(D36=0,0,SUM($L$20:L36))</f>
        <v>2217949.4429065748</v>
      </c>
      <c r="V36" s="59">
        <f>IF(D36=0,0,SUM($J$20:J36))</f>
        <v>2209730</v>
      </c>
      <c r="W36" s="63">
        <f t="shared" si="14"/>
        <v>-8219.4429065748118</v>
      </c>
      <c r="X36" s="61">
        <f t="shared" si="15"/>
        <v>0.99629412521874106</v>
      </c>
      <c r="Y36" s="145"/>
      <c r="Z36" s="196">
        <f t="shared" si="19"/>
        <v>45308</v>
      </c>
      <c r="AA36" s="197">
        <f t="shared" si="19"/>
        <v>45308</v>
      </c>
      <c r="AB36" s="566">
        <v>45308</v>
      </c>
      <c r="AC36" s="567">
        <v>3</v>
      </c>
      <c r="AD36" s="552" t="s">
        <v>357</v>
      </c>
      <c r="AE36" s="553">
        <f>AVERAGEIFS(J80:J110,D80:D110,1,G80:G110,"wed")</f>
        <v>293950</v>
      </c>
      <c r="AF36" s="567">
        <f>COUNTIFS( D80:D110,1,G80:G110,"wed")</f>
        <v>3</v>
      </c>
      <c r="AG36" s="553"/>
      <c r="AH36" s="553">
        <f t="shared" si="20"/>
        <v>881850</v>
      </c>
      <c r="AI36" s="568">
        <f t="shared" si="23"/>
        <v>0.13649644120181878</v>
      </c>
      <c r="AJ36" s="814"/>
      <c r="AK36" s="569"/>
      <c r="AL36" s="145"/>
      <c r="AM36" s="145"/>
      <c r="AN36" s="145"/>
    </row>
    <row r="37" spans="1:40" ht="20">
      <c r="A37" s="145"/>
      <c r="B37" s="152"/>
      <c r="C37" s="50">
        <f t="shared" si="16"/>
        <v>18</v>
      </c>
      <c r="D37" s="51">
        <v>1</v>
      </c>
      <c r="E37" s="187" t="str">
        <f t="shared" si="8"/>
        <v>1</v>
      </c>
      <c r="F37" s="188">
        <f t="shared" si="17"/>
        <v>45309</v>
      </c>
      <c r="G37" s="189" t="str">
        <f t="shared" si="18"/>
        <v>Thu</v>
      </c>
      <c r="H37" s="190"/>
      <c r="I37" s="200"/>
      <c r="J37" s="201">
        <v>155450</v>
      </c>
      <c r="K37" s="202"/>
      <c r="L37" s="59">
        <f t="shared" si="9"/>
        <v>221794.9442906575</v>
      </c>
      <c r="M37" s="60">
        <f t="shared" si="10"/>
        <v>-66344.944290657499</v>
      </c>
      <c r="N37" s="61">
        <f t="shared" si="11"/>
        <v>0.70087260328299517</v>
      </c>
      <c r="O37" s="194"/>
      <c r="P37" s="106">
        <f>IF(D37=0,0,SUM($L$20:L37))</f>
        <v>2439744.3871972323</v>
      </c>
      <c r="Q37" s="59">
        <f>IF(D37=0,0,SUM($J$20:J37))</f>
        <v>2365180</v>
      </c>
      <c r="R37" s="63">
        <f t="shared" si="12"/>
        <v>-74564.38719723234</v>
      </c>
      <c r="S37" s="61">
        <f t="shared" si="13"/>
        <v>0.96943762322458227</v>
      </c>
      <c r="T37" s="80"/>
      <c r="U37" s="59">
        <f>IF(D37=0,0,SUM($L$20:L37))</f>
        <v>2439744.3871972323</v>
      </c>
      <c r="V37" s="59">
        <f>IF(D37=0,0,SUM($J$20:J37))</f>
        <v>2365180</v>
      </c>
      <c r="W37" s="63">
        <f t="shared" si="14"/>
        <v>-74564.38719723234</v>
      </c>
      <c r="X37" s="61">
        <f t="shared" si="15"/>
        <v>0.96943762322458227</v>
      </c>
      <c r="Y37" s="145"/>
      <c r="Z37" s="196">
        <f t="shared" ref="Z37:AA52" si="24">Z36+1</f>
        <v>45309</v>
      </c>
      <c r="AA37" s="197">
        <f t="shared" si="24"/>
        <v>45309</v>
      </c>
      <c r="AB37" s="566">
        <v>45309</v>
      </c>
      <c r="AC37" s="567">
        <v>3</v>
      </c>
      <c r="AD37" s="552" t="s">
        <v>358</v>
      </c>
      <c r="AE37" s="553">
        <f>AVERAGEIFS(J80:J110,D80:D110,1,G80:G110,"thu")</f>
        <v>308607.5</v>
      </c>
      <c r="AF37" s="567">
        <f>COUNTIFS( D80:D110,1,G80:G110,"thu")</f>
        <v>4</v>
      </c>
      <c r="AG37" s="553"/>
      <c r="AH37" s="553">
        <f t="shared" si="20"/>
        <v>1234430</v>
      </c>
      <c r="AI37" s="568">
        <f t="shared" si="23"/>
        <v>0.19107025221155655</v>
      </c>
      <c r="AJ37" s="814"/>
      <c r="AK37" s="569"/>
      <c r="AL37" s="145"/>
      <c r="AM37" s="145"/>
      <c r="AN37" s="145"/>
    </row>
    <row r="38" spans="1:40" ht="20">
      <c r="A38" s="145"/>
      <c r="B38" s="152"/>
      <c r="C38" s="50">
        <f t="shared" si="16"/>
        <v>19</v>
      </c>
      <c r="D38" s="51">
        <v>1</v>
      </c>
      <c r="E38" s="187" t="str">
        <f t="shared" si="8"/>
        <v>1</v>
      </c>
      <c r="F38" s="188">
        <f t="shared" si="17"/>
        <v>45310</v>
      </c>
      <c r="G38" s="189" t="str">
        <f t="shared" si="18"/>
        <v>Fri</v>
      </c>
      <c r="H38" s="190"/>
      <c r="I38" s="200"/>
      <c r="J38" s="201">
        <v>286750</v>
      </c>
      <c r="K38" s="202"/>
      <c r="L38" s="59">
        <f t="shared" si="9"/>
        <v>221794.9442906575</v>
      </c>
      <c r="M38" s="60">
        <f t="shared" si="10"/>
        <v>64955.055709342501</v>
      </c>
      <c r="N38" s="61">
        <f t="shared" si="11"/>
        <v>1.2928608490923053</v>
      </c>
      <c r="O38" s="194"/>
      <c r="P38" s="106">
        <f>IF(D38=0,0,SUM($L$20:L38))</f>
        <v>2661539.3314878899</v>
      </c>
      <c r="Q38" s="59">
        <f>IF(D38=0,0,SUM($J$20:J38))</f>
        <v>2651930</v>
      </c>
      <c r="R38" s="63">
        <f t="shared" si="12"/>
        <v>-9609.3314878898673</v>
      </c>
      <c r="S38" s="61">
        <f t="shared" si="13"/>
        <v>0.99638955871355928</v>
      </c>
      <c r="T38" s="81"/>
      <c r="U38" s="59">
        <f>IF(D38=0,0,SUM($L$20:L38))</f>
        <v>2661539.3314878899</v>
      </c>
      <c r="V38" s="59">
        <f>IF(D38=0,0,SUM($J$20:J38))</f>
        <v>2651930</v>
      </c>
      <c r="W38" s="63">
        <f t="shared" si="14"/>
        <v>-9609.3314878898673</v>
      </c>
      <c r="X38" s="61">
        <f t="shared" si="15"/>
        <v>0.99638955871355928</v>
      </c>
      <c r="Y38" s="145"/>
      <c r="Z38" s="196">
        <f t="shared" si="24"/>
        <v>45310</v>
      </c>
      <c r="AA38" s="197">
        <f t="shared" si="24"/>
        <v>45310</v>
      </c>
      <c r="AB38" s="566">
        <v>45310</v>
      </c>
      <c r="AC38" s="567">
        <v>3</v>
      </c>
      <c r="AD38" s="552" t="s">
        <v>359</v>
      </c>
      <c r="AE38" s="553">
        <f>AVERAGEIFS(J80:J110,D80:D110,1,G80:G110,"fri")</f>
        <v>322626</v>
      </c>
      <c r="AF38" s="567">
        <f>COUNTIFS( D80:D110,1,G80:G110,"fri")</f>
        <v>5</v>
      </c>
      <c r="AG38" s="553"/>
      <c r="AH38" s="553">
        <f t="shared" si="20"/>
        <v>1613130</v>
      </c>
      <c r="AI38" s="568">
        <f t="shared" si="23"/>
        <v>0.24968702636036733</v>
      </c>
      <c r="AJ38" s="814"/>
      <c r="AK38" s="569"/>
      <c r="AL38" s="145"/>
      <c r="AM38" s="145"/>
      <c r="AN38" s="145"/>
    </row>
    <row r="39" spans="1:40" ht="20">
      <c r="A39" s="145"/>
      <c r="B39" s="152"/>
      <c r="C39" s="50">
        <f t="shared" si="16"/>
        <v>20</v>
      </c>
      <c r="D39" s="51">
        <v>1</v>
      </c>
      <c r="E39" s="187" t="str">
        <f t="shared" si="8"/>
        <v>1</v>
      </c>
      <c r="F39" s="188">
        <f t="shared" si="17"/>
        <v>45311</v>
      </c>
      <c r="G39" s="189" t="str">
        <f t="shared" si="18"/>
        <v>Sat</v>
      </c>
      <c r="H39" s="190"/>
      <c r="I39" s="200"/>
      <c r="J39" s="201">
        <v>139100</v>
      </c>
      <c r="K39" s="202"/>
      <c r="L39" s="59">
        <f t="shared" si="9"/>
        <v>221794.9442906575</v>
      </c>
      <c r="M39" s="60">
        <f t="shared" si="10"/>
        <v>-82694.944290657499</v>
      </c>
      <c r="N39" s="61">
        <f t="shared" si="11"/>
        <v>0.62715586437223947</v>
      </c>
      <c r="O39" s="194"/>
      <c r="P39" s="106">
        <f>IF(D39=0,0,SUM($L$20:L39))</f>
        <v>2883334.2757785474</v>
      </c>
      <c r="Q39" s="59">
        <f>IF(D39=0,0,SUM($J$20:J39))</f>
        <v>2791030</v>
      </c>
      <c r="R39" s="63">
        <f t="shared" si="12"/>
        <v>-92304.275778547395</v>
      </c>
      <c r="S39" s="61">
        <f t="shared" si="13"/>
        <v>0.96798696684115004</v>
      </c>
      <c r="T39" s="80"/>
      <c r="U39" s="59">
        <f>IF(D39=0,0,SUM($L$20:L39))</f>
        <v>2883334.2757785474</v>
      </c>
      <c r="V39" s="59">
        <f>IF(D39=0,0,SUM($J$20:J39))</f>
        <v>2791030</v>
      </c>
      <c r="W39" s="63">
        <f t="shared" si="14"/>
        <v>-92304.275778547395</v>
      </c>
      <c r="X39" s="61">
        <f t="shared" si="15"/>
        <v>0.96798696684115004</v>
      </c>
      <c r="Y39" s="145"/>
      <c r="Z39" s="196">
        <f t="shared" si="24"/>
        <v>45311</v>
      </c>
      <c r="AA39" s="197">
        <f t="shared" si="24"/>
        <v>45311</v>
      </c>
      <c r="AB39" s="566">
        <v>45311</v>
      </c>
      <c r="AC39" s="567">
        <v>3</v>
      </c>
      <c r="AD39" s="552" t="s">
        <v>360</v>
      </c>
      <c r="AE39" s="553">
        <f>AVERAGEIFS(J80:J110,D80:D110,1,G80:G110,"sat")</f>
        <v>151895.6</v>
      </c>
      <c r="AF39" s="567">
        <f>COUNTIFS( D80:D110,1,G80:G110,"sat")</f>
        <v>5</v>
      </c>
      <c r="AG39" s="553"/>
      <c r="AH39" s="553">
        <f t="shared" si="20"/>
        <v>759478</v>
      </c>
      <c r="AI39" s="568">
        <f t="shared" si="23"/>
        <v>0.1175551898521006</v>
      </c>
      <c r="AJ39" s="814"/>
      <c r="AK39" s="569"/>
      <c r="AL39" s="145"/>
      <c r="AM39" s="145"/>
      <c r="AN39" s="145"/>
    </row>
    <row r="40" spans="1:40" ht="20">
      <c r="A40" s="145"/>
      <c r="B40" s="152"/>
      <c r="C40" s="50">
        <f t="shared" si="16"/>
        <v>21</v>
      </c>
      <c r="D40" s="51">
        <v>0</v>
      </c>
      <c r="E40" s="187" t="str">
        <f t="shared" si="8"/>
        <v>1</v>
      </c>
      <c r="F40" s="188">
        <f t="shared" si="17"/>
        <v>45312</v>
      </c>
      <c r="G40" s="189" t="str">
        <f t="shared" si="18"/>
        <v>Sun</v>
      </c>
      <c r="H40" s="190" t="s">
        <v>58</v>
      </c>
      <c r="I40" s="191"/>
      <c r="J40" s="192">
        <v>0</v>
      </c>
      <c r="K40" s="193"/>
      <c r="L40" s="59">
        <f t="shared" si="9"/>
        <v>0</v>
      </c>
      <c r="M40" s="60">
        <f t="shared" si="10"/>
        <v>0</v>
      </c>
      <c r="N40" s="61" t="str">
        <f t="shared" si="11"/>
        <v>0%</v>
      </c>
      <c r="O40" s="194"/>
      <c r="P40" s="106">
        <f>IF(D40=0,0,SUM($L$20:L40))</f>
        <v>0</v>
      </c>
      <c r="Q40" s="59">
        <f>IF(D40=0,0,SUM($J$20:J40))</f>
        <v>0</v>
      </c>
      <c r="R40" s="63">
        <f t="shared" si="12"/>
        <v>0</v>
      </c>
      <c r="S40" s="61" t="str">
        <f t="shared" si="13"/>
        <v>0%</v>
      </c>
      <c r="T40" s="80"/>
      <c r="U40" s="59">
        <f>IF(D40=0,0,SUM($L$20:L40))</f>
        <v>0</v>
      </c>
      <c r="V40" s="59">
        <f>IF(D40=0,0,SUM($J$20:J40))</f>
        <v>0</v>
      </c>
      <c r="W40" s="63">
        <f t="shared" si="14"/>
        <v>0</v>
      </c>
      <c r="X40" s="61" t="str">
        <f t="shared" si="15"/>
        <v>0%</v>
      </c>
      <c r="Y40" s="145"/>
      <c r="Z40" s="196">
        <f t="shared" si="24"/>
        <v>45312</v>
      </c>
      <c r="AA40" s="197">
        <f t="shared" si="24"/>
        <v>45312</v>
      </c>
      <c r="AB40" s="566">
        <v>45312</v>
      </c>
      <c r="AC40" s="567">
        <v>3</v>
      </c>
      <c r="AD40" s="552" t="s">
        <v>361</v>
      </c>
      <c r="AE40" s="553">
        <f>IFERROR(AVERAGEIFS(J80:J110,D80:D110,3,G80:G110,"sun"),0)</f>
        <v>0</v>
      </c>
      <c r="AF40" s="567">
        <f>IFERROR(COUNTIFS( D80:D110,1,G80:G110,"sun"),0)</f>
        <v>0</v>
      </c>
      <c r="AG40" s="553"/>
      <c r="AH40" s="553">
        <f t="shared" si="20"/>
        <v>0</v>
      </c>
      <c r="AI40" s="568">
        <f t="shared" si="23"/>
        <v>0</v>
      </c>
      <c r="AJ40" s="814"/>
      <c r="AK40" s="569"/>
      <c r="AL40" s="145"/>
      <c r="AM40" s="145"/>
      <c r="AN40" s="145"/>
    </row>
    <row r="41" spans="1:40" ht="20">
      <c r="A41" s="145"/>
      <c r="B41" s="152"/>
      <c r="C41" s="50">
        <f t="shared" si="16"/>
        <v>22</v>
      </c>
      <c r="D41" s="51">
        <v>1</v>
      </c>
      <c r="E41" s="187" t="str">
        <f t="shared" si="8"/>
        <v>1</v>
      </c>
      <c r="F41" s="188">
        <f t="shared" si="17"/>
        <v>45313</v>
      </c>
      <c r="G41" s="189" t="str">
        <f t="shared" si="18"/>
        <v>Mon</v>
      </c>
      <c r="H41" s="190"/>
      <c r="I41" s="200"/>
      <c r="J41" s="201">
        <v>250550</v>
      </c>
      <c r="K41" s="202"/>
      <c r="L41" s="59">
        <f t="shared" si="9"/>
        <v>221794.9442906575</v>
      </c>
      <c r="M41" s="60">
        <f t="shared" si="10"/>
        <v>28755.055709342501</v>
      </c>
      <c r="N41" s="61">
        <f t="shared" si="11"/>
        <v>1.1296470296079411</v>
      </c>
      <c r="O41" s="194"/>
      <c r="P41" s="106">
        <f>IF(D41=0,0,SUM($L$20:L41))</f>
        <v>3105129.2200692049</v>
      </c>
      <c r="Q41" s="59">
        <f>IF(D41=0,0,SUM($J$20:J41))</f>
        <v>3041580</v>
      </c>
      <c r="R41" s="63">
        <f t="shared" si="12"/>
        <v>-63549.220069204923</v>
      </c>
      <c r="S41" s="61">
        <f t="shared" si="13"/>
        <v>0.97953411418163505</v>
      </c>
      <c r="T41" s="80"/>
      <c r="U41" s="59">
        <f>IF(D41=0,0,SUM($L$20:L41))</f>
        <v>3105129.2200692049</v>
      </c>
      <c r="V41" s="59">
        <f>IF(D41=0,0,SUM($J$20:J41))</f>
        <v>3041580</v>
      </c>
      <c r="W41" s="63">
        <f t="shared" si="14"/>
        <v>-63549.220069204923</v>
      </c>
      <c r="X41" s="61">
        <f t="shared" si="15"/>
        <v>0.97953411418163505</v>
      </c>
      <c r="Y41" s="145"/>
      <c r="Z41" s="196">
        <f t="shared" si="24"/>
        <v>45313</v>
      </c>
      <c r="AA41" s="197">
        <f t="shared" si="24"/>
        <v>45313</v>
      </c>
      <c r="AB41" s="566">
        <v>45313</v>
      </c>
      <c r="AC41" s="567">
        <v>4</v>
      </c>
      <c r="AD41" s="552" t="s">
        <v>355</v>
      </c>
      <c r="AE41" s="553">
        <f>AVERAGEIFS(J111:J140,D111:D140,1,G111:G140,"mon")</f>
        <v>228365</v>
      </c>
      <c r="AF41" s="567">
        <f>COUNTIFS(D111:D140,1,G111:G140,"Mon")</f>
        <v>4</v>
      </c>
      <c r="AG41" s="553"/>
      <c r="AH41" s="553">
        <f t="shared" si="20"/>
        <v>913460</v>
      </c>
      <c r="AI41" s="568">
        <f>AH41/$M$9</f>
        <v>0.13681397741414603</v>
      </c>
      <c r="AJ41" s="814">
        <f>SUM(AI41:AI47)</f>
        <v>1</v>
      </c>
      <c r="AK41" s="569" t="s">
        <v>334</v>
      </c>
      <c r="AL41" s="145"/>
      <c r="AM41" s="145"/>
      <c r="AN41" s="145"/>
    </row>
    <row r="42" spans="1:40" ht="20">
      <c r="A42" s="145"/>
      <c r="B42" s="152"/>
      <c r="C42" s="50">
        <f t="shared" si="16"/>
        <v>23</v>
      </c>
      <c r="D42" s="51">
        <v>1</v>
      </c>
      <c r="E42" s="187" t="str">
        <f t="shared" si="8"/>
        <v>1</v>
      </c>
      <c r="F42" s="188">
        <f t="shared" si="17"/>
        <v>45314</v>
      </c>
      <c r="G42" s="189" t="str">
        <f t="shared" si="18"/>
        <v>Tue</v>
      </c>
      <c r="H42" s="190"/>
      <c r="I42" s="200"/>
      <c r="J42" s="201">
        <v>312544</v>
      </c>
      <c r="K42" s="202"/>
      <c r="L42" s="59">
        <f t="shared" si="9"/>
        <v>221794.9442906575</v>
      </c>
      <c r="M42" s="60">
        <f t="shared" si="10"/>
        <v>90749.055709342501</v>
      </c>
      <c r="N42" s="61">
        <f t="shared" si="11"/>
        <v>1.4091574584784845</v>
      </c>
      <c r="O42" s="194"/>
      <c r="P42" s="106">
        <f>IF(D42=0,0,SUM($L$20:L42))</f>
        <v>3326924.1643598625</v>
      </c>
      <c r="Q42" s="59">
        <f>IF(D42=0,0,SUM($J$20:J42))</f>
        <v>3354124</v>
      </c>
      <c r="R42" s="63">
        <f t="shared" si="12"/>
        <v>27199.835640137549</v>
      </c>
      <c r="S42" s="61">
        <f t="shared" si="13"/>
        <v>1.0081756704680918</v>
      </c>
      <c r="T42" s="80"/>
      <c r="U42" s="59">
        <f>IF(D42=0,0,SUM($L$20:L42))</f>
        <v>3326924.1643598625</v>
      </c>
      <c r="V42" s="59">
        <f>IF(D42=0,0,SUM($J$20:J42))</f>
        <v>3354124</v>
      </c>
      <c r="W42" s="63">
        <f t="shared" si="14"/>
        <v>27199.835640137549</v>
      </c>
      <c r="X42" s="61">
        <f t="shared" si="15"/>
        <v>1.0081756704680918</v>
      </c>
      <c r="Y42" s="145"/>
      <c r="Z42" s="196">
        <f t="shared" si="24"/>
        <v>45314</v>
      </c>
      <c r="AA42" s="197">
        <f t="shared" si="24"/>
        <v>45314</v>
      </c>
      <c r="AB42" s="566">
        <v>45314</v>
      </c>
      <c r="AC42" s="567">
        <v>4</v>
      </c>
      <c r="AD42" s="552" t="s">
        <v>356</v>
      </c>
      <c r="AE42" s="553">
        <f>AVERAGEIFS(J111:J140,D111:D140,1,G111:G140,"tue")</f>
        <v>269807.40000000002</v>
      </c>
      <c r="AF42" s="567">
        <f>COUNTIFS(D111:D140,1,G111:G140,"tue")</f>
        <v>5</v>
      </c>
      <c r="AG42" s="553"/>
      <c r="AH42" s="553">
        <f t="shared" si="20"/>
        <v>1349037</v>
      </c>
      <c r="AI42" s="568">
        <f t="shared" ref="AI42:AI47" si="25">AH42/$M$9</f>
        <v>0.2020527638307614</v>
      </c>
      <c r="AJ42" s="814"/>
      <c r="AK42" s="569"/>
      <c r="AL42" s="145"/>
      <c r="AM42" s="145"/>
      <c r="AN42" s="145"/>
    </row>
    <row r="43" spans="1:40" ht="20">
      <c r="A43" s="145"/>
      <c r="B43" s="152"/>
      <c r="C43" s="50">
        <f t="shared" si="16"/>
        <v>24</v>
      </c>
      <c r="D43" s="51">
        <v>1</v>
      </c>
      <c r="E43" s="187" t="str">
        <f t="shared" si="8"/>
        <v>1</v>
      </c>
      <c r="F43" s="188">
        <f t="shared" si="17"/>
        <v>45315</v>
      </c>
      <c r="G43" s="189" t="str">
        <f t="shared" si="18"/>
        <v>Wed</v>
      </c>
      <c r="H43" s="190"/>
      <c r="I43" s="200"/>
      <c r="J43" s="201">
        <v>255500</v>
      </c>
      <c r="K43" s="202"/>
      <c r="L43" s="59">
        <f t="shared" si="9"/>
        <v>221794.9442906575</v>
      </c>
      <c r="M43" s="60">
        <f t="shared" si="10"/>
        <v>33705.055709342501</v>
      </c>
      <c r="N43" s="61">
        <f t="shared" si="11"/>
        <v>1.1519649413882616</v>
      </c>
      <c r="O43" s="194"/>
      <c r="P43" s="106">
        <f>IF(D43=0,0,SUM($L$20:L43))</f>
        <v>3548719.10865052</v>
      </c>
      <c r="Q43" s="59">
        <f>IF(D43=0,0,SUM($J$20:J43))</f>
        <v>3609624</v>
      </c>
      <c r="R43" s="63">
        <f t="shared" si="12"/>
        <v>60904.891349480022</v>
      </c>
      <c r="S43" s="61">
        <f t="shared" si="13"/>
        <v>1.0171624999006024</v>
      </c>
      <c r="T43" s="80"/>
      <c r="U43" s="59">
        <f>IF(D43=0,0,SUM($L$20:L43))</f>
        <v>3548719.10865052</v>
      </c>
      <c r="V43" s="59">
        <f>IF(D43=0,0,SUM($J$20:J43))</f>
        <v>3609624</v>
      </c>
      <c r="W43" s="63">
        <f t="shared" si="14"/>
        <v>60904.891349480022</v>
      </c>
      <c r="X43" s="61">
        <f t="shared" si="15"/>
        <v>1.0171624999006024</v>
      </c>
      <c r="Y43" s="145"/>
      <c r="Z43" s="196">
        <f t="shared" si="24"/>
        <v>45315</v>
      </c>
      <c r="AA43" s="197">
        <f t="shared" si="24"/>
        <v>45315</v>
      </c>
      <c r="AB43" s="566">
        <v>45315</v>
      </c>
      <c r="AC43" s="567">
        <v>4</v>
      </c>
      <c r="AD43" s="552" t="s">
        <v>357</v>
      </c>
      <c r="AE43" s="553">
        <f>AVERAGEIFS(J111:J140,D111:D140,1,G111:G140,"wed")</f>
        <v>292710</v>
      </c>
      <c r="AF43" s="567">
        <f>COUNTIFS(D111:D140,1,G111:G140,"wed")</f>
        <v>4</v>
      </c>
      <c r="AG43" s="553"/>
      <c r="AH43" s="553">
        <f t="shared" si="20"/>
        <v>1170840</v>
      </c>
      <c r="AI43" s="568">
        <f t="shared" si="25"/>
        <v>0.17536320946246003</v>
      </c>
      <c r="AJ43" s="814"/>
      <c r="AK43" s="569"/>
      <c r="AL43" s="145"/>
      <c r="AM43" s="145"/>
      <c r="AN43" s="145"/>
    </row>
    <row r="44" spans="1:40" ht="20">
      <c r="A44" s="145"/>
      <c r="B44" s="152"/>
      <c r="C44" s="50">
        <f t="shared" si="16"/>
        <v>25</v>
      </c>
      <c r="D44" s="51">
        <v>1</v>
      </c>
      <c r="E44" s="187" t="str">
        <f t="shared" si="8"/>
        <v>1</v>
      </c>
      <c r="F44" s="188">
        <f t="shared" si="17"/>
        <v>45316</v>
      </c>
      <c r="G44" s="189" t="str">
        <f t="shared" si="18"/>
        <v>Thu</v>
      </c>
      <c r="H44" s="190"/>
      <c r="I44" s="200"/>
      <c r="J44" s="201">
        <v>252450</v>
      </c>
      <c r="K44" s="202"/>
      <c r="L44" s="59">
        <f t="shared" si="9"/>
        <v>221794.9442906575</v>
      </c>
      <c r="M44" s="60">
        <f t="shared" si="10"/>
        <v>30655.055709342501</v>
      </c>
      <c r="N44" s="61">
        <f t="shared" si="11"/>
        <v>1.138213500796347</v>
      </c>
      <c r="O44" s="194"/>
      <c r="P44" s="106">
        <f>IF(D44=0,0,SUM($L$20:L44))</f>
        <v>3770514.0529411775</v>
      </c>
      <c r="Q44" s="59">
        <f>IF(D44=0,0,SUM($J$20:J44))</f>
        <v>3862074</v>
      </c>
      <c r="R44" s="63">
        <f t="shared" si="12"/>
        <v>91559.947058822494</v>
      </c>
      <c r="S44" s="61">
        <f t="shared" si="13"/>
        <v>1.0242831470121168</v>
      </c>
      <c r="T44" s="80"/>
      <c r="U44" s="59">
        <f>IF(D44=0,0,SUM($L$20:L44))</f>
        <v>3770514.0529411775</v>
      </c>
      <c r="V44" s="59">
        <f>IF(D44=0,0,SUM($J$20:J44))</f>
        <v>3862074</v>
      </c>
      <c r="W44" s="63">
        <f t="shared" si="14"/>
        <v>91559.947058822494</v>
      </c>
      <c r="X44" s="61">
        <f t="shared" si="15"/>
        <v>1.0242831470121168</v>
      </c>
      <c r="Y44" s="145"/>
      <c r="Z44" s="196">
        <f t="shared" si="24"/>
        <v>45316</v>
      </c>
      <c r="AA44" s="197">
        <f t="shared" si="24"/>
        <v>45316</v>
      </c>
      <c r="AB44" s="566">
        <v>45316</v>
      </c>
      <c r="AC44" s="567">
        <v>4</v>
      </c>
      <c r="AD44" s="552" t="s">
        <v>358</v>
      </c>
      <c r="AE44" s="553">
        <f>AVERAGEIFS(J111:J140,D111:D140,1,G111:G140,"thu")</f>
        <v>278042.5</v>
      </c>
      <c r="AF44" s="567">
        <f>COUNTIFS(D111:D140,1,G111:G140,"thu")</f>
        <v>4</v>
      </c>
      <c r="AG44" s="553"/>
      <c r="AH44" s="553">
        <f t="shared" si="20"/>
        <v>1112170</v>
      </c>
      <c r="AI44" s="568">
        <f t="shared" si="25"/>
        <v>0.16657587771844504</v>
      </c>
      <c r="AJ44" s="814"/>
      <c r="AK44" s="569"/>
      <c r="AL44" s="145"/>
      <c r="AM44" s="145"/>
      <c r="AN44" s="145"/>
    </row>
    <row r="45" spans="1:40" ht="20">
      <c r="A45" s="145"/>
      <c r="B45" s="152"/>
      <c r="C45" s="50">
        <f t="shared" si="16"/>
        <v>26</v>
      </c>
      <c r="D45" s="51">
        <v>1</v>
      </c>
      <c r="E45" s="187" t="str">
        <f t="shared" si="8"/>
        <v>1</v>
      </c>
      <c r="F45" s="188">
        <f t="shared" si="17"/>
        <v>45317</v>
      </c>
      <c r="G45" s="189" t="str">
        <f t="shared" si="18"/>
        <v>Fri</v>
      </c>
      <c r="H45" s="190"/>
      <c r="I45" s="200"/>
      <c r="J45" s="201">
        <v>288150</v>
      </c>
      <c r="K45" s="202"/>
      <c r="L45" s="59">
        <f t="shared" si="9"/>
        <v>221794.9442906575</v>
      </c>
      <c r="M45" s="60">
        <f t="shared" si="10"/>
        <v>66355.055709342501</v>
      </c>
      <c r="N45" s="61">
        <f t="shared" si="11"/>
        <v>1.2991729857574463</v>
      </c>
      <c r="O45" s="194"/>
      <c r="P45" s="106">
        <f>IF(D45=0,0,SUM($L$20:L45))</f>
        <v>3992308.997231835</v>
      </c>
      <c r="Q45" s="59">
        <f>IF(D45=0,0,SUM($J$20:J45))</f>
        <v>4150224</v>
      </c>
      <c r="R45" s="63">
        <f t="shared" si="12"/>
        <v>157915.00276816497</v>
      </c>
      <c r="S45" s="61">
        <f t="shared" si="13"/>
        <v>1.0395548047201906</v>
      </c>
      <c r="T45" s="81"/>
      <c r="U45" s="59">
        <f>IF(D45=0,0,SUM($L$20:L45))</f>
        <v>3992308.997231835</v>
      </c>
      <c r="V45" s="59">
        <f>IF(D45=0,0,SUM($J$20:J45))</f>
        <v>4150224</v>
      </c>
      <c r="W45" s="63">
        <f t="shared" si="14"/>
        <v>157915.00276816497</v>
      </c>
      <c r="X45" s="61">
        <f t="shared" si="15"/>
        <v>1.0395548047201906</v>
      </c>
      <c r="Y45" s="145"/>
      <c r="Z45" s="196">
        <f t="shared" si="24"/>
        <v>45317</v>
      </c>
      <c r="AA45" s="197">
        <f t="shared" si="24"/>
        <v>45317</v>
      </c>
      <c r="AB45" s="566">
        <v>45317</v>
      </c>
      <c r="AC45" s="567">
        <v>4</v>
      </c>
      <c r="AD45" s="552" t="s">
        <v>359</v>
      </c>
      <c r="AE45" s="553">
        <f>AVERAGEIFS(J111:J140,D111:D140,1,G111:G140,"fri")</f>
        <v>331130</v>
      </c>
      <c r="AF45" s="567">
        <f>COUNTIFS(D111:D140,1,G111:G140,"fri")</f>
        <v>4</v>
      </c>
      <c r="AG45" s="553"/>
      <c r="AH45" s="553">
        <f t="shared" si="20"/>
        <v>1324520</v>
      </c>
      <c r="AI45" s="568">
        <f t="shared" si="25"/>
        <v>0.19838071657717327</v>
      </c>
      <c r="AJ45" s="814"/>
      <c r="AK45" s="569"/>
      <c r="AL45" s="145"/>
      <c r="AM45" s="145"/>
      <c r="AN45" s="145"/>
    </row>
    <row r="46" spans="1:40" ht="20">
      <c r="A46" s="145"/>
      <c r="B46" s="152"/>
      <c r="C46" s="50">
        <f t="shared" si="16"/>
        <v>27</v>
      </c>
      <c r="D46" s="51">
        <v>1</v>
      </c>
      <c r="E46" s="187" t="str">
        <f t="shared" si="8"/>
        <v>1</v>
      </c>
      <c r="F46" s="188">
        <f t="shared" si="17"/>
        <v>45318</v>
      </c>
      <c r="G46" s="189" t="str">
        <f t="shared" si="18"/>
        <v>Sat</v>
      </c>
      <c r="H46" s="190"/>
      <c r="I46" s="200"/>
      <c r="J46" s="201">
        <v>114650</v>
      </c>
      <c r="K46" s="202"/>
      <c r="L46" s="59">
        <f t="shared" si="9"/>
        <v>221794.9442906575</v>
      </c>
      <c r="M46" s="60">
        <f t="shared" si="10"/>
        <v>-107144.9442906575</v>
      </c>
      <c r="N46" s="61">
        <f t="shared" si="11"/>
        <v>0.51691890618459568</v>
      </c>
      <c r="O46" s="194"/>
      <c r="P46" s="106">
        <f>IF(D46=0,0,SUM($L$20:L46))</f>
        <v>4214103.9415224921</v>
      </c>
      <c r="Q46" s="59">
        <f>IF(D46=0,0,SUM($J$20:J46))</f>
        <v>4264874</v>
      </c>
      <c r="R46" s="63">
        <f t="shared" si="12"/>
        <v>50770.058477507904</v>
      </c>
      <c r="S46" s="61">
        <f t="shared" si="13"/>
        <v>1.0120476521656856</v>
      </c>
      <c r="T46" s="80"/>
      <c r="U46" s="59">
        <f>IF(D46=0,0,SUM($L$20:L46))</f>
        <v>4214103.9415224921</v>
      </c>
      <c r="V46" s="59">
        <f>IF(D46=0,0,SUM($J$20:J46))</f>
        <v>4264874</v>
      </c>
      <c r="W46" s="63">
        <f t="shared" si="14"/>
        <v>50770.058477507904</v>
      </c>
      <c r="X46" s="61">
        <f t="shared" si="15"/>
        <v>1.0120476521656856</v>
      </c>
      <c r="Y46" s="145"/>
      <c r="Z46" s="196">
        <f t="shared" si="24"/>
        <v>45318</v>
      </c>
      <c r="AA46" s="197">
        <f t="shared" si="24"/>
        <v>45318</v>
      </c>
      <c r="AB46" s="566">
        <v>45318</v>
      </c>
      <c r="AC46" s="567">
        <v>4</v>
      </c>
      <c r="AD46" s="552" t="s">
        <v>360</v>
      </c>
      <c r="AE46" s="553">
        <f>AVERAGEIFS(J111:J140,D111:D140,1,G111:G140,"sat")</f>
        <v>201657.5</v>
      </c>
      <c r="AF46" s="567">
        <f>COUNTIFS(D111:D140,1,G111:G140,"sat")</f>
        <v>4</v>
      </c>
      <c r="AG46" s="553"/>
      <c r="AH46" s="553">
        <f t="shared" si="20"/>
        <v>806630</v>
      </c>
      <c r="AI46" s="568">
        <f t="shared" si="25"/>
        <v>0.12081345499701422</v>
      </c>
      <c r="AJ46" s="814"/>
      <c r="AK46" s="569"/>
      <c r="AL46" s="145"/>
      <c r="AM46" s="145"/>
      <c r="AN46" s="145"/>
    </row>
    <row r="47" spans="1:40" ht="20">
      <c r="A47" s="145"/>
      <c r="B47" s="152"/>
      <c r="C47" s="50">
        <f t="shared" si="16"/>
        <v>28</v>
      </c>
      <c r="D47" s="51">
        <v>0</v>
      </c>
      <c r="E47" s="187" t="str">
        <f t="shared" si="8"/>
        <v>1</v>
      </c>
      <c r="F47" s="188">
        <f t="shared" si="17"/>
        <v>45319</v>
      </c>
      <c r="G47" s="189" t="str">
        <f t="shared" si="18"/>
        <v>Sun</v>
      </c>
      <c r="H47" s="190" t="s">
        <v>58</v>
      </c>
      <c r="I47" s="191"/>
      <c r="J47" s="192">
        <v>0</v>
      </c>
      <c r="K47" s="193"/>
      <c r="L47" s="59">
        <f t="shared" si="9"/>
        <v>0</v>
      </c>
      <c r="M47" s="60">
        <f t="shared" si="10"/>
        <v>0</v>
      </c>
      <c r="N47" s="61" t="str">
        <f t="shared" si="11"/>
        <v>0%</v>
      </c>
      <c r="O47" s="194"/>
      <c r="P47" s="106">
        <f>IF(D47=0,0,SUM($L$20:L47))</f>
        <v>0</v>
      </c>
      <c r="Q47" s="59">
        <f>IF(D47=0,0,SUM($J$20:J47))</f>
        <v>0</v>
      </c>
      <c r="R47" s="63">
        <f t="shared" si="12"/>
        <v>0</v>
      </c>
      <c r="S47" s="61" t="str">
        <f t="shared" si="13"/>
        <v>0%</v>
      </c>
      <c r="T47" s="80"/>
      <c r="U47" s="59">
        <f>IF(D47=0,0,SUM($L$20:L47))</f>
        <v>0</v>
      </c>
      <c r="V47" s="59">
        <f>IF(D47=0,0,SUM($J$20:J47))</f>
        <v>0</v>
      </c>
      <c r="W47" s="63">
        <f t="shared" si="14"/>
        <v>0</v>
      </c>
      <c r="X47" s="61" t="str">
        <f t="shared" si="15"/>
        <v>0%</v>
      </c>
      <c r="Y47" s="145"/>
      <c r="Z47" s="196">
        <f t="shared" si="24"/>
        <v>45319</v>
      </c>
      <c r="AA47" s="197">
        <f t="shared" si="24"/>
        <v>45319</v>
      </c>
      <c r="AB47" s="566">
        <v>45319</v>
      </c>
      <c r="AC47" s="567">
        <v>4</v>
      </c>
      <c r="AD47" s="552" t="s">
        <v>361</v>
      </c>
      <c r="AE47" s="553">
        <f>IFERROR(AVERAGEIFS(J111:J140,D111:D140,1,G111:G140,"sun"),0)</f>
        <v>0</v>
      </c>
      <c r="AF47" s="567">
        <f>IFERROR(COUNTIFS(D111:D140,1,G111:G140,"sun"),0)</f>
        <v>0</v>
      </c>
      <c r="AG47" s="553"/>
      <c r="AH47" s="553">
        <f t="shared" si="20"/>
        <v>0</v>
      </c>
      <c r="AI47" s="568">
        <f t="shared" si="25"/>
        <v>0</v>
      </c>
      <c r="AJ47" s="814"/>
      <c r="AK47" s="569"/>
      <c r="AL47" s="145"/>
      <c r="AM47" s="145"/>
      <c r="AN47" s="145"/>
    </row>
    <row r="48" spans="1:40" ht="20">
      <c r="A48" s="145"/>
      <c r="B48" s="152"/>
      <c r="C48" s="50">
        <f t="shared" si="16"/>
        <v>29</v>
      </c>
      <c r="D48" s="51">
        <v>1</v>
      </c>
      <c r="E48" s="187" t="str">
        <f t="shared" si="8"/>
        <v>1</v>
      </c>
      <c r="F48" s="188">
        <f t="shared" si="17"/>
        <v>45320</v>
      </c>
      <c r="G48" s="189" t="str">
        <f t="shared" si="18"/>
        <v>Mon</v>
      </c>
      <c r="H48" s="190"/>
      <c r="I48" s="200"/>
      <c r="J48" s="201">
        <v>322450</v>
      </c>
      <c r="K48" s="202"/>
      <c r="L48" s="59">
        <f t="shared" si="9"/>
        <v>221794.9442906575</v>
      </c>
      <c r="M48" s="60">
        <f t="shared" si="10"/>
        <v>100655.0557093425</v>
      </c>
      <c r="N48" s="61">
        <f t="shared" si="11"/>
        <v>1.4538203340534048</v>
      </c>
      <c r="O48" s="194"/>
      <c r="P48" s="106">
        <f>IF(D48=0,0,SUM($L$20:L48))</f>
        <v>4435898.8858131496</v>
      </c>
      <c r="Q48" s="59">
        <f>IF(D48=0,0,SUM($J$20:J48))</f>
        <v>4587324</v>
      </c>
      <c r="R48" s="63">
        <f t="shared" si="12"/>
        <v>151425.11418685038</v>
      </c>
      <c r="S48" s="61">
        <f t="shared" si="13"/>
        <v>1.0341362862600716</v>
      </c>
      <c r="T48" s="80"/>
      <c r="U48" s="59">
        <f>IF(D48=0,0,SUM($L$20:L48))</f>
        <v>4435898.8858131496</v>
      </c>
      <c r="V48" s="59">
        <f>IF(D48=0,0,SUM($J$20:J48))</f>
        <v>4587324</v>
      </c>
      <c r="W48" s="63">
        <f t="shared" si="14"/>
        <v>151425.11418685038</v>
      </c>
      <c r="X48" s="61">
        <f t="shared" si="15"/>
        <v>1.0341362862600716</v>
      </c>
      <c r="Y48" s="145"/>
      <c r="Z48" s="196">
        <f t="shared" si="24"/>
        <v>45320</v>
      </c>
      <c r="AA48" s="197">
        <f t="shared" si="24"/>
        <v>45320</v>
      </c>
      <c r="AB48" s="566">
        <v>45320</v>
      </c>
      <c r="AC48" s="567">
        <v>5</v>
      </c>
      <c r="AD48" s="552" t="s">
        <v>355</v>
      </c>
      <c r="AE48" s="553">
        <f>AVERAGEIFS(J141:J171,D141:D171,1,G141:G171,"mon")</f>
        <v>238610</v>
      </c>
      <c r="AF48" s="567">
        <f>COUNTIFS(D141:D171,1,G141:G171,"Mon")</f>
        <v>3</v>
      </c>
      <c r="AG48" s="553"/>
      <c r="AH48" s="553">
        <f t="shared" si="20"/>
        <v>715830</v>
      </c>
      <c r="AI48" s="568">
        <f>AH48/$M$10</f>
        <v>0.11611173380091841</v>
      </c>
      <c r="AJ48" s="814">
        <f>SUM(AI48:AI54)</f>
        <v>1</v>
      </c>
      <c r="AK48" s="569" t="s">
        <v>336</v>
      </c>
      <c r="AL48" s="145"/>
      <c r="AM48" s="145"/>
      <c r="AN48" s="145"/>
    </row>
    <row r="49" spans="1:40" ht="20">
      <c r="A49" s="145"/>
      <c r="B49" s="152"/>
      <c r="C49" s="50">
        <f t="shared" si="16"/>
        <v>30</v>
      </c>
      <c r="D49" s="51">
        <v>1</v>
      </c>
      <c r="E49" s="187" t="str">
        <f t="shared" si="8"/>
        <v>1</v>
      </c>
      <c r="F49" s="188">
        <f t="shared" si="17"/>
        <v>45321</v>
      </c>
      <c r="G49" s="189" t="str">
        <f t="shared" si="18"/>
        <v>Tue</v>
      </c>
      <c r="H49" s="190"/>
      <c r="I49" s="200"/>
      <c r="J49" s="201">
        <v>188550</v>
      </c>
      <c r="K49" s="202"/>
      <c r="L49" s="59">
        <f t="shared" si="9"/>
        <v>221794.9442906575</v>
      </c>
      <c r="M49" s="60">
        <f t="shared" si="10"/>
        <v>-33244.944290657499</v>
      </c>
      <c r="N49" s="61">
        <f t="shared" si="11"/>
        <v>0.85010954872311828</v>
      </c>
      <c r="O49" s="194"/>
      <c r="P49" s="106">
        <f>IF(D49=0,0,SUM($L$20:L49))</f>
        <v>4657693.8301038072</v>
      </c>
      <c r="Q49" s="59">
        <f>IF(D49=0,0,SUM($J$20:J49))</f>
        <v>4775874</v>
      </c>
      <c r="R49" s="63">
        <f t="shared" si="12"/>
        <v>118180.16989619285</v>
      </c>
      <c r="S49" s="61">
        <f t="shared" si="13"/>
        <v>1.0253731082821214</v>
      </c>
      <c r="T49" s="80"/>
      <c r="U49" s="59">
        <f>IF(D49=0,0,SUM($L$20:L49))</f>
        <v>4657693.8301038072</v>
      </c>
      <c r="V49" s="59">
        <f>IF(D49=0,0,SUM($J$20:J49))</f>
        <v>4775874</v>
      </c>
      <c r="W49" s="63">
        <f t="shared" si="14"/>
        <v>118180.16989619285</v>
      </c>
      <c r="X49" s="61">
        <f t="shared" si="15"/>
        <v>1.0253731082821214</v>
      </c>
      <c r="Y49" s="145"/>
      <c r="Z49" s="196">
        <f t="shared" si="24"/>
        <v>45321</v>
      </c>
      <c r="AA49" s="197">
        <f t="shared" si="24"/>
        <v>45321</v>
      </c>
      <c r="AB49" s="566">
        <v>45321</v>
      </c>
      <c r="AC49" s="567">
        <v>5</v>
      </c>
      <c r="AD49" s="552" t="s">
        <v>356</v>
      </c>
      <c r="AE49" s="553">
        <f>AVERAGEIFS(J141:J171,D141:D171,1,G141:G171,"tue")</f>
        <v>232011.25</v>
      </c>
      <c r="AF49" s="567">
        <f>COUNTIFS(D141:D171,1,G141:G171,"tue")</f>
        <v>4</v>
      </c>
      <c r="AG49" s="553"/>
      <c r="AH49" s="553">
        <f t="shared" si="20"/>
        <v>928045</v>
      </c>
      <c r="AI49" s="568">
        <f t="shared" ref="AI49:AI54" si="26">AH49/$M$10</f>
        <v>0.1505342245997979</v>
      </c>
      <c r="AJ49" s="814"/>
      <c r="AK49" s="569"/>
      <c r="AL49" s="145"/>
      <c r="AM49" s="145"/>
      <c r="AN49" s="145"/>
    </row>
    <row r="50" spans="1:40" ht="21" thickBot="1">
      <c r="A50" s="145"/>
      <c r="B50" s="152"/>
      <c r="C50" s="100">
        <f t="shared" si="16"/>
        <v>31</v>
      </c>
      <c r="D50" s="85">
        <v>1</v>
      </c>
      <c r="E50" s="203" t="str">
        <f t="shared" si="8"/>
        <v>1</v>
      </c>
      <c r="F50" s="204">
        <f t="shared" si="17"/>
        <v>45322</v>
      </c>
      <c r="G50" s="205" t="str">
        <f t="shared" si="18"/>
        <v>Wed</v>
      </c>
      <c r="H50" s="206"/>
      <c r="I50" s="207"/>
      <c r="J50" s="208">
        <v>206500</v>
      </c>
      <c r="K50" s="202"/>
      <c r="L50" s="103">
        <f t="shared" si="9"/>
        <v>221794.9442906575</v>
      </c>
      <c r="M50" s="91">
        <f t="shared" si="10"/>
        <v>-15294.944290657499</v>
      </c>
      <c r="N50" s="108">
        <f t="shared" si="11"/>
        <v>0.93104015810832097</v>
      </c>
      <c r="O50" s="209"/>
      <c r="P50" s="210">
        <f>IF(D50=0,0,SUM($L$20:L50))</f>
        <v>4879488.7743944647</v>
      </c>
      <c r="Q50" s="103">
        <f>IF(D50=0,0,SUM($J$20:J50))</f>
        <v>4982374</v>
      </c>
      <c r="R50" s="105">
        <f t="shared" si="12"/>
        <v>102885.22560553532</v>
      </c>
      <c r="S50" s="108">
        <f t="shared" si="13"/>
        <v>1.0210852469105851</v>
      </c>
      <c r="T50" s="211"/>
      <c r="U50" s="103">
        <f>IF(D50=0,0,SUM($L$20:L50))</f>
        <v>4879488.7743944647</v>
      </c>
      <c r="V50" s="103">
        <f>IF(D50=0,0,SUM($J$20:J50))</f>
        <v>4982374</v>
      </c>
      <c r="W50" s="105">
        <f t="shared" si="14"/>
        <v>102885.22560553532</v>
      </c>
      <c r="X50" s="108">
        <f t="shared" si="15"/>
        <v>1.0210852469105851</v>
      </c>
      <c r="Y50" s="145"/>
      <c r="Z50" s="196">
        <f t="shared" si="24"/>
        <v>45322</v>
      </c>
      <c r="AA50" s="197">
        <f t="shared" si="24"/>
        <v>45322</v>
      </c>
      <c r="AB50" s="566">
        <v>45322</v>
      </c>
      <c r="AC50" s="567">
        <v>5</v>
      </c>
      <c r="AD50" s="552" t="s">
        <v>357</v>
      </c>
      <c r="AE50" s="553">
        <f>AVERAGEIFS(J141:J171,D141:D171,1,G141:G171,"wed")</f>
        <v>320767</v>
      </c>
      <c r="AF50" s="567">
        <f>COUNTIFS(D141:D171,1,G141:G171,"wed")</f>
        <v>5</v>
      </c>
      <c r="AG50" s="553"/>
      <c r="AH50" s="553">
        <f t="shared" si="20"/>
        <v>1603835</v>
      </c>
      <c r="AI50" s="568">
        <f t="shared" si="26"/>
        <v>0.26015124063059103</v>
      </c>
      <c r="AJ50" s="814"/>
      <c r="AK50" s="569"/>
      <c r="AL50" s="145"/>
      <c r="AM50" s="145"/>
      <c r="AN50" s="145"/>
    </row>
    <row r="51" spans="1:40" ht="21" thickTop="1">
      <c r="A51" s="145"/>
      <c r="B51" s="152"/>
      <c r="C51" s="50">
        <f t="shared" si="16"/>
        <v>32</v>
      </c>
      <c r="D51" s="96">
        <v>1</v>
      </c>
      <c r="E51" s="187" t="str">
        <f t="shared" si="8"/>
        <v>2</v>
      </c>
      <c r="F51" s="188">
        <f t="shared" si="17"/>
        <v>45323</v>
      </c>
      <c r="G51" s="189" t="str">
        <f t="shared" si="18"/>
        <v>Thu</v>
      </c>
      <c r="H51" s="190"/>
      <c r="I51" s="200"/>
      <c r="J51" s="201">
        <v>218090</v>
      </c>
      <c r="K51" s="202"/>
      <c r="L51" s="59">
        <f>IF(D51=0,0,$K$7)</f>
        <v>209473.00294117647</v>
      </c>
      <c r="M51" s="63">
        <f t="shared" si="10"/>
        <v>8616.9970588235301</v>
      </c>
      <c r="N51" s="97">
        <f t="shared" si="11"/>
        <v>1.0411365519080438</v>
      </c>
      <c r="O51" s="194"/>
      <c r="P51" s="107">
        <f>IF(D51=0,0,$L$51)</f>
        <v>209473.00294117647</v>
      </c>
      <c r="Q51" s="59">
        <f>IF(D51=0,0,$J$51)</f>
        <v>218090</v>
      </c>
      <c r="R51" s="63">
        <f t="shared" si="12"/>
        <v>8616.9970588235301</v>
      </c>
      <c r="S51" s="97">
        <f t="shared" si="13"/>
        <v>1.0411365519080438</v>
      </c>
      <c r="T51" s="80"/>
      <c r="U51" s="59">
        <f>IF(D51=0,0,SUM($L$20:L51))</f>
        <v>5088961.777335641</v>
      </c>
      <c r="V51" s="59">
        <f>IF(D51=0,0,SUM($J$20:J51))</f>
        <v>5200464</v>
      </c>
      <c r="W51" s="63">
        <f t="shared" si="14"/>
        <v>111502.22266435903</v>
      </c>
      <c r="X51" s="97">
        <f t="shared" si="15"/>
        <v>1.0219106032906258</v>
      </c>
      <c r="Y51" s="145"/>
      <c r="Z51" s="196">
        <f t="shared" si="24"/>
        <v>45323</v>
      </c>
      <c r="AA51" s="197">
        <f t="shared" si="24"/>
        <v>45323</v>
      </c>
      <c r="AB51" s="566">
        <v>45323</v>
      </c>
      <c r="AC51" s="567">
        <v>5</v>
      </c>
      <c r="AD51" s="552" t="s">
        <v>358</v>
      </c>
      <c r="AE51" s="553">
        <f>AVERAGEIFS(J141:J171,D141:D171,1,G141:G171,"thu")</f>
        <v>220418</v>
      </c>
      <c r="AF51" s="567">
        <f>COUNTIFS(D141:D171,1,G141:G171,"thu")</f>
        <v>5</v>
      </c>
      <c r="AG51" s="553"/>
      <c r="AH51" s="553">
        <f t="shared" si="20"/>
        <v>1102090</v>
      </c>
      <c r="AI51" s="568">
        <f t="shared" si="26"/>
        <v>0.17876532235957443</v>
      </c>
      <c r="AJ51" s="814"/>
      <c r="AK51" s="569"/>
      <c r="AL51" s="145"/>
      <c r="AM51" s="145"/>
      <c r="AN51" s="145"/>
    </row>
    <row r="52" spans="1:40" ht="20">
      <c r="A52" s="145"/>
      <c r="B52" s="152"/>
      <c r="C52" s="50">
        <f t="shared" si="16"/>
        <v>33</v>
      </c>
      <c r="D52" s="51">
        <v>1</v>
      </c>
      <c r="E52" s="187" t="str">
        <f t="shared" si="8"/>
        <v>2</v>
      </c>
      <c r="F52" s="188">
        <f t="shared" si="17"/>
        <v>45324</v>
      </c>
      <c r="G52" s="189" t="str">
        <f t="shared" si="18"/>
        <v>Fri</v>
      </c>
      <c r="H52" s="190"/>
      <c r="I52" s="200"/>
      <c r="J52" s="201">
        <v>236480</v>
      </c>
      <c r="K52" s="202"/>
      <c r="L52" s="59">
        <f t="shared" ref="L52:L79" si="27">IF(D52=0,0,$K$7)</f>
        <v>209473.00294117647</v>
      </c>
      <c r="M52" s="60">
        <f t="shared" si="10"/>
        <v>27006.99705882353</v>
      </c>
      <c r="N52" s="61">
        <f t="shared" si="11"/>
        <v>1.1289282947187593</v>
      </c>
      <c r="O52" s="194"/>
      <c r="P52" s="106">
        <f>IF(D52=0,0,SUM($L$51:L52))</f>
        <v>418946.00588235294</v>
      </c>
      <c r="Q52" s="59">
        <f>IF(D52=0,0,SUM($J$51:J52))</f>
        <v>454570</v>
      </c>
      <c r="R52" s="63">
        <f t="shared" si="12"/>
        <v>35623.99411764706</v>
      </c>
      <c r="S52" s="61">
        <f t="shared" si="13"/>
        <v>1.0850324233134017</v>
      </c>
      <c r="T52" s="81"/>
      <c r="U52" s="59">
        <f>IF(D52=0,0,SUM($L$20:L52))</f>
        <v>5298434.7802768173</v>
      </c>
      <c r="V52" s="59">
        <f>IF(D52=0,0,SUM($J$20:J52))</f>
        <v>5436944</v>
      </c>
      <c r="W52" s="63">
        <f t="shared" si="14"/>
        <v>138509.21972318273</v>
      </c>
      <c r="X52" s="61">
        <f t="shared" si="15"/>
        <v>1.0261415352773195</v>
      </c>
      <c r="Y52" s="145"/>
      <c r="Z52" s="196">
        <f t="shared" si="24"/>
        <v>45324</v>
      </c>
      <c r="AA52" s="197">
        <f t="shared" si="24"/>
        <v>45324</v>
      </c>
      <c r="AB52" s="566">
        <v>45324</v>
      </c>
      <c r="AC52" s="567">
        <v>5</v>
      </c>
      <c r="AD52" s="552" t="s">
        <v>359</v>
      </c>
      <c r="AE52" s="553">
        <f>AVERAGEIFS(J141:J171,D141:D171,1,G141:G171,"fri")</f>
        <v>350012.5</v>
      </c>
      <c r="AF52" s="567">
        <f>COUNTIFS(D141:D171,1,G141:G171,"fri")</f>
        <v>4</v>
      </c>
      <c r="AG52" s="553"/>
      <c r="AH52" s="553">
        <f t="shared" si="20"/>
        <v>1400050</v>
      </c>
      <c r="AI52" s="568">
        <f t="shared" si="26"/>
        <v>0.22709614420738977</v>
      </c>
      <c r="AJ52" s="814"/>
      <c r="AK52" s="569"/>
      <c r="AL52" s="145"/>
      <c r="AM52" s="145"/>
      <c r="AN52" s="145"/>
    </row>
    <row r="53" spans="1:40" ht="20">
      <c r="A53" s="145"/>
      <c r="B53" s="152"/>
      <c r="C53" s="50">
        <f t="shared" si="16"/>
        <v>34</v>
      </c>
      <c r="D53" s="51">
        <v>1</v>
      </c>
      <c r="E53" s="187" t="str">
        <f t="shared" si="8"/>
        <v>2</v>
      </c>
      <c r="F53" s="188">
        <f t="shared" si="17"/>
        <v>45325</v>
      </c>
      <c r="G53" s="189" t="str">
        <f t="shared" si="18"/>
        <v>Sat</v>
      </c>
      <c r="H53" s="190"/>
      <c r="I53" s="200"/>
      <c r="J53" s="201">
        <v>113750</v>
      </c>
      <c r="K53" s="202"/>
      <c r="L53" s="59">
        <f t="shared" si="27"/>
        <v>209473.00294117647</v>
      </c>
      <c r="M53" s="60">
        <f t="shared" si="10"/>
        <v>-95723.00294117647</v>
      </c>
      <c r="N53" s="61">
        <f t="shared" si="11"/>
        <v>0.54302940428052637</v>
      </c>
      <c r="O53" s="194"/>
      <c r="P53" s="106">
        <f>IF(D53=0,0,SUM($L$51:L53))</f>
        <v>628419.00882352935</v>
      </c>
      <c r="Q53" s="59">
        <f>IF(D53=0,0,SUM($J$51:J53))</f>
        <v>568320</v>
      </c>
      <c r="R53" s="63">
        <f t="shared" si="12"/>
        <v>-60099.008823529352</v>
      </c>
      <c r="S53" s="61">
        <f t="shared" si="13"/>
        <v>0.90436475030244323</v>
      </c>
      <c r="T53" s="80"/>
      <c r="U53" s="59">
        <f>IF(D53=0,0,SUM($L$20:L53))</f>
        <v>5507907.7832179936</v>
      </c>
      <c r="V53" s="59">
        <f>IF(D53=0,0,SUM($J$20:J53))</f>
        <v>5550694</v>
      </c>
      <c r="W53" s="63">
        <f t="shared" si="14"/>
        <v>42786.216782006435</v>
      </c>
      <c r="X53" s="61">
        <f t="shared" si="15"/>
        <v>1.0077681432707299</v>
      </c>
      <c r="Y53" s="145"/>
      <c r="Z53" s="196">
        <f t="shared" ref="Z53:AA68" si="28">Z52+1</f>
        <v>45325</v>
      </c>
      <c r="AA53" s="197">
        <f t="shared" si="28"/>
        <v>45325</v>
      </c>
      <c r="AB53" s="566">
        <v>45325</v>
      </c>
      <c r="AC53" s="567">
        <v>5</v>
      </c>
      <c r="AD53" s="552" t="s">
        <v>360</v>
      </c>
      <c r="AE53" s="553">
        <f>AVERAGEIFS(J141:J171,D141:D171,1,G141:G171,"sat")</f>
        <v>138386.66666666666</v>
      </c>
      <c r="AF53" s="567">
        <f>COUNTIFS(D141:D171,1,G141:G171,"sat")</f>
        <v>3</v>
      </c>
      <c r="AG53" s="553"/>
      <c r="AH53" s="553">
        <f t="shared" si="20"/>
        <v>415160</v>
      </c>
      <c r="AI53" s="568">
        <f t="shared" si="26"/>
        <v>6.7341334401728459E-2</v>
      </c>
      <c r="AJ53" s="814"/>
      <c r="AK53" s="569"/>
      <c r="AL53" s="145"/>
      <c r="AM53" s="145"/>
      <c r="AN53" s="145"/>
    </row>
    <row r="54" spans="1:40" ht="20">
      <c r="A54" s="145"/>
      <c r="B54" s="152"/>
      <c r="C54" s="50">
        <f t="shared" si="16"/>
        <v>35</v>
      </c>
      <c r="D54" s="51">
        <v>0</v>
      </c>
      <c r="E54" s="187" t="str">
        <f t="shared" si="8"/>
        <v>2</v>
      </c>
      <c r="F54" s="188">
        <f t="shared" si="17"/>
        <v>45326</v>
      </c>
      <c r="G54" s="189" t="str">
        <f t="shared" si="18"/>
        <v>Sun</v>
      </c>
      <c r="H54" s="190" t="s">
        <v>58</v>
      </c>
      <c r="I54" s="191"/>
      <c r="J54" s="192">
        <v>0</v>
      </c>
      <c r="K54" s="193"/>
      <c r="L54" s="59">
        <f t="shared" si="27"/>
        <v>0</v>
      </c>
      <c r="M54" s="60">
        <f t="shared" si="10"/>
        <v>0</v>
      </c>
      <c r="N54" s="61" t="str">
        <f t="shared" si="11"/>
        <v>0%</v>
      </c>
      <c r="O54" s="194"/>
      <c r="P54" s="106">
        <f>IF(D54=0,0,SUM($L$51:L54))</f>
        <v>0</v>
      </c>
      <c r="Q54" s="59">
        <f>IF(D54=0,0,SUM($J$51:J54))</f>
        <v>0</v>
      </c>
      <c r="R54" s="63">
        <f t="shared" si="12"/>
        <v>0</v>
      </c>
      <c r="S54" s="61" t="str">
        <f t="shared" si="13"/>
        <v>0%</v>
      </c>
      <c r="T54" s="80"/>
      <c r="U54" s="59">
        <f>IF(D54=0,0,SUM($L$20:L54))</f>
        <v>0</v>
      </c>
      <c r="V54" s="59">
        <f>IF(D54=0,0,SUM($J$20:J54))</f>
        <v>0</v>
      </c>
      <c r="W54" s="63">
        <f t="shared" si="14"/>
        <v>0</v>
      </c>
      <c r="X54" s="61" t="str">
        <f t="shared" si="15"/>
        <v>0%</v>
      </c>
      <c r="Y54" s="145"/>
      <c r="Z54" s="196">
        <f t="shared" si="28"/>
        <v>45326</v>
      </c>
      <c r="AA54" s="197">
        <f t="shared" si="28"/>
        <v>45326</v>
      </c>
      <c r="AB54" s="566">
        <v>45326</v>
      </c>
      <c r="AC54" s="567">
        <v>5</v>
      </c>
      <c r="AD54" s="552" t="s">
        <v>361</v>
      </c>
      <c r="AE54" s="553">
        <f>IFERROR(AVERAGEIFS(J141:J171,D141:D171,1,G141:G171,"sun"),0)</f>
        <v>0</v>
      </c>
      <c r="AF54" s="567">
        <f>IFERROR(COUNTIFS(D141:D171,1,G141:G171,"sun"),0)</f>
        <v>0</v>
      </c>
      <c r="AG54" s="553"/>
      <c r="AH54" s="553">
        <f t="shared" si="20"/>
        <v>0</v>
      </c>
      <c r="AI54" s="568">
        <f t="shared" si="26"/>
        <v>0</v>
      </c>
      <c r="AJ54" s="814"/>
      <c r="AK54" s="569"/>
      <c r="AL54" s="145"/>
      <c r="AM54" s="145"/>
      <c r="AN54" s="145"/>
    </row>
    <row r="55" spans="1:40" ht="20">
      <c r="A55" s="145"/>
      <c r="B55" s="152"/>
      <c r="C55" s="50">
        <f t="shared" si="16"/>
        <v>36</v>
      </c>
      <c r="D55" s="51">
        <v>1</v>
      </c>
      <c r="E55" s="187" t="str">
        <f t="shared" si="8"/>
        <v>2</v>
      </c>
      <c r="F55" s="188">
        <f t="shared" si="17"/>
        <v>45327</v>
      </c>
      <c r="G55" s="189" t="str">
        <f t="shared" si="18"/>
        <v>Mon</v>
      </c>
      <c r="H55" s="190"/>
      <c r="I55" s="200"/>
      <c r="J55" s="201">
        <v>155200</v>
      </c>
      <c r="K55" s="202"/>
      <c r="L55" s="59">
        <f t="shared" si="27"/>
        <v>209473.00294117647</v>
      </c>
      <c r="M55" s="60">
        <f t="shared" si="10"/>
        <v>-54273.00294117647</v>
      </c>
      <c r="N55" s="61">
        <f t="shared" si="11"/>
        <v>0.74090693225791371</v>
      </c>
      <c r="O55" s="194"/>
      <c r="P55" s="106">
        <f>IF(D55=0,0,SUM($L$51:L55))</f>
        <v>837892.01176470588</v>
      </c>
      <c r="Q55" s="59">
        <f>IF(D55=0,0,SUM($J$51:J55))</f>
        <v>723520</v>
      </c>
      <c r="R55" s="63">
        <f t="shared" si="12"/>
        <v>-114372.01176470588</v>
      </c>
      <c r="S55" s="61">
        <f t="shared" si="13"/>
        <v>0.86350029579131082</v>
      </c>
      <c r="T55" s="80"/>
      <c r="U55" s="59">
        <f>IF(D55=0,0,SUM($L$20:L55))</f>
        <v>5717380.7861591699</v>
      </c>
      <c r="V55" s="59">
        <f>IF(D55=0,0,SUM($J$20:J55))</f>
        <v>5705894</v>
      </c>
      <c r="W55" s="63">
        <f t="shared" si="14"/>
        <v>-11486.78615916986</v>
      </c>
      <c r="X55" s="61">
        <f t="shared" si="15"/>
        <v>0.99799090062586393</v>
      </c>
      <c r="Y55" s="145"/>
      <c r="Z55" s="196">
        <f t="shared" si="28"/>
        <v>45327</v>
      </c>
      <c r="AA55" s="197">
        <f t="shared" si="28"/>
        <v>45327</v>
      </c>
      <c r="AB55" s="566">
        <v>45327</v>
      </c>
      <c r="AC55" s="567">
        <v>6</v>
      </c>
      <c r="AD55" s="552" t="s">
        <v>355</v>
      </c>
      <c r="AE55" s="553">
        <f>AVERAGEIFS(J172:J201,D172:D201,1,G172:G201,"mon")</f>
        <v>192255</v>
      </c>
      <c r="AF55" s="567">
        <f>COUNTIFS(D172:D201,1,G172:G201,"Mon")</f>
        <v>4</v>
      </c>
      <c r="AG55" s="553"/>
      <c r="AH55" s="553">
        <f t="shared" si="20"/>
        <v>769020</v>
      </c>
      <c r="AI55" s="568">
        <f>AH55/$M$11</f>
        <v>0.13016697839352059</v>
      </c>
      <c r="AJ55" s="814">
        <f>SUM(AI55:AI61)</f>
        <v>1</v>
      </c>
      <c r="AK55" s="569" t="s">
        <v>338</v>
      </c>
      <c r="AL55" s="145"/>
      <c r="AM55" s="145"/>
      <c r="AN55" s="145"/>
    </row>
    <row r="56" spans="1:40" ht="20">
      <c r="A56" s="145"/>
      <c r="B56" s="152"/>
      <c r="C56" s="50">
        <f t="shared" si="16"/>
        <v>37</v>
      </c>
      <c r="D56" s="51">
        <v>1</v>
      </c>
      <c r="E56" s="187" t="str">
        <f t="shared" si="8"/>
        <v>2</v>
      </c>
      <c r="F56" s="188">
        <f t="shared" si="17"/>
        <v>45328</v>
      </c>
      <c r="G56" s="189" t="str">
        <f t="shared" si="18"/>
        <v>Tue</v>
      </c>
      <c r="H56" s="190"/>
      <c r="I56" s="200"/>
      <c r="J56" s="201">
        <v>191910</v>
      </c>
      <c r="K56" s="202"/>
      <c r="L56" s="59">
        <f t="shared" si="27"/>
        <v>209473.00294117647</v>
      </c>
      <c r="M56" s="60">
        <f t="shared" si="10"/>
        <v>-17563.00294117647</v>
      </c>
      <c r="N56" s="61">
        <f t="shared" si="11"/>
        <v>0.91615624593824885</v>
      </c>
      <c r="O56" s="194"/>
      <c r="P56" s="106">
        <f>IF(D56=0,0,SUM($L$51:L56))</f>
        <v>1047365.0147058824</v>
      </c>
      <c r="Q56" s="59">
        <f>IF(D56=0,0,SUM($J$51:J56))</f>
        <v>915430</v>
      </c>
      <c r="R56" s="63">
        <f t="shared" si="12"/>
        <v>-131935.01470588241</v>
      </c>
      <c r="S56" s="61">
        <f t="shared" si="13"/>
        <v>0.87403148582069834</v>
      </c>
      <c r="T56" s="80"/>
      <c r="U56" s="59">
        <f>IF(D56=0,0,SUM($L$20:L56))</f>
        <v>5926853.7891003462</v>
      </c>
      <c r="V56" s="59">
        <f>IF(D56=0,0,SUM($J$20:J56))</f>
        <v>5897804</v>
      </c>
      <c r="W56" s="63">
        <f t="shared" si="14"/>
        <v>-29049.789100346155</v>
      </c>
      <c r="X56" s="61">
        <f t="shared" si="15"/>
        <v>0.99509861553295453</v>
      </c>
      <c r="Y56" s="145"/>
      <c r="Z56" s="196">
        <f t="shared" si="28"/>
        <v>45328</v>
      </c>
      <c r="AA56" s="197">
        <f t="shared" si="28"/>
        <v>45328</v>
      </c>
      <c r="AB56" s="566">
        <v>45328</v>
      </c>
      <c r="AC56" s="567">
        <v>6</v>
      </c>
      <c r="AD56" s="552" t="s">
        <v>356</v>
      </c>
      <c r="AE56" s="553">
        <f>AVERAGEIFS(J172:J201,D172:D201,1,G172:G201,"tue")</f>
        <v>204712.5</v>
      </c>
      <c r="AF56" s="567">
        <f>COUNTIFS(D172:D201,1,G172:G201,"tue")</f>
        <v>4</v>
      </c>
      <c r="AG56" s="553"/>
      <c r="AH56" s="553">
        <f t="shared" si="20"/>
        <v>818850</v>
      </c>
      <c r="AI56" s="568">
        <f t="shared" ref="AI56:AI61" si="29">AH56/$M$11</f>
        <v>0.13860137611184928</v>
      </c>
      <c r="AJ56" s="814"/>
      <c r="AK56" s="569"/>
      <c r="AL56" s="145"/>
      <c r="AM56" s="145"/>
      <c r="AN56" s="145"/>
    </row>
    <row r="57" spans="1:40" ht="20">
      <c r="A57" s="145"/>
      <c r="B57" s="152"/>
      <c r="C57" s="50">
        <f t="shared" si="16"/>
        <v>38</v>
      </c>
      <c r="D57" s="51">
        <v>1</v>
      </c>
      <c r="E57" s="187" t="str">
        <f t="shared" si="8"/>
        <v>2</v>
      </c>
      <c r="F57" s="188">
        <f t="shared" si="17"/>
        <v>45329</v>
      </c>
      <c r="G57" s="189" t="str">
        <f t="shared" si="18"/>
        <v>Wed</v>
      </c>
      <c r="H57" s="190"/>
      <c r="I57" s="200"/>
      <c r="J57" s="201">
        <v>331350</v>
      </c>
      <c r="K57" s="202"/>
      <c r="L57" s="59">
        <f t="shared" si="27"/>
        <v>209473.00294117647</v>
      </c>
      <c r="M57" s="60">
        <f t="shared" si="10"/>
        <v>121876.99705882353</v>
      </c>
      <c r="N57" s="61">
        <f t="shared" si="11"/>
        <v>1.5818267526009002</v>
      </c>
      <c r="O57" s="194"/>
      <c r="P57" s="106">
        <f>IF(D57=0,0,SUM($L$51:L57))</f>
        <v>1256838.0176470589</v>
      </c>
      <c r="Q57" s="59">
        <f>IF(D57=0,0,SUM($J$51:J57))</f>
        <v>1246780</v>
      </c>
      <c r="R57" s="63">
        <f t="shared" si="12"/>
        <v>-10058.017647058936</v>
      </c>
      <c r="S57" s="61">
        <f t="shared" si="13"/>
        <v>0.99199736361739865</v>
      </c>
      <c r="T57" s="80"/>
      <c r="U57" s="59">
        <f>IF(D57=0,0,SUM($L$20:L57))</f>
        <v>6136326.7920415225</v>
      </c>
      <c r="V57" s="59">
        <f>IF(D57=0,0,SUM($J$20:J57))</f>
        <v>6229154</v>
      </c>
      <c r="W57" s="63">
        <f t="shared" si="14"/>
        <v>92827.207958477549</v>
      </c>
      <c r="X57" s="61">
        <f t="shared" si="15"/>
        <v>1.0151274876818603</v>
      </c>
      <c r="Y57" s="145"/>
      <c r="Z57" s="196">
        <f t="shared" si="28"/>
        <v>45329</v>
      </c>
      <c r="AA57" s="197">
        <f t="shared" si="28"/>
        <v>45329</v>
      </c>
      <c r="AB57" s="566">
        <v>45329</v>
      </c>
      <c r="AC57" s="567">
        <v>6</v>
      </c>
      <c r="AD57" s="552" t="s">
        <v>357</v>
      </c>
      <c r="AE57" s="553">
        <f>AVERAGEIFS(J172:J201,D172:D201,1,G172:G201,"wed")</f>
        <v>308407.5</v>
      </c>
      <c r="AF57" s="567">
        <f>COUNTIFS(D172:D201,1,G172:G201,"wed")</f>
        <v>4</v>
      </c>
      <c r="AG57" s="553"/>
      <c r="AH57" s="553">
        <f t="shared" si="20"/>
        <v>1233630</v>
      </c>
      <c r="AI57" s="568">
        <f t="shared" si="29"/>
        <v>0.20880846994304286</v>
      </c>
      <c r="AJ57" s="814"/>
      <c r="AK57" s="569"/>
      <c r="AL57" s="145"/>
      <c r="AM57" s="145"/>
      <c r="AN57" s="145"/>
    </row>
    <row r="58" spans="1:40" ht="20">
      <c r="A58" s="145"/>
      <c r="B58" s="152"/>
      <c r="C58" s="50">
        <f t="shared" si="16"/>
        <v>39</v>
      </c>
      <c r="D58" s="51">
        <v>1</v>
      </c>
      <c r="E58" s="187" t="str">
        <f t="shared" si="8"/>
        <v>2</v>
      </c>
      <c r="F58" s="188">
        <f t="shared" si="17"/>
        <v>45330</v>
      </c>
      <c r="G58" s="189" t="str">
        <f t="shared" si="18"/>
        <v>Thu</v>
      </c>
      <c r="H58" s="190"/>
      <c r="I58" s="200"/>
      <c r="J58" s="201">
        <v>178550</v>
      </c>
      <c r="K58" s="202"/>
      <c r="L58" s="59">
        <f t="shared" si="27"/>
        <v>209473.00294117647</v>
      </c>
      <c r="M58" s="60">
        <f t="shared" si="10"/>
        <v>-30923.00294117647</v>
      </c>
      <c r="N58" s="61">
        <f t="shared" si="11"/>
        <v>0.85237714403769649</v>
      </c>
      <c r="O58" s="194"/>
      <c r="P58" s="106">
        <f>IF(D58=0,0,SUM($L$51:L58))</f>
        <v>1466311.0205882355</v>
      </c>
      <c r="Q58" s="59">
        <f>IF(D58=0,0,SUM($J$51:J58))</f>
        <v>1425330</v>
      </c>
      <c r="R58" s="63">
        <f t="shared" si="12"/>
        <v>-40981.020588235464</v>
      </c>
      <c r="S58" s="61">
        <f t="shared" si="13"/>
        <v>0.97205161796315542</v>
      </c>
      <c r="T58" s="80"/>
      <c r="U58" s="59">
        <f>IF(D58=0,0,SUM($L$20:L58))</f>
        <v>6345799.7949826987</v>
      </c>
      <c r="V58" s="59">
        <f>IF(D58=0,0,SUM($J$20:J58))</f>
        <v>6407704</v>
      </c>
      <c r="W58" s="63">
        <f t="shared" si="14"/>
        <v>61904.205017301254</v>
      </c>
      <c r="X58" s="61">
        <f t="shared" si="15"/>
        <v>1.0097551462411791</v>
      </c>
      <c r="Y58" s="145"/>
      <c r="Z58" s="196">
        <f t="shared" si="28"/>
        <v>45330</v>
      </c>
      <c r="AA58" s="197">
        <f t="shared" si="28"/>
        <v>45330</v>
      </c>
      <c r="AB58" s="566">
        <v>45330</v>
      </c>
      <c r="AC58" s="567">
        <v>6</v>
      </c>
      <c r="AD58" s="552" t="s">
        <v>358</v>
      </c>
      <c r="AE58" s="553">
        <f>AVERAGEIFS(J172:J201,D172:D201,1,G172:G201,"thu")</f>
        <v>279470</v>
      </c>
      <c r="AF58" s="567">
        <f>COUNTIFS(D172:D201,1,G172:G201,"thu")</f>
        <v>4</v>
      </c>
      <c r="AG58" s="553"/>
      <c r="AH58" s="553">
        <f t="shared" si="20"/>
        <v>1117880</v>
      </c>
      <c r="AI58" s="568">
        <f t="shared" si="29"/>
        <v>0.1892162255943263</v>
      </c>
      <c r="AJ58" s="814"/>
      <c r="AK58" s="569"/>
      <c r="AL58" s="145"/>
      <c r="AM58" s="145"/>
      <c r="AN58" s="145"/>
    </row>
    <row r="59" spans="1:40" ht="20">
      <c r="A59" s="145"/>
      <c r="B59" s="152"/>
      <c r="C59" s="50">
        <f t="shared" si="16"/>
        <v>40</v>
      </c>
      <c r="D59" s="51">
        <v>1</v>
      </c>
      <c r="E59" s="187" t="str">
        <f t="shared" si="8"/>
        <v>2</v>
      </c>
      <c r="F59" s="188">
        <f t="shared" si="17"/>
        <v>45331</v>
      </c>
      <c r="G59" s="189" t="str">
        <f t="shared" si="18"/>
        <v>Fri</v>
      </c>
      <c r="H59" s="190"/>
      <c r="I59" s="200"/>
      <c r="J59" s="201">
        <v>291050</v>
      </c>
      <c r="K59" s="202"/>
      <c r="L59" s="59">
        <f t="shared" si="27"/>
        <v>209473.00294117647</v>
      </c>
      <c r="M59" s="60">
        <f t="shared" si="10"/>
        <v>81576.99705882353</v>
      </c>
      <c r="N59" s="61">
        <f t="shared" si="11"/>
        <v>1.389439192227228</v>
      </c>
      <c r="O59" s="194"/>
      <c r="P59" s="106">
        <f>IF(D59=0,0,SUM($L$51:L59))</f>
        <v>1675784.023529412</v>
      </c>
      <c r="Q59" s="59">
        <f>IF(D59=0,0,SUM($J$51:J59))</f>
        <v>1716380</v>
      </c>
      <c r="R59" s="63">
        <f t="shared" si="12"/>
        <v>40595.976470588008</v>
      </c>
      <c r="S59" s="61">
        <f t="shared" si="13"/>
        <v>1.0242250647461644</v>
      </c>
      <c r="T59" s="81"/>
      <c r="U59" s="59">
        <f>IF(D59=0,0,SUM($L$20:L59))</f>
        <v>6555272.797923875</v>
      </c>
      <c r="V59" s="59">
        <f>IF(D59=0,0,SUM($J$20:J59))</f>
        <v>6698754</v>
      </c>
      <c r="W59" s="63">
        <f t="shared" si="14"/>
        <v>143481.20207612496</v>
      </c>
      <c r="X59" s="61">
        <f t="shared" si="15"/>
        <v>1.0218879071091544</v>
      </c>
      <c r="Y59" s="145"/>
      <c r="Z59" s="196">
        <f t="shared" si="28"/>
        <v>45331</v>
      </c>
      <c r="AA59" s="197">
        <f t="shared" si="28"/>
        <v>45331</v>
      </c>
      <c r="AB59" s="566">
        <v>45331</v>
      </c>
      <c r="AC59" s="567">
        <v>6</v>
      </c>
      <c r="AD59" s="552" t="s">
        <v>359</v>
      </c>
      <c r="AE59" s="553">
        <f>AVERAGEIFS(J172:J201,D172:D201,1,G172:G201,"fri")</f>
        <v>322747.5</v>
      </c>
      <c r="AF59" s="567">
        <f>COUNTIFS(D172:D201,1,G172:G201,"fri")</f>
        <v>4</v>
      </c>
      <c r="AG59" s="553"/>
      <c r="AH59" s="553">
        <f t="shared" si="20"/>
        <v>1290990</v>
      </c>
      <c r="AI59" s="568">
        <f t="shared" si="29"/>
        <v>0.21851742144060121</v>
      </c>
      <c r="AJ59" s="814"/>
      <c r="AK59" s="569"/>
      <c r="AL59" s="145"/>
      <c r="AM59" s="145"/>
      <c r="AN59" s="145"/>
    </row>
    <row r="60" spans="1:40" ht="20">
      <c r="A60" s="145"/>
      <c r="B60" s="152"/>
      <c r="C60" s="50">
        <f t="shared" si="16"/>
        <v>41</v>
      </c>
      <c r="D60" s="51">
        <v>1</v>
      </c>
      <c r="E60" s="187" t="str">
        <f t="shared" si="8"/>
        <v>2</v>
      </c>
      <c r="F60" s="188">
        <f t="shared" si="17"/>
        <v>45332</v>
      </c>
      <c r="G60" s="189" t="str">
        <f t="shared" si="18"/>
        <v>Sat</v>
      </c>
      <c r="H60" s="190"/>
      <c r="I60" s="200"/>
      <c r="J60" s="201">
        <v>222220</v>
      </c>
      <c r="K60" s="202"/>
      <c r="L60" s="59">
        <f t="shared" si="27"/>
        <v>209473.00294117647</v>
      </c>
      <c r="M60" s="60">
        <f t="shared" si="10"/>
        <v>12746.99705882353</v>
      </c>
      <c r="N60" s="61">
        <f t="shared" si="11"/>
        <v>1.0608526964326908</v>
      </c>
      <c r="O60" s="194"/>
      <c r="P60" s="106">
        <f>IF(D60=0,0,SUM($L$51:L60))</f>
        <v>1885257.0264705885</v>
      </c>
      <c r="Q60" s="59">
        <f>IF(D60=0,0,SUM($J$51:J60))</f>
        <v>1938600</v>
      </c>
      <c r="R60" s="63">
        <f t="shared" si="12"/>
        <v>53342.97352941148</v>
      </c>
      <c r="S60" s="61">
        <f t="shared" si="13"/>
        <v>1.0282948016002229</v>
      </c>
      <c r="T60" s="80"/>
      <c r="U60" s="59">
        <f>IF(D60=0,0,SUM($L$20:L60))</f>
        <v>6764745.8008650513</v>
      </c>
      <c r="V60" s="59">
        <f>IF(D60=0,0,SUM($J$20:J60))</f>
        <v>6920974</v>
      </c>
      <c r="W60" s="63">
        <f t="shared" si="14"/>
        <v>156228.19913494866</v>
      </c>
      <c r="X60" s="61">
        <f t="shared" si="15"/>
        <v>1.0230944670699926</v>
      </c>
      <c r="Y60" s="145"/>
      <c r="Z60" s="196">
        <f t="shared" si="28"/>
        <v>45332</v>
      </c>
      <c r="AA60" s="197">
        <f t="shared" si="28"/>
        <v>45332</v>
      </c>
      <c r="AB60" s="566">
        <v>45332</v>
      </c>
      <c r="AC60" s="567">
        <v>6</v>
      </c>
      <c r="AD60" s="552" t="s">
        <v>360</v>
      </c>
      <c r="AE60" s="553">
        <f>AVERAGEIFS(J172:J201,D172:D201,1,G172:G201,"sat")</f>
        <v>135516</v>
      </c>
      <c r="AF60" s="567">
        <f>COUNTIFS(D172:D201,1,G172:G201,"sat")</f>
        <v>5</v>
      </c>
      <c r="AG60" s="553"/>
      <c r="AH60" s="553">
        <f t="shared" si="20"/>
        <v>677580</v>
      </c>
      <c r="AI60" s="568">
        <f t="shared" si="29"/>
        <v>0.11468952851665976</v>
      </c>
      <c r="AJ60" s="814"/>
      <c r="AK60" s="569"/>
      <c r="AL60" s="145"/>
      <c r="AM60" s="145"/>
      <c r="AN60" s="145"/>
    </row>
    <row r="61" spans="1:40" ht="20">
      <c r="A61" s="145"/>
      <c r="B61" s="152"/>
      <c r="C61" s="50">
        <f t="shared" si="16"/>
        <v>42</v>
      </c>
      <c r="D61" s="51">
        <v>0</v>
      </c>
      <c r="E61" s="187" t="str">
        <f t="shared" si="8"/>
        <v>2</v>
      </c>
      <c r="F61" s="188">
        <f t="shared" si="17"/>
        <v>45333</v>
      </c>
      <c r="G61" s="189" t="str">
        <f t="shared" si="18"/>
        <v>Sun</v>
      </c>
      <c r="H61" s="190" t="s">
        <v>58</v>
      </c>
      <c r="I61" s="191"/>
      <c r="J61" s="192">
        <v>0</v>
      </c>
      <c r="K61" s="193"/>
      <c r="L61" s="59">
        <f t="shared" si="27"/>
        <v>0</v>
      </c>
      <c r="M61" s="60">
        <f t="shared" si="10"/>
        <v>0</v>
      </c>
      <c r="N61" s="61" t="str">
        <f t="shared" si="11"/>
        <v>0%</v>
      </c>
      <c r="O61" s="194"/>
      <c r="P61" s="106">
        <f>IF(D61=0,0,SUM($L$51:L61))</f>
        <v>0</v>
      </c>
      <c r="Q61" s="59">
        <f>IF(D61=0,0,SUM($J$51:J61))</f>
        <v>0</v>
      </c>
      <c r="R61" s="63">
        <f t="shared" si="12"/>
        <v>0</v>
      </c>
      <c r="S61" s="61" t="str">
        <f t="shared" si="13"/>
        <v>0%</v>
      </c>
      <c r="T61" s="81"/>
      <c r="U61" s="59">
        <f>IF(D61=0,0,SUM($L$20:L61))</f>
        <v>0</v>
      </c>
      <c r="V61" s="59">
        <f>IF(D61=0,0,SUM($J$20:J61))</f>
        <v>0</v>
      </c>
      <c r="W61" s="63">
        <f t="shared" si="14"/>
        <v>0</v>
      </c>
      <c r="X61" s="61" t="str">
        <f t="shared" si="15"/>
        <v>0%</v>
      </c>
      <c r="Y61" s="145"/>
      <c r="Z61" s="196">
        <f t="shared" si="28"/>
        <v>45333</v>
      </c>
      <c r="AA61" s="197">
        <f t="shared" si="28"/>
        <v>45333</v>
      </c>
      <c r="AB61" s="566">
        <v>45333</v>
      </c>
      <c r="AC61" s="567">
        <v>6</v>
      </c>
      <c r="AD61" s="552" t="s">
        <v>361</v>
      </c>
      <c r="AE61" s="553">
        <f>IFERROR(AVERAGEIFS(J172:J201,D172:D201,1,G172:G201,"sun"),0)</f>
        <v>0</v>
      </c>
      <c r="AF61" s="567">
        <f>IFERROR(COUNTIFS(D172:D201,1,G172:G201,"sun"),0)</f>
        <v>0</v>
      </c>
      <c r="AG61" s="553"/>
      <c r="AH61" s="553">
        <f t="shared" si="20"/>
        <v>0</v>
      </c>
      <c r="AI61" s="568">
        <f t="shared" si="29"/>
        <v>0</v>
      </c>
      <c r="AJ61" s="814"/>
      <c r="AK61" s="569"/>
      <c r="AL61" s="145"/>
      <c r="AM61" s="145"/>
      <c r="AN61" s="145"/>
    </row>
    <row r="62" spans="1:40" ht="20">
      <c r="A62" s="145"/>
      <c r="B62" s="152"/>
      <c r="C62" s="50">
        <f t="shared" si="16"/>
        <v>43</v>
      </c>
      <c r="D62" s="51">
        <v>0</v>
      </c>
      <c r="E62" s="187" t="str">
        <f t="shared" si="8"/>
        <v>2</v>
      </c>
      <c r="F62" s="188">
        <f t="shared" si="17"/>
        <v>45334</v>
      </c>
      <c r="G62" s="189" t="str">
        <f t="shared" si="18"/>
        <v>Mon</v>
      </c>
      <c r="H62" s="190" t="s">
        <v>115</v>
      </c>
      <c r="I62" s="191"/>
      <c r="J62" s="192">
        <v>0</v>
      </c>
      <c r="K62" s="193"/>
      <c r="L62" s="59">
        <f t="shared" si="27"/>
        <v>0</v>
      </c>
      <c r="M62" s="60">
        <f t="shared" si="10"/>
        <v>0</v>
      </c>
      <c r="N62" s="61" t="str">
        <f t="shared" si="11"/>
        <v>0%</v>
      </c>
      <c r="O62" s="194"/>
      <c r="P62" s="106">
        <f>IF(D62=0,0,SUM($L$51:L62))</f>
        <v>0</v>
      </c>
      <c r="Q62" s="59">
        <f>IF(D62=0,0,SUM($J$51:J62))</f>
        <v>0</v>
      </c>
      <c r="R62" s="63">
        <f t="shared" si="12"/>
        <v>0</v>
      </c>
      <c r="S62" s="61" t="str">
        <f t="shared" si="13"/>
        <v>0%</v>
      </c>
      <c r="T62" s="80"/>
      <c r="U62" s="59">
        <f>IF(D62=0,0,SUM($L$20:L62))</f>
        <v>0</v>
      </c>
      <c r="V62" s="59">
        <f>IF(D62=0,0,SUM($J$20:J62))</f>
        <v>0</v>
      </c>
      <c r="W62" s="63">
        <f t="shared" si="14"/>
        <v>0</v>
      </c>
      <c r="X62" s="61" t="str">
        <f t="shared" si="15"/>
        <v>0%</v>
      </c>
      <c r="Y62" s="145"/>
      <c r="Z62" s="196">
        <f t="shared" si="28"/>
        <v>45334</v>
      </c>
      <c r="AA62" s="197">
        <f t="shared" si="28"/>
        <v>45334</v>
      </c>
      <c r="AB62" s="566">
        <v>45334</v>
      </c>
      <c r="AC62" s="567">
        <v>7</v>
      </c>
      <c r="AD62" s="552" t="s">
        <v>355</v>
      </c>
      <c r="AE62" s="553">
        <f>AVERAGEIFS(J202:J232,D202:D232,1,G202:G232,"mon")</f>
        <v>247005</v>
      </c>
      <c r="AF62" s="567">
        <f>COUNTIFS(D202:D232,1,G202:G232,"Mon")</f>
        <v>4</v>
      </c>
      <c r="AG62" s="553"/>
      <c r="AH62" s="553">
        <f t="shared" si="20"/>
        <v>988020</v>
      </c>
      <c r="AI62" s="568">
        <f>AH62/$M$12</f>
        <v>0.15148604340416594</v>
      </c>
      <c r="AJ62" s="814">
        <f>SUM(AI62:AI68)</f>
        <v>1</v>
      </c>
      <c r="AK62" s="569" t="s">
        <v>340</v>
      </c>
      <c r="AL62" s="145"/>
      <c r="AM62" s="145"/>
      <c r="AN62" s="145"/>
    </row>
    <row r="63" spans="1:40" ht="20">
      <c r="A63" s="145"/>
      <c r="B63" s="152"/>
      <c r="C63" s="50">
        <f t="shared" si="16"/>
        <v>44</v>
      </c>
      <c r="D63" s="51">
        <v>1</v>
      </c>
      <c r="E63" s="187" t="str">
        <f t="shared" si="8"/>
        <v>2</v>
      </c>
      <c r="F63" s="188">
        <f t="shared" si="17"/>
        <v>45335</v>
      </c>
      <c r="G63" s="189" t="str">
        <f t="shared" si="18"/>
        <v>Tue</v>
      </c>
      <c r="H63" s="190"/>
      <c r="I63" s="200"/>
      <c r="J63" s="201">
        <v>138350</v>
      </c>
      <c r="K63" s="202"/>
      <c r="L63" s="59">
        <f t="shared" si="27"/>
        <v>209473.00294117647</v>
      </c>
      <c r="M63" s="60">
        <f t="shared" si="10"/>
        <v>-71123.00294117647</v>
      </c>
      <c r="N63" s="61">
        <f t="shared" si="11"/>
        <v>0.6604669721513039</v>
      </c>
      <c r="O63" s="194"/>
      <c r="P63" s="106">
        <f>IF(D63=0,0,SUM($L$51:L63))</f>
        <v>2094730.029411765</v>
      </c>
      <c r="Q63" s="59">
        <f>IF(D63=0,0,SUM($J$51:J63))</f>
        <v>2076950</v>
      </c>
      <c r="R63" s="63">
        <f t="shared" si="12"/>
        <v>-17780.029411765048</v>
      </c>
      <c r="S63" s="61">
        <f t="shared" si="13"/>
        <v>0.99151201865533101</v>
      </c>
      <c r="T63" s="80"/>
      <c r="U63" s="59">
        <f>IF(D63=0,0,SUM($L$20:L63))</f>
        <v>6974218.8038062276</v>
      </c>
      <c r="V63" s="59">
        <f>IF(D63=0,0,SUM($J$20:J63))</f>
        <v>7059324</v>
      </c>
      <c r="W63" s="63">
        <f t="shared" si="14"/>
        <v>85105.196193772368</v>
      </c>
      <c r="X63" s="61">
        <f t="shared" si="15"/>
        <v>1.012202828530032</v>
      </c>
      <c r="Y63" s="145"/>
      <c r="Z63" s="196">
        <f t="shared" si="28"/>
        <v>45335</v>
      </c>
      <c r="AA63" s="197">
        <f t="shared" si="28"/>
        <v>45335</v>
      </c>
      <c r="AB63" s="566">
        <v>45335</v>
      </c>
      <c r="AC63" s="567">
        <v>7</v>
      </c>
      <c r="AD63" s="552" t="s">
        <v>356</v>
      </c>
      <c r="AE63" s="553">
        <f>AVERAGEIFS(J202:J232,D202:D232,1,G202:G232,"tue")</f>
        <v>186148</v>
      </c>
      <c r="AF63" s="567">
        <f>COUNTIFS(D202:D232,1,G202:G232,"tue")</f>
        <v>5</v>
      </c>
      <c r="AG63" s="553"/>
      <c r="AH63" s="553">
        <f t="shared" si="20"/>
        <v>930740</v>
      </c>
      <c r="AI63" s="568">
        <f t="shared" ref="AI63:AI68" si="30">AH63/$M$12</f>
        <v>0.14270371048965952</v>
      </c>
      <c r="AJ63" s="814"/>
      <c r="AK63" s="569"/>
      <c r="AL63" s="145"/>
      <c r="AM63" s="145"/>
      <c r="AN63" s="145"/>
    </row>
    <row r="64" spans="1:40" ht="20">
      <c r="A64" s="145"/>
      <c r="B64" s="152"/>
      <c r="C64" s="50">
        <f t="shared" si="16"/>
        <v>45</v>
      </c>
      <c r="D64" s="51">
        <v>1</v>
      </c>
      <c r="E64" s="187" t="str">
        <f t="shared" si="8"/>
        <v>2</v>
      </c>
      <c r="F64" s="188">
        <f t="shared" si="17"/>
        <v>45336</v>
      </c>
      <c r="G64" s="189" t="str">
        <f t="shared" si="18"/>
        <v>Wed</v>
      </c>
      <c r="H64" s="190"/>
      <c r="I64" s="200"/>
      <c r="J64" s="201">
        <v>185750</v>
      </c>
      <c r="K64" s="202"/>
      <c r="L64" s="59">
        <f t="shared" si="27"/>
        <v>209473.00294117647</v>
      </c>
      <c r="M64" s="60">
        <f t="shared" si="10"/>
        <v>-23723.00294117647</v>
      </c>
      <c r="N64" s="61">
        <f t="shared" si="11"/>
        <v>0.88674911512182653</v>
      </c>
      <c r="O64" s="194"/>
      <c r="P64" s="106">
        <f>IF(D64=0,0,SUM($L$51:L64))</f>
        <v>2304203.0323529416</v>
      </c>
      <c r="Q64" s="59">
        <f>IF(D64=0,0,SUM($J$51:J64))</f>
        <v>2262700</v>
      </c>
      <c r="R64" s="63">
        <f t="shared" si="12"/>
        <v>-41503.032352941576</v>
      </c>
      <c r="S64" s="61">
        <f t="shared" si="13"/>
        <v>0.98198811833410327</v>
      </c>
      <c r="T64" s="80"/>
      <c r="U64" s="59">
        <f>IF(D64=0,0,SUM($L$20:L64))</f>
        <v>7183691.8067474039</v>
      </c>
      <c r="V64" s="59">
        <f>IF(D64=0,0,SUM($J$20:J64))</f>
        <v>7245074</v>
      </c>
      <c r="W64" s="63">
        <f t="shared" si="14"/>
        <v>61382.193252596073</v>
      </c>
      <c r="X64" s="61">
        <f t="shared" si="15"/>
        <v>1.008544658499261</v>
      </c>
      <c r="Y64" s="145"/>
      <c r="Z64" s="196">
        <f t="shared" si="28"/>
        <v>45336</v>
      </c>
      <c r="AA64" s="197">
        <f t="shared" si="28"/>
        <v>45336</v>
      </c>
      <c r="AB64" s="566">
        <v>45336</v>
      </c>
      <c r="AC64" s="567">
        <v>7</v>
      </c>
      <c r="AD64" s="552" t="s">
        <v>357</v>
      </c>
      <c r="AE64" s="553">
        <f>AVERAGEIFS(J202:J232,D202:D232,1,G202:G232,"wed")</f>
        <v>269772</v>
      </c>
      <c r="AF64" s="567">
        <f>COUNTIFS(D202:D232,1,G202:G232,"wed")</f>
        <v>5</v>
      </c>
      <c r="AG64" s="553"/>
      <c r="AH64" s="553">
        <f t="shared" si="20"/>
        <v>1348860</v>
      </c>
      <c r="AI64" s="568">
        <f t="shared" si="30"/>
        <v>0.20681106101712846</v>
      </c>
      <c r="AJ64" s="814"/>
      <c r="AK64" s="569"/>
      <c r="AL64" s="145"/>
      <c r="AM64" s="145"/>
      <c r="AN64" s="145"/>
    </row>
    <row r="65" spans="1:40" ht="20">
      <c r="A65" s="145"/>
      <c r="B65" s="152"/>
      <c r="C65" s="50">
        <f t="shared" si="16"/>
        <v>46</v>
      </c>
      <c r="D65" s="51">
        <v>1</v>
      </c>
      <c r="E65" s="187" t="str">
        <f t="shared" si="8"/>
        <v>2</v>
      </c>
      <c r="F65" s="188">
        <f t="shared" si="17"/>
        <v>45337</v>
      </c>
      <c r="G65" s="189" t="str">
        <f t="shared" si="18"/>
        <v>Thu</v>
      </c>
      <c r="H65" s="190"/>
      <c r="I65" s="200"/>
      <c r="J65" s="201">
        <v>270370</v>
      </c>
      <c r="K65" s="202"/>
      <c r="L65" s="59">
        <f t="shared" si="27"/>
        <v>209473.00294117647</v>
      </c>
      <c r="M65" s="60">
        <f t="shared" si="10"/>
        <v>60896.99705882353</v>
      </c>
      <c r="N65" s="61">
        <f t="shared" si="11"/>
        <v>1.2907152530578101</v>
      </c>
      <c r="O65" s="194"/>
      <c r="P65" s="106">
        <f>IF(D65=0,0,SUM($L$51:L65))</f>
        <v>2513676.0352941179</v>
      </c>
      <c r="Q65" s="59">
        <f>IF(D65=0,0,SUM($J$51:J65))</f>
        <v>2533070</v>
      </c>
      <c r="R65" s="63">
        <f t="shared" si="12"/>
        <v>19393.964705882128</v>
      </c>
      <c r="S65" s="61">
        <f t="shared" si="13"/>
        <v>1.0077153795610789</v>
      </c>
      <c r="T65" s="80"/>
      <c r="U65" s="59">
        <f>IF(D65=0,0,SUM($L$20:L65))</f>
        <v>7393164.8096885802</v>
      </c>
      <c r="V65" s="59">
        <f>IF(D65=0,0,SUM($J$20:J65))</f>
        <v>7515444</v>
      </c>
      <c r="W65" s="63">
        <f t="shared" si="14"/>
        <v>122279.19031141978</v>
      </c>
      <c r="X65" s="61">
        <f t="shared" si="15"/>
        <v>1.0165394920117532</v>
      </c>
      <c r="Y65" s="145"/>
      <c r="Z65" s="196">
        <f t="shared" si="28"/>
        <v>45337</v>
      </c>
      <c r="AA65" s="197">
        <f t="shared" si="28"/>
        <v>45337</v>
      </c>
      <c r="AB65" s="566">
        <v>45337</v>
      </c>
      <c r="AC65" s="567">
        <v>7</v>
      </c>
      <c r="AD65" s="552" t="s">
        <v>358</v>
      </c>
      <c r="AE65" s="553">
        <f>AVERAGEIFS(J202:J232,D202:D232,1,G202:G232,"thu")</f>
        <v>302282.5</v>
      </c>
      <c r="AF65" s="567">
        <f>COUNTIFS(D202:D232,1,G202:G232,"thu")</f>
        <v>4</v>
      </c>
      <c r="AG65" s="553"/>
      <c r="AH65" s="553">
        <f t="shared" si="20"/>
        <v>1209130</v>
      </c>
      <c r="AI65" s="568">
        <f t="shared" si="30"/>
        <v>0.18538725902439138</v>
      </c>
      <c r="AJ65" s="814"/>
      <c r="AK65" s="569"/>
      <c r="AL65" s="145"/>
      <c r="AM65" s="145"/>
      <c r="AN65" s="145"/>
    </row>
    <row r="66" spans="1:40" ht="20">
      <c r="A66" s="145"/>
      <c r="B66" s="152"/>
      <c r="C66" s="50">
        <f t="shared" si="16"/>
        <v>47</v>
      </c>
      <c r="D66" s="51">
        <v>1</v>
      </c>
      <c r="E66" s="187" t="str">
        <f t="shared" si="8"/>
        <v>2</v>
      </c>
      <c r="F66" s="188">
        <f t="shared" si="17"/>
        <v>45338</v>
      </c>
      <c r="G66" s="189" t="str">
        <f t="shared" si="18"/>
        <v>Fri</v>
      </c>
      <c r="H66" s="190"/>
      <c r="I66" s="200"/>
      <c r="J66" s="201">
        <v>324150</v>
      </c>
      <c r="K66" s="202"/>
      <c r="L66" s="59">
        <f t="shared" si="27"/>
        <v>209473.00294117647</v>
      </c>
      <c r="M66" s="60">
        <f t="shared" si="10"/>
        <v>114676.99705882353</v>
      </c>
      <c r="N66" s="61">
        <f t="shared" si="11"/>
        <v>1.5474547815167703</v>
      </c>
      <c r="O66" s="194"/>
      <c r="P66" s="106">
        <f>IF(D66=0,0,SUM($L$51:L66))</f>
        <v>2723149.0382352942</v>
      </c>
      <c r="Q66" s="59">
        <f>IF(D66=0,0,SUM($J$51:J66))</f>
        <v>2857220</v>
      </c>
      <c r="R66" s="63">
        <f t="shared" si="12"/>
        <v>134070.96176470583</v>
      </c>
      <c r="S66" s="61">
        <f t="shared" si="13"/>
        <v>1.0492337950961321</v>
      </c>
      <c r="T66" s="81"/>
      <c r="U66" s="59">
        <f>IF(D66=0,0,SUM($L$20:L66))</f>
        <v>7602637.8126297565</v>
      </c>
      <c r="V66" s="59">
        <f>IF(D66=0,0,SUM($J$20:J66))</f>
        <v>7839594</v>
      </c>
      <c r="W66" s="63">
        <f t="shared" si="14"/>
        <v>236956.18737024348</v>
      </c>
      <c r="X66" s="61">
        <f t="shared" si="15"/>
        <v>1.0311676280272886</v>
      </c>
      <c r="Y66" s="145"/>
      <c r="Z66" s="196">
        <f t="shared" si="28"/>
        <v>45338</v>
      </c>
      <c r="AA66" s="197">
        <f t="shared" si="28"/>
        <v>45338</v>
      </c>
      <c r="AB66" s="566">
        <v>45338</v>
      </c>
      <c r="AC66" s="567">
        <v>7</v>
      </c>
      <c r="AD66" s="552" t="s">
        <v>359</v>
      </c>
      <c r="AE66" s="553">
        <f>AVERAGEIFS(J202:J232,D202:D232,1,G202:G232,"fri")</f>
        <v>362762.5</v>
      </c>
      <c r="AF66" s="567">
        <f>COUNTIFS(D202:D232,1,G202:G232,"fri")</f>
        <v>4</v>
      </c>
      <c r="AG66" s="553"/>
      <c r="AH66" s="553">
        <f t="shared" si="20"/>
        <v>1451050</v>
      </c>
      <c r="AI66" s="568">
        <f t="shared" si="30"/>
        <v>0.22247912317727878</v>
      </c>
      <c r="AJ66" s="814"/>
      <c r="AK66" s="569"/>
      <c r="AL66" s="145"/>
      <c r="AM66" s="145"/>
      <c r="AN66" s="145"/>
    </row>
    <row r="67" spans="1:40" ht="20">
      <c r="A67" s="145"/>
      <c r="B67" s="152"/>
      <c r="C67" s="50">
        <f t="shared" si="16"/>
        <v>48</v>
      </c>
      <c r="D67" s="51">
        <v>1</v>
      </c>
      <c r="E67" s="187" t="str">
        <f t="shared" si="8"/>
        <v>2</v>
      </c>
      <c r="F67" s="188">
        <f t="shared" si="17"/>
        <v>45339</v>
      </c>
      <c r="G67" s="189" t="str">
        <f t="shared" si="18"/>
        <v>Sat</v>
      </c>
      <c r="H67" s="190"/>
      <c r="I67" s="200"/>
      <c r="J67" s="201">
        <v>136800</v>
      </c>
      <c r="K67" s="202"/>
      <c r="L67" s="59">
        <f t="shared" si="27"/>
        <v>209473.00294117647</v>
      </c>
      <c r="M67" s="60">
        <f t="shared" si="10"/>
        <v>-72673.00294117647</v>
      </c>
      <c r="N67" s="61">
        <f t="shared" si="11"/>
        <v>0.65306745059847038</v>
      </c>
      <c r="O67" s="194"/>
      <c r="P67" s="106">
        <f>IF(D67=0,0,SUM($L$51:L67))</f>
        <v>2932622.0411764705</v>
      </c>
      <c r="Q67" s="59">
        <f>IF(D67=0,0,SUM($J$51:J67))</f>
        <v>2994020</v>
      </c>
      <c r="R67" s="63">
        <f t="shared" si="12"/>
        <v>61397.958823529538</v>
      </c>
      <c r="S67" s="61">
        <f t="shared" si="13"/>
        <v>1.020936199060585</v>
      </c>
      <c r="T67" s="80"/>
      <c r="U67" s="59">
        <f>IF(D67=0,0,SUM($L$20:L67))</f>
        <v>7812110.8155709328</v>
      </c>
      <c r="V67" s="59">
        <f>IF(D67=0,0,SUM($J$20:J67))</f>
        <v>7976394</v>
      </c>
      <c r="W67" s="63">
        <f t="shared" si="14"/>
        <v>164283.18442906719</v>
      </c>
      <c r="X67" s="61">
        <f t="shared" si="15"/>
        <v>1.0210292951940239</v>
      </c>
      <c r="Y67" s="145"/>
      <c r="Z67" s="196">
        <f t="shared" si="28"/>
        <v>45339</v>
      </c>
      <c r="AA67" s="197">
        <f t="shared" si="28"/>
        <v>45339</v>
      </c>
      <c r="AB67" s="566">
        <v>45339</v>
      </c>
      <c r="AC67" s="567">
        <v>7</v>
      </c>
      <c r="AD67" s="552" t="s">
        <v>360</v>
      </c>
      <c r="AE67" s="553">
        <f>AVERAGEIFS(J202:J232,D202:D232,1,G202:G232,"sat")</f>
        <v>148596.25</v>
      </c>
      <c r="AF67" s="567">
        <f>COUNTIFS(D202:D232,1,G202:G232,"sat")</f>
        <v>4</v>
      </c>
      <c r="AG67" s="553"/>
      <c r="AH67" s="553">
        <f t="shared" si="20"/>
        <v>594385</v>
      </c>
      <c r="AI67" s="568">
        <f t="shared" si="30"/>
        <v>9.1132802887375935E-2</v>
      </c>
      <c r="AJ67" s="814"/>
      <c r="AK67" s="569"/>
      <c r="AL67" s="145"/>
      <c r="AM67" s="145"/>
      <c r="AN67" s="145"/>
    </row>
    <row r="68" spans="1:40" ht="20">
      <c r="A68" s="145"/>
      <c r="B68" s="152"/>
      <c r="C68" s="50">
        <f t="shared" si="16"/>
        <v>49</v>
      </c>
      <c r="D68" s="51">
        <v>0</v>
      </c>
      <c r="E68" s="187" t="str">
        <f t="shared" si="8"/>
        <v>2</v>
      </c>
      <c r="F68" s="188">
        <f t="shared" si="17"/>
        <v>45340</v>
      </c>
      <c r="G68" s="189" t="str">
        <f t="shared" si="18"/>
        <v>Sun</v>
      </c>
      <c r="H68" s="190" t="s">
        <v>58</v>
      </c>
      <c r="I68" s="191"/>
      <c r="J68" s="192">
        <v>0</v>
      </c>
      <c r="K68" s="193"/>
      <c r="L68" s="59">
        <f t="shared" si="27"/>
        <v>0</v>
      </c>
      <c r="M68" s="60">
        <f t="shared" si="10"/>
        <v>0</v>
      </c>
      <c r="N68" s="61" t="str">
        <f t="shared" si="11"/>
        <v>0%</v>
      </c>
      <c r="O68" s="194"/>
      <c r="P68" s="106">
        <f>IF(D68=0,0,SUM($L$51:L68))</f>
        <v>0</v>
      </c>
      <c r="Q68" s="59">
        <f>IF(D68=0,0,SUM($J$51:J68))</f>
        <v>0</v>
      </c>
      <c r="R68" s="63">
        <f t="shared" si="12"/>
        <v>0</v>
      </c>
      <c r="S68" s="61" t="str">
        <f t="shared" si="13"/>
        <v>0%</v>
      </c>
      <c r="T68" s="80"/>
      <c r="U68" s="59">
        <f>IF(D68=0,0,SUM($L$20:L68))</f>
        <v>0</v>
      </c>
      <c r="V68" s="59">
        <f>IF(D68=0,0,SUM($J$20:J68))</f>
        <v>0</v>
      </c>
      <c r="W68" s="63">
        <f t="shared" si="14"/>
        <v>0</v>
      </c>
      <c r="X68" s="61" t="str">
        <f t="shared" si="15"/>
        <v>0%</v>
      </c>
      <c r="Y68" s="145"/>
      <c r="Z68" s="196">
        <f t="shared" si="28"/>
        <v>45340</v>
      </c>
      <c r="AA68" s="197">
        <f t="shared" si="28"/>
        <v>45340</v>
      </c>
      <c r="AB68" s="566">
        <v>45340</v>
      </c>
      <c r="AC68" s="567">
        <v>7</v>
      </c>
      <c r="AD68" s="552" t="s">
        <v>361</v>
      </c>
      <c r="AE68" s="553">
        <f>IFERROR(AVERAGEIFS(J202:J232,D202:D232,1,G202:G232,"sun"),0)</f>
        <v>0</v>
      </c>
      <c r="AF68" s="567">
        <f>IFERROR(COUNTIFS(D202:D232,1,G202:G232,"sun"),0)</f>
        <v>0</v>
      </c>
      <c r="AG68" s="553"/>
      <c r="AH68" s="553">
        <f t="shared" si="20"/>
        <v>0</v>
      </c>
      <c r="AI68" s="568">
        <f t="shared" si="30"/>
        <v>0</v>
      </c>
      <c r="AJ68" s="814"/>
      <c r="AK68" s="569"/>
      <c r="AL68" s="145"/>
      <c r="AM68" s="145"/>
      <c r="AN68" s="145"/>
    </row>
    <row r="69" spans="1:40" ht="20">
      <c r="A69" s="145"/>
      <c r="B69" s="152"/>
      <c r="C69" s="50">
        <f t="shared" si="16"/>
        <v>50</v>
      </c>
      <c r="D69" s="51">
        <v>1</v>
      </c>
      <c r="E69" s="187" t="str">
        <f t="shared" si="8"/>
        <v>2</v>
      </c>
      <c r="F69" s="188">
        <f t="shared" si="17"/>
        <v>45341</v>
      </c>
      <c r="G69" s="189" t="str">
        <f t="shared" si="18"/>
        <v>Mon</v>
      </c>
      <c r="H69" s="190"/>
      <c r="I69" s="200"/>
      <c r="J69" s="201">
        <v>285600</v>
      </c>
      <c r="K69" s="202"/>
      <c r="L69" s="59">
        <f t="shared" si="27"/>
        <v>209473.00294117647</v>
      </c>
      <c r="M69" s="60">
        <f t="shared" si="10"/>
        <v>76126.99705882353</v>
      </c>
      <c r="N69" s="61">
        <f t="shared" si="11"/>
        <v>1.3634215196704909</v>
      </c>
      <c r="O69" s="194"/>
      <c r="P69" s="106">
        <f>IF(D69=0,0,SUM($L$51:L69))</f>
        <v>3142095.0441176468</v>
      </c>
      <c r="Q69" s="59">
        <f>IF(D69=0,0,SUM($J$51:J69))</f>
        <v>3279620</v>
      </c>
      <c r="R69" s="63">
        <f t="shared" si="12"/>
        <v>137524.95588235324</v>
      </c>
      <c r="S69" s="61">
        <f t="shared" si="13"/>
        <v>1.043768553767912</v>
      </c>
      <c r="T69" s="80"/>
      <c r="U69" s="59">
        <f>IF(D69=0,0,SUM($L$20:L69))</f>
        <v>8021583.8185121091</v>
      </c>
      <c r="V69" s="59">
        <f>IF(D69=0,0,SUM($J$20:J69))</f>
        <v>8261994</v>
      </c>
      <c r="W69" s="63">
        <f t="shared" si="14"/>
        <v>240410.18148789089</v>
      </c>
      <c r="X69" s="61">
        <f t="shared" si="15"/>
        <v>1.0299704131911052</v>
      </c>
      <c r="Y69" s="145"/>
      <c r="Z69" s="196">
        <f t="shared" ref="Z69:AA84" si="31">Z68+1</f>
        <v>45341</v>
      </c>
      <c r="AA69" s="197">
        <f t="shared" si="31"/>
        <v>45341</v>
      </c>
      <c r="AB69" s="566">
        <v>45341</v>
      </c>
      <c r="AC69" s="567">
        <v>8</v>
      </c>
      <c r="AD69" s="552" t="s">
        <v>355</v>
      </c>
      <c r="AE69" s="553">
        <f>AVERAGEIFS(J233:J263,D233:D263,1,G233:G263,"mon")</f>
        <v>187033.33333333334</v>
      </c>
      <c r="AF69" s="567">
        <f>COUNTIFS(D233:D263,1,G233:G263,"Mon")</f>
        <v>3</v>
      </c>
      <c r="AG69" s="553"/>
      <c r="AH69" s="553">
        <f t="shared" si="20"/>
        <v>561100</v>
      </c>
      <c r="AI69" s="568">
        <f>AH69/$M$13</f>
        <v>0.12435721438066738</v>
      </c>
      <c r="AJ69" s="814">
        <f>SUM(AI69:AI75)</f>
        <v>1</v>
      </c>
      <c r="AK69" s="569" t="s">
        <v>342</v>
      </c>
      <c r="AL69" s="145"/>
      <c r="AM69" s="145"/>
      <c r="AN69" s="145"/>
    </row>
    <row r="70" spans="1:40" ht="20">
      <c r="A70" s="145"/>
      <c r="B70" s="152"/>
      <c r="C70" s="50">
        <f t="shared" si="16"/>
        <v>51</v>
      </c>
      <c r="D70" s="51">
        <v>1</v>
      </c>
      <c r="E70" s="187" t="str">
        <f t="shared" si="8"/>
        <v>2</v>
      </c>
      <c r="F70" s="188">
        <f t="shared" si="17"/>
        <v>45342</v>
      </c>
      <c r="G70" s="189" t="str">
        <f t="shared" si="18"/>
        <v>Tue</v>
      </c>
      <c r="H70" s="190"/>
      <c r="I70" s="200"/>
      <c r="J70" s="201">
        <v>316820</v>
      </c>
      <c r="K70" s="202"/>
      <c r="L70" s="59">
        <f t="shared" si="27"/>
        <v>209473.00294117647</v>
      </c>
      <c r="M70" s="60">
        <f t="shared" si="10"/>
        <v>107346.99705882353</v>
      </c>
      <c r="N70" s="61">
        <f t="shared" si="11"/>
        <v>1.5124622053991768</v>
      </c>
      <c r="O70" s="194"/>
      <c r="P70" s="106">
        <f>IF(D70=0,0,SUM($L$51:L70))</f>
        <v>3351568.0470588231</v>
      </c>
      <c r="Q70" s="59">
        <f>IF(D70=0,0,SUM($J$51:J70))</f>
        <v>3596440</v>
      </c>
      <c r="R70" s="63">
        <f t="shared" si="12"/>
        <v>244871.95294117695</v>
      </c>
      <c r="S70" s="61">
        <f t="shared" si="13"/>
        <v>1.0730619069948661</v>
      </c>
      <c r="T70" s="80"/>
      <c r="U70" s="59">
        <f>IF(D70=0,0,SUM($L$20:L70))</f>
        <v>8231056.8214532854</v>
      </c>
      <c r="V70" s="59">
        <f>IF(D70=0,0,SUM($J$20:J70))</f>
        <v>8578814</v>
      </c>
      <c r="W70" s="63">
        <f t="shared" si="14"/>
        <v>347757.1785467146</v>
      </c>
      <c r="X70" s="61">
        <f t="shared" si="15"/>
        <v>1.0422493959269394</v>
      </c>
      <c r="Y70" s="145"/>
      <c r="Z70" s="196">
        <f t="shared" si="31"/>
        <v>45342</v>
      </c>
      <c r="AA70" s="197">
        <f t="shared" si="31"/>
        <v>45342</v>
      </c>
      <c r="AB70" s="566">
        <v>45342</v>
      </c>
      <c r="AC70" s="567">
        <v>8</v>
      </c>
      <c r="AD70" s="552" t="s">
        <v>356</v>
      </c>
      <c r="AE70" s="553">
        <f>AVERAGEIFS(J233:J263,D233:D263,1,G233:G263,"tue")</f>
        <v>156850</v>
      </c>
      <c r="AF70" s="567">
        <f>COUNTIFS(D233:D263,1,G233:G263,"tue")</f>
        <v>3</v>
      </c>
      <c r="AG70" s="553"/>
      <c r="AH70" s="553">
        <f t="shared" si="20"/>
        <v>470550</v>
      </c>
      <c r="AI70" s="568">
        <f t="shared" ref="AI70:AI75" si="32">AH70/$M$13</f>
        <v>0.10428851760260745</v>
      </c>
      <c r="AJ70" s="814"/>
      <c r="AK70" s="569"/>
      <c r="AL70" s="145"/>
      <c r="AM70" s="145"/>
      <c r="AN70" s="145"/>
    </row>
    <row r="71" spans="1:40" ht="20">
      <c r="A71" s="145"/>
      <c r="B71" s="152"/>
      <c r="C71" s="50">
        <f t="shared" si="16"/>
        <v>52</v>
      </c>
      <c r="D71" s="51">
        <v>1</v>
      </c>
      <c r="E71" s="187" t="str">
        <f t="shared" si="8"/>
        <v>2</v>
      </c>
      <c r="F71" s="188">
        <f t="shared" si="17"/>
        <v>45343</v>
      </c>
      <c r="G71" s="189" t="str">
        <f t="shared" si="18"/>
        <v>Wed</v>
      </c>
      <c r="H71" s="190"/>
      <c r="I71" s="200"/>
      <c r="J71" s="201">
        <v>135300</v>
      </c>
      <c r="K71" s="202"/>
      <c r="L71" s="59">
        <f t="shared" si="27"/>
        <v>209473.00294117647</v>
      </c>
      <c r="M71" s="60">
        <f t="shared" si="10"/>
        <v>-74173.00294117647</v>
      </c>
      <c r="N71" s="61">
        <f t="shared" si="11"/>
        <v>0.64590662328927662</v>
      </c>
      <c r="O71" s="194"/>
      <c r="P71" s="106">
        <f>IF(D71=0,0,SUM($L$51:L71))</f>
        <v>3561041.0499999993</v>
      </c>
      <c r="Q71" s="59">
        <f>IF(D71=0,0,SUM($J$51:J71))</f>
        <v>3731740</v>
      </c>
      <c r="R71" s="63">
        <f t="shared" si="12"/>
        <v>170698.95000000065</v>
      </c>
      <c r="S71" s="61">
        <f t="shared" si="13"/>
        <v>1.0479351256004197</v>
      </c>
      <c r="T71" s="80"/>
      <c r="U71" s="59">
        <f>IF(D71=0,0,SUM($L$20:L71))</f>
        <v>8440529.8243944626</v>
      </c>
      <c r="V71" s="59">
        <f>IF(D71=0,0,SUM($J$20:J71))</f>
        <v>8714114</v>
      </c>
      <c r="W71" s="63">
        <f t="shared" si="14"/>
        <v>273584.17560553737</v>
      </c>
      <c r="X71" s="61">
        <f t="shared" si="15"/>
        <v>1.0324131519344717</v>
      </c>
      <c r="Y71" s="145"/>
      <c r="Z71" s="196">
        <f t="shared" si="31"/>
        <v>45343</v>
      </c>
      <c r="AA71" s="197">
        <f t="shared" si="31"/>
        <v>45343</v>
      </c>
      <c r="AB71" s="566">
        <v>45343</v>
      </c>
      <c r="AC71" s="567">
        <v>8</v>
      </c>
      <c r="AD71" s="552" t="s">
        <v>357</v>
      </c>
      <c r="AE71" s="553">
        <f>AVERAGEIFS(J233:J263,D233:D263,1,G233:G263,"wed")</f>
        <v>294026.33333333331</v>
      </c>
      <c r="AF71" s="567">
        <f>COUNTIFS(D233:D263,1,G233:G263,"wed")</f>
        <v>3</v>
      </c>
      <c r="AG71" s="553"/>
      <c r="AH71" s="553">
        <f t="shared" si="20"/>
        <v>882079</v>
      </c>
      <c r="AI71" s="568">
        <f t="shared" si="32"/>
        <v>0.19549614561341064</v>
      </c>
      <c r="AJ71" s="814"/>
      <c r="AK71" s="569"/>
      <c r="AL71" s="145"/>
      <c r="AM71" s="145"/>
      <c r="AN71" s="145"/>
    </row>
    <row r="72" spans="1:40" ht="20">
      <c r="A72" s="145"/>
      <c r="B72" s="152"/>
      <c r="C72" s="50">
        <f t="shared" si="16"/>
        <v>53</v>
      </c>
      <c r="D72" s="51">
        <v>1</v>
      </c>
      <c r="E72" s="187" t="str">
        <f t="shared" si="8"/>
        <v>2</v>
      </c>
      <c r="F72" s="188">
        <f t="shared" si="17"/>
        <v>45344</v>
      </c>
      <c r="G72" s="189" t="str">
        <f t="shared" si="18"/>
        <v>Thu</v>
      </c>
      <c r="H72" s="190"/>
      <c r="I72" s="200"/>
      <c r="J72" s="201">
        <v>331320</v>
      </c>
      <c r="K72" s="202"/>
      <c r="L72" s="59">
        <f t="shared" si="27"/>
        <v>209473.00294117647</v>
      </c>
      <c r="M72" s="60">
        <f t="shared" si="10"/>
        <v>121846.99705882353</v>
      </c>
      <c r="N72" s="61">
        <f t="shared" si="11"/>
        <v>1.5816835360547163</v>
      </c>
      <c r="O72" s="194"/>
      <c r="P72" s="106">
        <f>IF(D72=0,0,SUM($L$51:L72))</f>
        <v>3770514.0529411756</v>
      </c>
      <c r="Q72" s="59">
        <f>IF(D72=0,0,SUM($J$51:J72))</f>
        <v>4063060</v>
      </c>
      <c r="R72" s="63">
        <f t="shared" si="12"/>
        <v>292545.94705882436</v>
      </c>
      <c r="S72" s="61">
        <f t="shared" si="13"/>
        <v>1.077587815070103</v>
      </c>
      <c r="T72" s="80"/>
      <c r="U72" s="59">
        <f>IF(D72=0,0,SUM($L$20:L72))</f>
        <v>8650002.8273356389</v>
      </c>
      <c r="V72" s="59">
        <f>IF(D72=0,0,SUM($J$20:J72))</f>
        <v>9045434</v>
      </c>
      <c r="W72" s="63">
        <f t="shared" si="14"/>
        <v>395431.17266436107</v>
      </c>
      <c r="X72" s="61">
        <f t="shared" si="15"/>
        <v>1.0457145714929392</v>
      </c>
      <c r="Y72" s="145"/>
      <c r="Z72" s="196">
        <f t="shared" si="31"/>
        <v>45344</v>
      </c>
      <c r="AA72" s="197">
        <f t="shared" si="31"/>
        <v>45344</v>
      </c>
      <c r="AB72" s="566">
        <v>45344</v>
      </c>
      <c r="AC72" s="567">
        <v>8</v>
      </c>
      <c r="AD72" s="552" t="s">
        <v>358</v>
      </c>
      <c r="AE72" s="553">
        <f>AVERAGEIFS(J233:J263,D233:D263,1,G233:G263,"thu")</f>
        <v>205528.25</v>
      </c>
      <c r="AF72" s="567">
        <f>COUNTIFS(D233:D263,1,G233:G263,"thu")</f>
        <v>4</v>
      </c>
      <c r="AG72" s="553"/>
      <c r="AH72" s="553">
        <f t="shared" si="20"/>
        <v>822113</v>
      </c>
      <c r="AI72" s="568">
        <f t="shared" si="32"/>
        <v>0.18220581462508217</v>
      </c>
      <c r="AJ72" s="814"/>
      <c r="AK72" s="569"/>
      <c r="AL72" s="145"/>
      <c r="AM72" s="145"/>
      <c r="AN72" s="145"/>
    </row>
    <row r="73" spans="1:40" ht="20">
      <c r="A73" s="145"/>
      <c r="B73" s="152"/>
      <c r="C73" s="50">
        <f t="shared" si="16"/>
        <v>54</v>
      </c>
      <c r="D73" s="51">
        <v>0</v>
      </c>
      <c r="E73" s="187" t="str">
        <f t="shared" si="8"/>
        <v>2</v>
      </c>
      <c r="F73" s="188">
        <f t="shared" si="17"/>
        <v>45345</v>
      </c>
      <c r="G73" s="189" t="str">
        <f t="shared" si="18"/>
        <v>Fri</v>
      </c>
      <c r="H73" s="190" t="s">
        <v>115</v>
      </c>
      <c r="I73" s="191"/>
      <c r="J73" s="192">
        <v>0</v>
      </c>
      <c r="K73" s="193"/>
      <c r="L73" s="59">
        <f t="shared" si="27"/>
        <v>0</v>
      </c>
      <c r="M73" s="60">
        <f t="shared" si="10"/>
        <v>0</v>
      </c>
      <c r="N73" s="61" t="str">
        <f t="shared" si="11"/>
        <v>0%</v>
      </c>
      <c r="O73" s="194"/>
      <c r="P73" s="106">
        <f>IF(D73=0,0,SUM($L$51:L73))</f>
        <v>0</v>
      </c>
      <c r="Q73" s="59">
        <f>IF(D73=0,0,SUM($J$51:J73))</f>
        <v>0</v>
      </c>
      <c r="R73" s="63">
        <f t="shared" si="12"/>
        <v>0</v>
      </c>
      <c r="S73" s="61" t="str">
        <f t="shared" si="13"/>
        <v>0%</v>
      </c>
      <c r="T73" s="81"/>
      <c r="U73" s="59">
        <f>IF(D73=0,0,SUM($L$20:L73))</f>
        <v>0</v>
      </c>
      <c r="V73" s="59">
        <f>IF(D73=0,0,SUM($J$20:J73))</f>
        <v>0</v>
      </c>
      <c r="W73" s="63">
        <f t="shared" si="14"/>
        <v>0</v>
      </c>
      <c r="X73" s="61" t="str">
        <f t="shared" si="15"/>
        <v>0%</v>
      </c>
      <c r="Y73" s="145"/>
      <c r="Z73" s="196">
        <f t="shared" si="31"/>
        <v>45345</v>
      </c>
      <c r="AA73" s="197">
        <f t="shared" si="31"/>
        <v>45345</v>
      </c>
      <c r="AB73" s="566">
        <v>45345</v>
      </c>
      <c r="AC73" s="567">
        <v>8</v>
      </c>
      <c r="AD73" s="552" t="s">
        <v>359</v>
      </c>
      <c r="AE73" s="553">
        <f>AVERAGEIFS(J233:J263,D233:D263,1,G233:G263,"fri")</f>
        <v>287530</v>
      </c>
      <c r="AF73" s="567">
        <f>COUNTIFS(D233:D263,1,G233:G263,"fri")</f>
        <v>4</v>
      </c>
      <c r="AG73" s="553"/>
      <c r="AH73" s="553">
        <f t="shared" si="20"/>
        <v>1150120</v>
      </c>
      <c r="AI73" s="568">
        <f t="shared" si="32"/>
        <v>0.25490236928086468</v>
      </c>
      <c r="AJ73" s="814"/>
      <c r="AK73" s="569"/>
      <c r="AL73" s="145"/>
      <c r="AM73" s="145"/>
      <c r="AN73" s="145"/>
    </row>
    <row r="74" spans="1:40" ht="20">
      <c r="A74" s="145"/>
      <c r="B74" s="152"/>
      <c r="C74" s="50">
        <f t="shared" si="16"/>
        <v>55</v>
      </c>
      <c r="D74" s="51">
        <v>1</v>
      </c>
      <c r="E74" s="187" t="str">
        <f t="shared" si="8"/>
        <v>2</v>
      </c>
      <c r="F74" s="188">
        <f t="shared" si="17"/>
        <v>45346</v>
      </c>
      <c r="G74" s="189" t="str">
        <f t="shared" si="18"/>
        <v>Sat</v>
      </c>
      <c r="H74" s="190"/>
      <c r="I74" s="200"/>
      <c r="J74" s="201">
        <v>72800</v>
      </c>
      <c r="K74" s="202"/>
      <c r="L74" s="59">
        <f t="shared" si="27"/>
        <v>209473.00294117647</v>
      </c>
      <c r="M74" s="60">
        <f t="shared" si="10"/>
        <v>-136673.00294117647</v>
      </c>
      <c r="N74" s="61">
        <f t="shared" si="11"/>
        <v>0.34753881873953685</v>
      </c>
      <c r="O74" s="194"/>
      <c r="P74" s="106">
        <f>IF(D74=0,0,SUM($L$51:L74))</f>
        <v>3979987.0558823519</v>
      </c>
      <c r="Q74" s="59">
        <f>IF(D74=0,0,SUM($J$51:J74))</f>
        <v>4135860</v>
      </c>
      <c r="R74" s="63">
        <f t="shared" si="12"/>
        <v>155872.94411764806</v>
      </c>
      <c r="S74" s="61">
        <f t="shared" si="13"/>
        <v>1.0391641836842838</v>
      </c>
      <c r="T74" s="81"/>
      <c r="U74" s="59">
        <f>IF(D74=0,0,SUM($L$20:L74))</f>
        <v>8859475.8302768152</v>
      </c>
      <c r="V74" s="59">
        <f>IF(D74=0,0,SUM($J$20:J74))</f>
        <v>9118234</v>
      </c>
      <c r="W74" s="63">
        <f t="shared" si="14"/>
        <v>258758.16972318478</v>
      </c>
      <c r="X74" s="61">
        <f t="shared" si="15"/>
        <v>1.0292069389521772</v>
      </c>
      <c r="Y74" s="145"/>
      <c r="Z74" s="196">
        <f t="shared" si="31"/>
        <v>45346</v>
      </c>
      <c r="AA74" s="197">
        <f t="shared" si="31"/>
        <v>45346</v>
      </c>
      <c r="AB74" s="566">
        <v>45346</v>
      </c>
      <c r="AC74" s="567">
        <v>8</v>
      </c>
      <c r="AD74" s="552" t="s">
        <v>360</v>
      </c>
      <c r="AE74" s="553">
        <f>AVERAGEIFS(J233:J263,D233:D263,1,G233:G263,"sat")</f>
        <v>125208</v>
      </c>
      <c r="AF74" s="567">
        <f>COUNTIFS(D233:D263,1,G233:G263,"sat")</f>
        <v>5</v>
      </c>
      <c r="AG74" s="553"/>
      <c r="AH74" s="553">
        <f t="shared" si="20"/>
        <v>626040</v>
      </c>
      <c r="AI74" s="568">
        <f t="shared" si="32"/>
        <v>0.13874993849736769</v>
      </c>
      <c r="AJ74" s="814"/>
      <c r="AK74" s="569"/>
      <c r="AL74" s="145"/>
      <c r="AM74" s="145"/>
      <c r="AN74" s="145"/>
    </row>
    <row r="75" spans="1:40" ht="20">
      <c r="A75" s="145"/>
      <c r="B75" s="152"/>
      <c r="C75" s="50">
        <f t="shared" si="16"/>
        <v>56</v>
      </c>
      <c r="D75" s="51">
        <v>0</v>
      </c>
      <c r="E75" s="187" t="str">
        <f t="shared" si="8"/>
        <v>2</v>
      </c>
      <c r="F75" s="188">
        <f t="shared" si="17"/>
        <v>45347</v>
      </c>
      <c r="G75" s="189" t="str">
        <f t="shared" si="18"/>
        <v>Sun</v>
      </c>
      <c r="H75" s="190" t="s">
        <v>58</v>
      </c>
      <c r="I75" s="191"/>
      <c r="J75" s="192">
        <v>0</v>
      </c>
      <c r="K75" s="193"/>
      <c r="L75" s="59">
        <f t="shared" si="27"/>
        <v>0</v>
      </c>
      <c r="M75" s="60">
        <f t="shared" si="10"/>
        <v>0</v>
      </c>
      <c r="N75" s="61" t="str">
        <f t="shared" si="11"/>
        <v>0%</v>
      </c>
      <c r="O75" s="194"/>
      <c r="P75" s="106">
        <f>IF(D75=0,0,SUM($L$51:L75))</f>
        <v>0</v>
      </c>
      <c r="Q75" s="59">
        <f>IF(D75=0,0,SUM($J$51:J75))</f>
        <v>0</v>
      </c>
      <c r="R75" s="63">
        <f t="shared" si="12"/>
        <v>0</v>
      </c>
      <c r="S75" s="61" t="str">
        <f t="shared" si="13"/>
        <v>0%</v>
      </c>
      <c r="T75" s="80"/>
      <c r="U75" s="59">
        <f>IF(D75=0,0,SUM($L$20:L75))</f>
        <v>0</v>
      </c>
      <c r="V75" s="59">
        <f>IF(D75=0,0,SUM($J$20:J75))</f>
        <v>0</v>
      </c>
      <c r="W75" s="63">
        <f t="shared" si="14"/>
        <v>0</v>
      </c>
      <c r="X75" s="61" t="str">
        <f t="shared" si="15"/>
        <v>0%</v>
      </c>
      <c r="Y75" s="145"/>
      <c r="Z75" s="196">
        <f t="shared" si="31"/>
        <v>45347</v>
      </c>
      <c r="AA75" s="197">
        <f t="shared" si="31"/>
        <v>45347</v>
      </c>
      <c r="AB75" s="566">
        <v>45347</v>
      </c>
      <c r="AC75" s="567">
        <v>8</v>
      </c>
      <c r="AD75" s="552" t="s">
        <v>361</v>
      </c>
      <c r="AE75" s="553">
        <f>IFERROR(AVERAGEIFS(J233:J263,D233:D263,1,G233:G263,"sun"),0)</f>
        <v>0</v>
      </c>
      <c r="AF75" s="567">
        <f>IFERROR(COUNTIFS(D233:D263,1,G233:G263,"sun"),0)</f>
        <v>0</v>
      </c>
      <c r="AG75" s="553"/>
      <c r="AH75" s="553">
        <f t="shared" si="20"/>
        <v>0</v>
      </c>
      <c r="AI75" s="568">
        <f t="shared" si="32"/>
        <v>0</v>
      </c>
      <c r="AJ75" s="814"/>
      <c r="AK75" s="569"/>
      <c r="AL75" s="145"/>
      <c r="AM75" s="145"/>
      <c r="AN75" s="145"/>
    </row>
    <row r="76" spans="1:40" ht="20">
      <c r="A76" s="145"/>
      <c r="B76" s="152"/>
      <c r="C76" s="50">
        <f t="shared" si="16"/>
        <v>57</v>
      </c>
      <c r="D76" s="51">
        <v>1</v>
      </c>
      <c r="E76" s="187" t="str">
        <f t="shared" si="8"/>
        <v>2</v>
      </c>
      <c r="F76" s="188">
        <f t="shared" si="17"/>
        <v>45348</v>
      </c>
      <c r="G76" s="189" t="str">
        <f t="shared" si="18"/>
        <v>Mon</v>
      </c>
      <c r="H76" s="190"/>
      <c r="I76" s="200"/>
      <c r="J76" s="201">
        <v>252950</v>
      </c>
      <c r="K76" s="202"/>
      <c r="L76" s="59">
        <f t="shared" si="27"/>
        <v>209473.00294117647</v>
      </c>
      <c r="M76" s="60">
        <f t="shared" si="10"/>
        <v>43476.99705882353</v>
      </c>
      <c r="N76" s="61">
        <f t="shared" si="11"/>
        <v>1.2075541785737067</v>
      </c>
      <c r="O76" s="194"/>
      <c r="P76" s="106">
        <f>IF(D76=0,0,SUM($L$51:L76))</f>
        <v>4189460.0588235282</v>
      </c>
      <c r="Q76" s="59">
        <f>IF(D76=0,0,SUM($J$51:J76))</f>
        <v>4388810</v>
      </c>
      <c r="R76" s="63">
        <f t="shared" si="12"/>
        <v>199349.94117647177</v>
      </c>
      <c r="S76" s="61">
        <f t="shared" si="13"/>
        <v>1.0475836834287549</v>
      </c>
      <c r="T76" s="80"/>
      <c r="U76" s="59">
        <f>IF(D76=0,0,SUM($L$20:L76))</f>
        <v>9068948.8332179915</v>
      </c>
      <c r="V76" s="59">
        <f>IF(D76=0,0,SUM($J$20:J76))</f>
        <v>9371184</v>
      </c>
      <c r="W76" s="63">
        <f t="shared" si="14"/>
        <v>302235.16678200848</v>
      </c>
      <c r="X76" s="61">
        <f t="shared" si="15"/>
        <v>1.0333263724760442</v>
      </c>
      <c r="Y76" s="145"/>
      <c r="Z76" s="196">
        <f t="shared" si="31"/>
        <v>45348</v>
      </c>
      <c r="AA76" s="197">
        <f t="shared" si="31"/>
        <v>45348</v>
      </c>
      <c r="AB76" s="566">
        <v>45348</v>
      </c>
      <c r="AC76" s="567">
        <v>9</v>
      </c>
      <c r="AD76" s="552" t="s">
        <v>355</v>
      </c>
      <c r="AE76" s="553">
        <f>AVERAGEIFS(J264:J293,D264:D293,1,G264:G293,"mon")</f>
        <v>236500</v>
      </c>
      <c r="AF76" s="567">
        <f>COUNTIFS(D264:D293,1,G264:G293,"Mon")</f>
        <v>3</v>
      </c>
      <c r="AG76" s="553"/>
      <c r="AH76" s="553">
        <f t="shared" si="20"/>
        <v>709500</v>
      </c>
      <c r="AI76" s="568">
        <f>AH76/$M$14</f>
        <v>0.13078160209766684</v>
      </c>
      <c r="AJ76" s="814">
        <f>SUM(AI76:AI82)</f>
        <v>0.99999999999999989</v>
      </c>
      <c r="AK76" s="569" t="s">
        <v>344</v>
      </c>
      <c r="AL76" s="145"/>
      <c r="AM76" s="145"/>
      <c r="AN76" s="145"/>
    </row>
    <row r="77" spans="1:40" ht="20">
      <c r="A77" s="145"/>
      <c r="B77" s="152"/>
      <c r="C77" s="50">
        <f t="shared" si="16"/>
        <v>58</v>
      </c>
      <c r="D77" s="51">
        <v>1</v>
      </c>
      <c r="E77" s="187" t="str">
        <f t="shared" si="8"/>
        <v>2</v>
      </c>
      <c r="F77" s="188">
        <f t="shared" si="17"/>
        <v>45349</v>
      </c>
      <c r="G77" s="189" t="str">
        <f t="shared" si="18"/>
        <v>Tue</v>
      </c>
      <c r="H77" s="190"/>
      <c r="I77" s="200"/>
      <c r="J77" s="201">
        <v>209900</v>
      </c>
      <c r="K77" s="202"/>
      <c r="L77" s="59">
        <f t="shared" si="27"/>
        <v>209473.00294117647</v>
      </c>
      <c r="M77" s="60">
        <f t="shared" si="10"/>
        <v>426.9970588235301</v>
      </c>
      <c r="N77" s="61">
        <f t="shared" si="11"/>
        <v>1.0020384347998459</v>
      </c>
      <c r="O77" s="194"/>
      <c r="P77" s="106">
        <f>IF(D77=0,0,SUM($L$51:L77))</f>
        <v>4398933.061764705</v>
      </c>
      <c r="Q77" s="59">
        <f>IF(D77=0,0,SUM($J$51:J77))</f>
        <v>4598710</v>
      </c>
      <c r="R77" s="63">
        <f t="shared" si="12"/>
        <v>199776.93823529501</v>
      </c>
      <c r="S77" s="61">
        <f t="shared" si="13"/>
        <v>1.0454148620654735</v>
      </c>
      <c r="T77" s="80"/>
      <c r="U77" s="59">
        <f>IF(D77=0,0,SUM($L$20:L77))</f>
        <v>9278421.8361591678</v>
      </c>
      <c r="V77" s="59">
        <f>IF(D77=0,0,SUM($J$20:J77))</f>
        <v>9581084</v>
      </c>
      <c r="W77" s="63">
        <f t="shared" si="14"/>
        <v>302662.16384083219</v>
      </c>
      <c r="X77" s="61">
        <f t="shared" si="15"/>
        <v>1.0326200046931817</v>
      </c>
      <c r="Y77" s="145"/>
      <c r="Z77" s="196">
        <f t="shared" si="31"/>
        <v>45349</v>
      </c>
      <c r="AA77" s="197">
        <f t="shared" si="31"/>
        <v>45349</v>
      </c>
      <c r="AB77" s="566">
        <v>45349</v>
      </c>
      <c r="AC77" s="567">
        <v>9</v>
      </c>
      <c r="AD77" s="552" t="s">
        <v>356</v>
      </c>
      <c r="AE77" s="553">
        <f>AVERAGEIFS(J264:J293,D264:D293,1,G264:G293,"tue")</f>
        <v>293290</v>
      </c>
      <c r="AF77" s="567">
        <f>COUNTIFS(D264:D293,1,G264:G293,"tue")</f>
        <v>4</v>
      </c>
      <c r="AG77" s="553"/>
      <c r="AH77" s="553">
        <f t="shared" si="20"/>
        <v>1173160</v>
      </c>
      <c r="AI77" s="568">
        <f t="shared" ref="AI77:AI82" si="33">AH77/$M$14</f>
        <v>0.21624770164467771</v>
      </c>
      <c r="AJ77" s="814"/>
      <c r="AK77" s="569"/>
      <c r="AL77" s="145"/>
      <c r="AM77" s="145"/>
      <c r="AN77" s="145"/>
    </row>
    <row r="78" spans="1:40" ht="20">
      <c r="A78" s="145"/>
      <c r="B78" s="152"/>
      <c r="C78" s="50">
        <f t="shared" si="16"/>
        <v>59</v>
      </c>
      <c r="D78" s="212">
        <v>1</v>
      </c>
      <c r="E78" s="187" t="str">
        <f t="shared" si="8"/>
        <v>2</v>
      </c>
      <c r="F78" s="188">
        <f t="shared" si="17"/>
        <v>45350</v>
      </c>
      <c r="G78" s="189" t="str">
        <f t="shared" si="18"/>
        <v>Wed</v>
      </c>
      <c r="H78" s="190"/>
      <c r="I78" s="200"/>
      <c r="J78" s="201">
        <v>234470</v>
      </c>
      <c r="K78" s="202"/>
      <c r="L78" s="59">
        <f t="shared" si="27"/>
        <v>209473.00294117647</v>
      </c>
      <c r="M78" s="60">
        <f t="shared" si="10"/>
        <v>24996.99705882353</v>
      </c>
      <c r="N78" s="61">
        <f t="shared" si="11"/>
        <v>1.1193327861244398</v>
      </c>
      <c r="O78" s="194"/>
      <c r="P78" s="106">
        <f>IF(D78=0,0,SUM($L$51:L78))</f>
        <v>4608406.0647058813</v>
      </c>
      <c r="Q78" s="59">
        <f>IF(D78=0,0,SUM($J$51:J78))</f>
        <v>4833180</v>
      </c>
      <c r="R78" s="63">
        <f t="shared" si="12"/>
        <v>224773.93529411871</v>
      </c>
      <c r="S78" s="61">
        <f t="shared" si="13"/>
        <v>1.0487747677045174</v>
      </c>
      <c r="T78" s="80"/>
      <c r="U78" s="59">
        <f>IF(D78=0,0,SUM($L$20:L78))</f>
        <v>9487894.8391003441</v>
      </c>
      <c r="V78" s="59">
        <f>IF(D78=0,0,SUM($J$20:J78))</f>
        <v>9815554</v>
      </c>
      <c r="W78" s="63">
        <f t="shared" si="14"/>
        <v>327659.16089965589</v>
      </c>
      <c r="X78" s="61">
        <f t="shared" si="15"/>
        <v>1.0345344427247809</v>
      </c>
      <c r="Y78" s="145"/>
      <c r="Z78" s="196">
        <f t="shared" si="31"/>
        <v>45350</v>
      </c>
      <c r="AA78" s="197">
        <f t="shared" si="31"/>
        <v>45350</v>
      </c>
      <c r="AB78" s="566">
        <v>45350</v>
      </c>
      <c r="AC78" s="567">
        <v>9</v>
      </c>
      <c r="AD78" s="552" t="s">
        <v>357</v>
      </c>
      <c r="AE78" s="553">
        <f>AVERAGEIFS(J264:J293,D264:D293,1,G264:G293,"wed")</f>
        <v>197822.5</v>
      </c>
      <c r="AF78" s="567">
        <f>COUNTIFS(D264:D293,1,G264:G293,"wed")</f>
        <v>4</v>
      </c>
      <c r="AG78" s="553"/>
      <c r="AH78" s="553">
        <f t="shared" si="20"/>
        <v>791290</v>
      </c>
      <c r="AI78" s="568">
        <f t="shared" si="33"/>
        <v>0.14585789136555716</v>
      </c>
      <c r="AJ78" s="814"/>
      <c r="AK78" s="569"/>
      <c r="AL78" s="145"/>
      <c r="AM78" s="145"/>
      <c r="AN78" s="145"/>
    </row>
    <row r="79" spans="1:40" ht="21" thickBot="1">
      <c r="A79" s="145"/>
      <c r="B79" s="152"/>
      <c r="C79" s="100">
        <f t="shared" si="16"/>
        <v>60</v>
      </c>
      <c r="D79" s="85">
        <v>1</v>
      </c>
      <c r="E79" s="203" t="str">
        <f t="shared" si="8"/>
        <v>2</v>
      </c>
      <c r="F79" s="204">
        <f t="shared" si="17"/>
        <v>45351</v>
      </c>
      <c r="G79" s="205" t="str">
        <f t="shared" si="18"/>
        <v>Thu</v>
      </c>
      <c r="H79" s="206"/>
      <c r="I79" s="207"/>
      <c r="J79" s="208">
        <v>168650</v>
      </c>
      <c r="K79" s="202"/>
      <c r="L79" s="103">
        <f t="shared" si="27"/>
        <v>209473.00294117647</v>
      </c>
      <c r="M79" s="91">
        <f t="shared" si="10"/>
        <v>-40823.00294117647</v>
      </c>
      <c r="N79" s="108">
        <f t="shared" si="11"/>
        <v>0.8051156837970177</v>
      </c>
      <c r="O79" s="209"/>
      <c r="P79" s="210">
        <f>IF(D79=0,0,SUM($L$51:L79))</f>
        <v>4817879.0676470576</v>
      </c>
      <c r="Q79" s="103">
        <f>IF(D79=0,0,SUM($J$51:J79))</f>
        <v>5001830</v>
      </c>
      <c r="R79" s="105">
        <f t="shared" si="12"/>
        <v>183950.93235294241</v>
      </c>
      <c r="S79" s="108">
        <f t="shared" si="13"/>
        <v>1.0381808944911479</v>
      </c>
      <c r="T79" s="211"/>
      <c r="U79" s="103">
        <f>IF(D79=0,0,SUM($L$20:L79))</f>
        <v>9697367.8420415204</v>
      </c>
      <c r="V79" s="103">
        <f>IF(D79=0,0,SUM($J$20:J79))</f>
        <v>9984204</v>
      </c>
      <c r="W79" s="105">
        <f t="shared" si="14"/>
        <v>286836.1579584796</v>
      </c>
      <c r="X79" s="108">
        <f t="shared" si="15"/>
        <v>1.0295787643235459</v>
      </c>
      <c r="Y79" s="145"/>
      <c r="Z79" s="196">
        <f t="shared" si="31"/>
        <v>45351</v>
      </c>
      <c r="AA79" s="197">
        <f t="shared" si="31"/>
        <v>45351</v>
      </c>
      <c r="AB79" s="566">
        <v>45351</v>
      </c>
      <c r="AC79" s="567">
        <v>9</v>
      </c>
      <c r="AD79" s="552" t="s">
        <v>358</v>
      </c>
      <c r="AE79" s="553">
        <f>AVERAGEIFS(J264:J293,D264:D293,1,G264:G293,"thu")</f>
        <v>222967.5</v>
      </c>
      <c r="AF79" s="567">
        <f>COUNTIFS(D264:D293,1,G264:G293,"thu")</f>
        <v>4</v>
      </c>
      <c r="AG79" s="553"/>
      <c r="AH79" s="553">
        <f t="shared" si="20"/>
        <v>891870</v>
      </c>
      <c r="AI79" s="568">
        <f t="shared" si="33"/>
        <v>0.164397727220361</v>
      </c>
      <c r="AJ79" s="814"/>
      <c r="AK79" s="569"/>
      <c r="AL79" s="145"/>
      <c r="AM79" s="145"/>
      <c r="AN79" s="145"/>
    </row>
    <row r="80" spans="1:40" ht="21" thickTop="1">
      <c r="A80" s="145"/>
      <c r="B80" s="152"/>
      <c r="C80" s="50">
        <f t="shared" si="16"/>
        <v>61</v>
      </c>
      <c r="D80" s="96">
        <v>1</v>
      </c>
      <c r="E80" s="187" t="str">
        <f t="shared" si="8"/>
        <v>3</v>
      </c>
      <c r="F80" s="188">
        <f t="shared" si="17"/>
        <v>45352</v>
      </c>
      <c r="G80" s="189" t="str">
        <f t="shared" si="18"/>
        <v>Fri</v>
      </c>
      <c r="H80" s="190"/>
      <c r="I80" s="200"/>
      <c r="J80" s="201">
        <v>305050</v>
      </c>
      <c r="K80" s="202"/>
      <c r="L80" s="59">
        <f>IF(D80=0,0,$K$8)</f>
        <v>246438.82698961941</v>
      </c>
      <c r="M80" s="63">
        <f t="shared" si="10"/>
        <v>58611.173010380589</v>
      </c>
      <c r="N80" s="97">
        <f t="shared" si="11"/>
        <v>1.2378325433794142</v>
      </c>
      <c r="O80" s="194"/>
      <c r="P80" s="107">
        <f>IF(D80=0,0,$L$80)</f>
        <v>246438.82698961941</v>
      </c>
      <c r="Q80" s="59">
        <f>IF(D80=0,0,$J$80)</f>
        <v>305050</v>
      </c>
      <c r="R80" s="63">
        <f t="shared" si="12"/>
        <v>58611.173010380589</v>
      </c>
      <c r="S80" s="97">
        <f t="shared" si="13"/>
        <v>1.2378325433794142</v>
      </c>
      <c r="T80" s="80"/>
      <c r="U80" s="59">
        <f>IF(D80=0,0,SUM($L$20:L80))</f>
        <v>9943806.6690311395</v>
      </c>
      <c r="V80" s="59">
        <f>IF(D80=0,0,SUM($J$20:J80))</f>
        <v>10289254</v>
      </c>
      <c r="W80" s="63">
        <f t="shared" si="14"/>
        <v>345447.33096886054</v>
      </c>
      <c r="X80" s="97">
        <f t="shared" si="15"/>
        <v>1.034739948438933</v>
      </c>
      <c r="Y80" s="145"/>
      <c r="Z80" s="196">
        <f t="shared" si="31"/>
        <v>45352</v>
      </c>
      <c r="AA80" s="197">
        <f t="shared" si="31"/>
        <v>45352</v>
      </c>
      <c r="AB80" s="566">
        <v>45352</v>
      </c>
      <c r="AC80" s="567">
        <v>9</v>
      </c>
      <c r="AD80" s="552" t="s">
        <v>359</v>
      </c>
      <c r="AE80" s="553">
        <f>AVERAGEIFS(J264:J293,D264:D293,1,G264:G293,"fri")</f>
        <v>331241.25</v>
      </c>
      <c r="AF80" s="567">
        <f>COUNTIFS(D264:D293,1,G264:G293,"fri")</f>
        <v>4</v>
      </c>
      <c r="AG80" s="553"/>
      <c r="AH80" s="553">
        <f t="shared" si="20"/>
        <v>1324965</v>
      </c>
      <c r="AI80" s="568">
        <f t="shared" si="33"/>
        <v>0.24422980327460911</v>
      </c>
      <c r="AJ80" s="814"/>
      <c r="AK80" s="569"/>
      <c r="AL80" s="145"/>
      <c r="AM80" s="145"/>
      <c r="AN80" s="145"/>
    </row>
    <row r="81" spans="1:40" ht="20">
      <c r="A81" s="145"/>
      <c r="B81" s="152"/>
      <c r="C81" s="50">
        <f t="shared" si="16"/>
        <v>62</v>
      </c>
      <c r="D81" s="51">
        <v>1</v>
      </c>
      <c r="E81" s="187" t="str">
        <f t="shared" si="8"/>
        <v>3</v>
      </c>
      <c r="F81" s="188">
        <f t="shared" si="17"/>
        <v>45353</v>
      </c>
      <c r="G81" s="189" t="str">
        <f t="shared" si="18"/>
        <v>Sat</v>
      </c>
      <c r="H81" s="190"/>
      <c r="I81" s="200"/>
      <c r="J81" s="201">
        <v>148490</v>
      </c>
      <c r="K81" s="202"/>
      <c r="L81" s="59">
        <f t="shared" ref="L81:L110" si="34">IF(D81=0,0,$K$8)</f>
        <v>246438.82698961941</v>
      </c>
      <c r="M81" s="60">
        <f t="shared" si="10"/>
        <v>-97948.826989619411</v>
      </c>
      <c r="N81" s="61">
        <f t="shared" si="11"/>
        <v>0.60254304004723558</v>
      </c>
      <c r="O81" s="194"/>
      <c r="P81" s="106">
        <f>IF(D81=0,0,SUM($L$80:L81))</f>
        <v>492877.65397923882</v>
      </c>
      <c r="Q81" s="59">
        <f>IF(D81=0,0,SUM($J$80:J81))</f>
        <v>453540</v>
      </c>
      <c r="R81" s="63">
        <f t="shared" si="12"/>
        <v>-39337.653979238821</v>
      </c>
      <c r="S81" s="61">
        <f t="shared" si="13"/>
        <v>0.92018779171332488</v>
      </c>
      <c r="T81" s="81"/>
      <c r="U81" s="59">
        <f>IF(D81=0,0,SUM($L$20:L81))</f>
        <v>10190245.496020759</v>
      </c>
      <c r="V81" s="59">
        <f>IF(D81=0,0,SUM($J$20:J81))</f>
        <v>10437744</v>
      </c>
      <c r="W81" s="63">
        <f t="shared" si="14"/>
        <v>247498.50397924148</v>
      </c>
      <c r="X81" s="61">
        <f t="shared" si="15"/>
        <v>1.024287786204551</v>
      </c>
      <c r="Y81" s="145"/>
      <c r="Z81" s="196">
        <f t="shared" si="31"/>
        <v>45353</v>
      </c>
      <c r="AA81" s="197">
        <f t="shared" si="31"/>
        <v>45353</v>
      </c>
      <c r="AB81" s="566">
        <v>45353</v>
      </c>
      <c r="AC81" s="567">
        <v>9</v>
      </c>
      <c r="AD81" s="552" t="s">
        <v>360</v>
      </c>
      <c r="AE81" s="553">
        <f>AVERAGEIFS(J264:J293,D264:D293,1,G264:G293,"sat")</f>
        <v>133572.5</v>
      </c>
      <c r="AF81" s="567">
        <f>COUNTIFS(D264:D293,1,G264:G293,"sat")</f>
        <v>4</v>
      </c>
      <c r="AG81" s="553"/>
      <c r="AH81" s="553">
        <f t="shared" si="20"/>
        <v>534290</v>
      </c>
      <c r="AI81" s="568">
        <f t="shared" si="33"/>
        <v>9.8485274397128147E-2</v>
      </c>
      <c r="AJ81" s="814"/>
      <c r="AK81" s="569"/>
      <c r="AL81" s="145"/>
      <c r="AM81" s="145"/>
      <c r="AN81" s="145"/>
    </row>
    <row r="82" spans="1:40" ht="20">
      <c r="A82" s="145"/>
      <c r="B82" s="152"/>
      <c r="C82" s="50">
        <f t="shared" si="16"/>
        <v>63</v>
      </c>
      <c r="D82" s="51">
        <v>0</v>
      </c>
      <c r="E82" s="187" t="str">
        <f t="shared" si="8"/>
        <v>3</v>
      </c>
      <c r="F82" s="188">
        <f t="shared" si="17"/>
        <v>45354</v>
      </c>
      <c r="G82" s="189" t="str">
        <f t="shared" si="18"/>
        <v>Sun</v>
      </c>
      <c r="H82" s="190" t="s">
        <v>58</v>
      </c>
      <c r="I82" s="191"/>
      <c r="J82" s="192">
        <v>0</v>
      </c>
      <c r="K82" s="193"/>
      <c r="L82" s="59">
        <f t="shared" si="34"/>
        <v>0</v>
      </c>
      <c r="M82" s="60">
        <f t="shared" si="10"/>
        <v>0</v>
      </c>
      <c r="N82" s="61" t="str">
        <f t="shared" si="11"/>
        <v>0%</v>
      </c>
      <c r="O82" s="194"/>
      <c r="P82" s="106">
        <f>IF(D82=0,0,SUM($L$80:L82))</f>
        <v>0</v>
      </c>
      <c r="Q82" s="59">
        <f>IF(D82=0,0,SUM($J$80:J82))</f>
        <v>0</v>
      </c>
      <c r="R82" s="63">
        <f t="shared" si="12"/>
        <v>0</v>
      </c>
      <c r="S82" s="61" t="str">
        <f t="shared" si="13"/>
        <v>0%</v>
      </c>
      <c r="T82" s="80"/>
      <c r="U82" s="59">
        <f>IF(D82=0,0,SUM($L$20:L82))</f>
        <v>0</v>
      </c>
      <c r="V82" s="59">
        <f>IF(D82=0,0,SUM($J$20:J82))</f>
        <v>0</v>
      </c>
      <c r="W82" s="63">
        <f t="shared" si="14"/>
        <v>0</v>
      </c>
      <c r="X82" s="61" t="str">
        <f t="shared" si="15"/>
        <v>0%</v>
      </c>
      <c r="Y82" s="145"/>
      <c r="Z82" s="196">
        <f t="shared" si="31"/>
        <v>45354</v>
      </c>
      <c r="AA82" s="197">
        <f t="shared" si="31"/>
        <v>45354</v>
      </c>
      <c r="AB82" s="566">
        <v>45354</v>
      </c>
      <c r="AC82" s="567">
        <v>9</v>
      </c>
      <c r="AD82" s="552" t="s">
        <v>361</v>
      </c>
      <c r="AE82" s="553">
        <f>IFERROR(AVERAGEIFS(J264:J293,D264:D293,1,G264:G293,"sun"),0)</f>
        <v>0</v>
      </c>
      <c r="AF82" s="567">
        <f>IFERROR(COUNTIFS(D264:D293,1,G264:G293,"sun"),0)</f>
        <v>0</v>
      </c>
      <c r="AG82" s="553"/>
      <c r="AH82" s="553">
        <f t="shared" si="20"/>
        <v>0</v>
      </c>
      <c r="AI82" s="568">
        <f t="shared" si="33"/>
        <v>0</v>
      </c>
      <c r="AJ82" s="814"/>
      <c r="AK82" s="569"/>
      <c r="AL82" s="145"/>
      <c r="AM82" s="145"/>
      <c r="AN82" s="145"/>
    </row>
    <row r="83" spans="1:40" ht="20">
      <c r="A83" s="145"/>
      <c r="B83" s="152"/>
      <c r="C83" s="50">
        <f t="shared" si="16"/>
        <v>64</v>
      </c>
      <c r="D83" s="51">
        <v>1</v>
      </c>
      <c r="E83" s="187" t="str">
        <f t="shared" si="8"/>
        <v>3</v>
      </c>
      <c r="F83" s="188">
        <f t="shared" si="17"/>
        <v>45355</v>
      </c>
      <c r="G83" s="189" t="str">
        <f t="shared" si="18"/>
        <v>Mon</v>
      </c>
      <c r="H83" s="190"/>
      <c r="I83" s="200"/>
      <c r="J83" s="201">
        <v>166560</v>
      </c>
      <c r="K83" s="202"/>
      <c r="L83" s="59">
        <f t="shared" si="34"/>
        <v>246438.82698961941</v>
      </c>
      <c r="M83" s="60">
        <f t="shared" si="10"/>
        <v>-79878.826989619411</v>
      </c>
      <c r="N83" s="61">
        <f t="shared" si="11"/>
        <v>0.67586752475094314</v>
      </c>
      <c r="O83" s="194"/>
      <c r="P83" s="106">
        <f>IF(D83=0,0,SUM($L$80:L83))</f>
        <v>739316.48096885823</v>
      </c>
      <c r="Q83" s="59">
        <f>IF(D83=0,0,SUM($J$80:J83))</f>
        <v>620100</v>
      </c>
      <c r="R83" s="63">
        <f t="shared" si="12"/>
        <v>-119216.48096885823</v>
      </c>
      <c r="S83" s="61">
        <f t="shared" si="13"/>
        <v>0.8387477027258643</v>
      </c>
      <c r="T83" s="80"/>
      <c r="U83" s="59">
        <f>IF(D83=0,0,SUM($L$20:L83))</f>
        <v>10436684.323010378</v>
      </c>
      <c r="V83" s="59">
        <f>IF(D83=0,0,SUM($J$20:J83))</f>
        <v>10604304</v>
      </c>
      <c r="W83" s="63">
        <f t="shared" si="14"/>
        <v>167619.67698962241</v>
      </c>
      <c r="X83" s="61">
        <f t="shared" si="15"/>
        <v>1.0160606253673938</v>
      </c>
      <c r="Y83" s="145"/>
      <c r="Z83" s="196">
        <f t="shared" si="31"/>
        <v>45355</v>
      </c>
      <c r="AA83" s="197">
        <f t="shared" si="31"/>
        <v>45355</v>
      </c>
      <c r="AB83" s="566">
        <v>45355</v>
      </c>
      <c r="AC83" s="567">
        <v>10</v>
      </c>
      <c r="AD83" s="552" t="s">
        <v>355</v>
      </c>
      <c r="AE83" s="553">
        <f>AVERAGEIFS(J294:J324,D294:D324,1,G294:G324,"mon")</f>
        <v>234683.33333333334</v>
      </c>
      <c r="AF83" s="567">
        <f>COUNTIFS(D294:D324,1,G294:G324,"Mon")</f>
        <v>3</v>
      </c>
      <c r="AG83" s="553"/>
      <c r="AH83" s="553">
        <f t="shared" si="20"/>
        <v>704050</v>
      </c>
      <c r="AI83" s="568">
        <f>AH83/$M$15</f>
        <v>0.12672958295608161</v>
      </c>
      <c r="AJ83" s="814">
        <f>SUM(AI83:AI89)</f>
        <v>1</v>
      </c>
      <c r="AK83" s="569" t="s">
        <v>346</v>
      </c>
      <c r="AL83" s="145"/>
      <c r="AM83" s="145"/>
      <c r="AN83" s="145"/>
    </row>
    <row r="84" spans="1:40" ht="20">
      <c r="A84" s="145"/>
      <c r="B84" s="152"/>
      <c r="C84" s="50">
        <f t="shared" si="16"/>
        <v>65</v>
      </c>
      <c r="D84" s="51">
        <v>1</v>
      </c>
      <c r="E84" s="187" t="str">
        <f t="shared" si="8"/>
        <v>3</v>
      </c>
      <c r="F84" s="188">
        <f t="shared" si="17"/>
        <v>45356</v>
      </c>
      <c r="G84" s="189" t="str">
        <f t="shared" si="18"/>
        <v>Tue</v>
      </c>
      <c r="H84" s="190"/>
      <c r="I84" s="200"/>
      <c r="J84" s="201">
        <v>292350</v>
      </c>
      <c r="K84" s="202"/>
      <c r="L84" s="59">
        <f t="shared" si="34"/>
        <v>246438.82698961941</v>
      </c>
      <c r="M84" s="60">
        <f t="shared" ref="M84:M147" si="35">IF(D84=0,0,J84-L84)</f>
        <v>45911.173010380589</v>
      </c>
      <c r="N84" s="61">
        <f t="shared" si="11"/>
        <v>1.1862984561775831</v>
      </c>
      <c r="O84" s="194"/>
      <c r="P84" s="106">
        <f>IF(D84=0,0,SUM($L$80:L84))</f>
        <v>985755.30795847764</v>
      </c>
      <c r="Q84" s="59">
        <f>IF(D84=0,0,SUM($J$80:J84))</f>
        <v>912450</v>
      </c>
      <c r="R84" s="63">
        <f t="shared" ref="R84:R147" si="36">IF(D84=0,0,Q84-P84)</f>
        <v>-73305.307958477642</v>
      </c>
      <c r="S84" s="61">
        <f t="shared" si="13"/>
        <v>0.925635391088794</v>
      </c>
      <c r="T84" s="80"/>
      <c r="U84" s="59">
        <f>IF(D84=0,0,SUM($L$20:L84))</f>
        <v>10683123.149999997</v>
      </c>
      <c r="V84" s="59">
        <f>IF(D84=0,0,SUM($J$20:J84))</f>
        <v>10896654</v>
      </c>
      <c r="W84" s="63">
        <f t="shared" ref="W84:W147" si="37">IF(D84=0,0,V84-U84)</f>
        <v>213530.85000000335</v>
      </c>
      <c r="X84" s="61">
        <f t="shared" si="15"/>
        <v>1.0199876802880441</v>
      </c>
      <c r="Y84" s="145"/>
      <c r="Z84" s="196">
        <f t="shared" si="31"/>
        <v>45356</v>
      </c>
      <c r="AA84" s="197">
        <f t="shared" si="31"/>
        <v>45356</v>
      </c>
      <c r="AB84" s="566">
        <v>45356</v>
      </c>
      <c r="AC84" s="567">
        <v>10</v>
      </c>
      <c r="AD84" s="552" t="s">
        <v>356</v>
      </c>
      <c r="AE84" s="553">
        <f>AVERAGEIFS(J294:J324,D294:D324,1,G294:G324,"tue")</f>
        <v>197950</v>
      </c>
      <c r="AF84" s="567">
        <f>COUNTIFS(D294:D324,1,G294:G324,"tue")</f>
        <v>5</v>
      </c>
      <c r="AG84" s="553"/>
      <c r="AH84" s="553">
        <f t="shared" si="20"/>
        <v>989750</v>
      </c>
      <c r="AI84" s="568">
        <f t="shared" ref="AI84:AI89" si="38">AH84/$M$15</f>
        <v>0.17815581951676979</v>
      </c>
      <c r="AJ84" s="814"/>
      <c r="AK84" s="569"/>
      <c r="AL84" s="145"/>
      <c r="AM84" s="145"/>
      <c r="AN84" s="145"/>
    </row>
    <row r="85" spans="1:40" ht="20">
      <c r="A85" s="145"/>
      <c r="B85" s="152"/>
      <c r="C85" s="50">
        <f t="shared" ref="C85:C148" si="39">C84+1</f>
        <v>66</v>
      </c>
      <c r="D85" s="51">
        <v>1</v>
      </c>
      <c r="E85" s="187" t="str">
        <f t="shared" si="8"/>
        <v>3</v>
      </c>
      <c r="F85" s="188">
        <f t="shared" ref="F85:F148" si="40">F84+1</f>
        <v>45357</v>
      </c>
      <c r="G85" s="189" t="str">
        <f t="shared" ref="G85:G148" si="41">TEXT(Z85,"ddd")</f>
        <v>Wed</v>
      </c>
      <c r="H85" s="190"/>
      <c r="I85" s="200"/>
      <c r="J85" s="201">
        <v>145450</v>
      </c>
      <c r="K85" s="202"/>
      <c r="L85" s="59">
        <f t="shared" si="34"/>
        <v>246438.82698961941</v>
      </c>
      <c r="M85" s="60">
        <f t="shared" si="35"/>
        <v>-100988.82698961941</v>
      </c>
      <c r="N85" s="61">
        <f t="shared" si="11"/>
        <v>0.59020732153593114</v>
      </c>
      <c r="O85" s="194"/>
      <c r="P85" s="106">
        <f>IF(D85=0,0,SUM($L$80:L85))</f>
        <v>1232194.1349480972</v>
      </c>
      <c r="Q85" s="59">
        <f>IF(D85=0,0,SUM($J$80:J85))</f>
        <v>1057900</v>
      </c>
      <c r="R85" s="63">
        <f t="shared" si="36"/>
        <v>-174294.13494809717</v>
      </c>
      <c r="S85" s="61">
        <f t="shared" si="13"/>
        <v>0.85854977717822134</v>
      </c>
      <c r="T85" s="80"/>
      <c r="U85" s="59">
        <f>IF(D85=0,0,SUM($L$20:L85))</f>
        <v>10929561.976989616</v>
      </c>
      <c r="V85" s="59">
        <f>IF(D85=0,0,SUM($J$20:J85))</f>
        <v>11042104</v>
      </c>
      <c r="W85" s="63">
        <f t="shared" si="37"/>
        <v>112542.02301038429</v>
      </c>
      <c r="X85" s="61">
        <f t="shared" si="15"/>
        <v>1.0102970295833742</v>
      </c>
      <c r="Y85" s="145"/>
      <c r="Z85" s="196">
        <f t="shared" ref="Z85:AA100" si="42">Z84+1</f>
        <v>45357</v>
      </c>
      <c r="AA85" s="197">
        <f t="shared" si="42"/>
        <v>45357</v>
      </c>
      <c r="AB85" s="566">
        <v>45357</v>
      </c>
      <c r="AC85" s="567">
        <v>10</v>
      </c>
      <c r="AD85" s="552" t="s">
        <v>357</v>
      </c>
      <c r="AE85" s="553">
        <f>AVERAGEIFS(J294:J324,D294:D324,1,G294:G324,"wed")</f>
        <v>213546</v>
      </c>
      <c r="AF85" s="567">
        <f>COUNTIFS(D294:D324,1,G294:G324,"wed")</f>
        <v>5</v>
      </c>
      <c r="AG85" s="553"/>
      <c r="AH85" s="553">
        <f t="shared" ref="AH85:AH103" si="43">AE85*AF85</f>
        <v>1067730</v>
      </c>
      <c r="AI85" s="568">
        <f t="shared" si="38"/>
        <v>0.19219228408450678</v>
      </c>
      <c r="AJ85" s="814"/>
      <c r="AK85" s="569"/>
      <c r="AL85" s="145"/>
      <c r="AM85" s="145"/>
      <c r="AN85" s="145"/>
    </row>
    <row r="86" spans="1:40" ht="20">
      <c r="A86" s="145"/>
      <c r="B86" s="152"/>
      <c r="C86" s="50">
        <f t="shared" si="39"/>
        <v>67</v>
      </c>
      <c r="D86" s="51">
        <v>1</v>
      </c>
      <c r="E86" s="187" t="str">
        <f t="shared" si="8"/>
        <v>3</v>
      </c>
      <c r="F86" s="188">
        <f t="shared" si="40"/>
        <v>45358</v>
      </c>
      <c r="G86" s="189" t="str">
        <f t="shared" si="41"/>
        <v>Thu</v>
      </c>
      <c r="H86" s="190"/>
      <c r="I86" s="200"/>
      <c r="J86" s="201">
        <v>317890</v>
      </c>
      <c r="K86" s="202"/>
      <c r="L86" s="59">
        <f t="shared" si="34"/>
        <v>246438.82698961941</v>
      </c>
      <c r="M86" s="60">
        <f t="shared" si="35"/>
        <v>71451.173010380589</v>
      </c>
      <c r="N86" s="61">
        <f t="shared" si="11"/>
        <v>1.2899347228811078</v>
      </c>
      <c r="O86" s="194"/>
      <c r="P86" s="106">
        <f>IF(D86=0,0,SUM($L$80:L86))</f>
        <v>1478632.9619377167</v>
      </c>
      <c r="Q86" s="59">
        <f>IF(D86=0,0,SUM($J$80:J86))</f>
        <v>1375790</v>
      </c>
      <c r="R86" s="63">
        <f t="shared" si="36"/>
        <v>-102842.9619377167</v>
      </c>
      <c r="S86" s="61">
        <f t="shared" si="13"/>
        <v>0.93044726812870238</v>
      </c>
      <c r="T86" s="80"/>
      <c r="U86" s="59">
        <f>IF(D86=0,0,SUM($L$20:L86))</f>
        <v>11176000.803979235</v>
      </c>
      <c r="V86" s="59">
        <f>IF(D86=0,0,SUM($J$20:J86))</f>
        <v>11359994</v>
      </c>
      <c r="W86" s="63">
        <f t="shared" si="37"/>
        <v>183993.19602076523</v>
      </c>
      <c r="X86" s="61">
        <f t="shared" si="15"/>
        <v>1.0164632411224643</v>
      </c>
      <c r="Y86" s="145"/>
      <c r="Z86" s="196">
        <f t="shared" si="42"/>
        <v>45358</v>
      </c>
      <c r="AA86" s="197">
        <f t="shared" si="42"/>
        <v>45358</v>
      </c>
      <c r="AB86" s="566">
        <v>45358</v>
      </c>
      <c r="AC86" s="567">
        <v>10</v>
      </c>
      <c r="AD86" s="552" t="s">
        <v>358</v>
      </c>
      <c r="AE86" s="553">
        <f>AVERAGEIFS(J294:J324,D294:D324,1,G294:G324,"thu")</f>
        <v>249020</v>
      </c>
      <c r="AF86" s="567">
        <f>COUNTIFS(D294:D324,1,G294:G324,"thu")</f>
        <v>5</v>
      </c>
      <c r="AG86" s="553"/>
      <c r="AH86" s="553">
        <f t="shared" si="43"/>
        <v>1245100</v>
      </c>
      <c r="AI86" s="568">
        <f t="shared" si="38"/>
        <v>0.22411903094754235</v>
      </c>
      <c r="AJ86" s="814"/>
      <c r="AK86" s="569"/>
      <c r="AL86" s="145"/>
      <c r="AM86" s="145"/>
      <c r="AN86" s="145"/>
    </row>
    <row r="87" spans="1:40" ht="20">
      <c r="A87" s="145"/>
      <c r="B87" s="152"/>
      <c r="C87" s="50">
        <f t="shared" si="39"/>
        <v>68</v>
      </c>
      <c r="D87" s="51">
        <v>1</v>
      </c>
      <c r="E87" s="187" t="str">
        <f t="shared" si="8"/>
        <v>3</v>
      </c>
      <c r="F87" s="188">
        <f t="shared" si="40"/>
        <v>45359</v>
      </c>
      <c r="G87" s="189" t="str">
        <f t="shared" si="41"/>
        <v>Fri</v>
      </c>
      <c r="H87" s="190"/>
      <c r="I87" s="200"/>
      <c r="J87" s="201">
        <v>266360</v>
      </c>
      <c r="K87" s="202"/>
      <c r="L87" s="59">
        <f t="shared" si="34"/>
        <v>246438.82698961941</v>
      </c>
      <c r="M87" s="60">
        <f t="shared" si="35"/>
        <v>19921.173010380589</v>
      </c>
      <c r="N87" s="61">
        <f t="shared" si="11"/>
        <v>1.0808361785102139</v>
      </c>
      <c r="O87" s="194"/>
      <c r="P87" s="106">
        <f>IF(D87=0,0,SUM($L$80:L87))</f>
        <v>1725071.7889273362</v>
      </c>
      <c r="Q87" s="59">
        <f>IF(D87=0,0,SUM($J$80:J87))</f>
        <v>1642150</v>
      </c>
      <c r="R87" s="63">
        <f t="shared" si="36"/>
        <v>-82921.788927336223</v>
      </c>
      <c r="S87" s="61">
        <f t="shared" si="13"/>
        <v>0.95193139818320394</v>
      </c>
      <c r="T87" s="80"/>
      <c r="U87" s="59">
        <f>IF(D87=0,0,SUM($L$20:L87))</f>
        <v>11422439.630968854</v>
      </c>
      <c r="V87" s="59">
        <f>IF(D87=0,0,SUM($J$20:J87))</f>
        <v>11626354</v>
      </c>
      <c r="W87" s="63">
        <f t="shared" si="37"/>
        <v>203914.36903114617</v>
      </c>
      <c r="X87" s="61">
        <f t="shared" si="15"/>
        <v>1.0178520855105495</v>
      </c>
      <c r="Y87" s="145"/>
      <c r="Z87" s="196">
        <f t="shared" si="42"/>
        <v>45359</v>
      </c>
      <c r="AA87" s="197">
        <f t="shared" si="42"/>
        <v>45359</v>
      </c>
      <c r="AB87" s="566">
        <v>45359</v>
      </c>
      <c r="AC87" s="567">
        <v>10</v>
      </c>
      <c r="AD87" s="552" t="s">
        <v>359</v>
      </c>
      <c r="AE87" s="553">
        <f>AVERAGEIFS(J294:J324,D294:D324,1,G294:G324,"fri")</f>
        <v>250932.5</v>
      </c>
      <c r="AF87" s="567">
        <f>COUNTIFS(D294:D324,1,G294:G324,"fri")</f>
        <v>4</v>
      </c>
      <c r="AG87" s="553"/>
      <c r="AH87" s="553">
        <f t="shared" si="43"/>
        <v>1003730</v>
      </c>
      <c r="AI87" s="568">
        <f t="shared" si="38"/>
        <v>0.18067223109226302</v>
      </c>
      <c r="AJ87" s="814"/>
      <c r="AK87" s="569"/>
      <c r="AL87" s="145"/>
      <c r="AM87" s="145"/>
      <c r="AN87" s="145"/>
    </row>
    <row r="88" spans="1:40" ht="20">
      <c r="A88" s="145"/>
      <c r="B88" s="152"/>
      <c r="C88" s="50">
        <f t="shared" si="39"/>
        <v>69</v>
      </c>
      <c r="D88" s="51">
        <v>1</v>
      </c>
      <c r="E88" s="187" t="str">
        <f t="shared" si="8"/>
        <v>3</v>
      </c>
      <c r="F88" s="188">
        <f t="shared" si="40"/>
        <v>45360</v>
      </c>
      <c r="G88" s="189" t="str">
        <f t="shared" si="41"/>
        <v>Sat</v>
      </c>
      <c r="H88" s="190"/>
      <c r="I88" s="200"/>
      <c r="J88" s="201">
        <v>118114</v>
      </c>
      <c r="K88" s="202"/>
      <c r="L88" s="59">
        <f t="shared" si="34"/>
        <v>246438.82698961941</v>
      </c>
      <c r="M88" s="60">
        <f t="shared" si="35"/>
        <v>-128324.82698961941</v>
      </c>
      <c r="N88" s="61">
        <f t="shared" si="11"/>
        <v>0.4792832421855962</v>
      </c>
      <c r="O88" s="194"/>
      <c r="P88" s="106">
        <f>IF(D88=0,0,SUM($L$80:L88))</f>
        <v>1971510.6159169558</v>
      </c>
      <c r="Q88" s="59">
        <f>IF(D88=0,0,SUM($J$80:J88))</f>
        <v>1760264</v>
      </c>
      <c r="R88" s="63">
        <f t="shared" si="36"/>
        <v>-211246.61591695575</v>
      </c>
      <c r="S88" s="61">
        <f t="shared" si="13"/>
        <v>0.89285037868350292</v>
      </c>
      <c r="T88" s="81"/>
      <c r="U88" s="59">
        <f>IF(D88=0,0,SUM($L$20:L88))</f>
        <v>11668878.457958473</v>
      </c>
      <c r="V88" s="59">
        <f>IF(D88=0,0,SUM($J$20:J88))</f>
        <v>11744468</v>
      </c>
      <c r="W88" s="63">
        <f t="shared" si="37"/>
        <v>75589.542041527107</v>
      </c>
      <c r="X88" s="61">
        <f t="shared" si="15"/>
        <v>1.0064778755142465</v>
      </c>
      <c r="Y88" s="145"/>
      <c r="Z88" s="196">
        <f t="shared" si="42"/>
        <v>45360</v>
      </c>
      <c r="AA88" s="197">
        <f t="shared" si="42"/>
        <v>45360</v>
      </c>
      <c r="AB88" s="566">
        <v>45360</v>
      </c>
      <c r="AC88" s="567">
        <v>10</v>
      </c>
      <c r="AD88" s="552" t="s">
        <v>360</v>
      </c>
      <c r="AE88" s="553">
        <f>AVERAGEIFS(J294:J324,D294:D324,1,G294:G324,"sat")</f>
        <v>136292.5</v>
      </c>
      <c r="AF88" s="567">
        <f>COUNTIFS(D294:D324,1,G294:G324,"sat")</f>
        <v>4</v>
      </c>
      <c r="AG88" s="553"/>
      <c r="AH88" s="553">
        <f t="shared" si="43"/>
        <v>545170</v>
      </c>
      <c r="AI88" s="568">
        <f t="shared" si="38"/>
        <v>9.8131051402836456E-2</v>
      </c>
      <c r="AJ88" s="814"/>
      <c r="AK88" s="569"/>
      <c r="AL88" s="145"/>
      <c r="AM88" s="145"/>
      <c r="AN88" s="145"/>
    </row>
    <row r="89" spans="1:40" ht="20">
      <c r="A89" s="145"/>
      <c r="B89" s="152"/>
      <c r="C89" s="50">
        <f t="shared" si="39"/>
        <v>70</v>
      </c>
      <c r="D89" s="51">
        <v>0</v>
      </c>
      <c r="E89" s="187" t="str">
        <f t="shared" si="8"/>
        <v>3</v>
      </c>
      <c r="F89" s="188">
        <f t="shared" si="40"/>
        <v>45361</v>
      </c>
      <c r="G89" s="189" t="str">
        <f t="shared" si="41"/>
        <v>Sun</v>
      </c>
      <c r="H89" s="190" t="s">
        <v>58</v>
      </c>
      <c r="I89" s="191"/>
      <c r="J89" s="192">
        <v>0</v>
      </c>
      <c r="K89" s="193"/>
      <c r="L89" s="59">
        <f t="shared" si="34"/>
        <v>0</v>
      </c>
      <c r="M89" s="60">
        <f t="shared" si="35"/>
        <v>0</v>
      </c>
      <c r="N89" s="61" t="str">
        <f t="shared" si="11"/>
        <v>0%</v>
      </c>
      <c r="O89" s="194"/>
      <c r="P89" s="106">
        <f>IF(D89=0,0,SUM($L$80:L89))</f>
        <v>0</v>
      </c>
      <c r="Q89" s="59">
        <f>IF(D89=0,0,SUM($J$80:J89))</f>
        <v>0</v>
      </c>
      <c r="R89" s="63">
        <f t="shared" si="36"/>
        <v>0</v>
      </c>
      <c r="S89" s="61" t="str">
        <f t="shared" si="13"/>
        <v>0%</v>
      </c>
      <c r="T89" s="80"/>
      <c r="U89" s="59">
        <f>IF(D89=0,0,SUM($L$20:L89))</f>
        <v>0</v>
      </c>
      <c r="V89" s="59">
        <f>IF(D89=0,0,SUM($J$20:J89))</f>
        <v>0</v>
      </c>
      <c r="W89" s="63">
        <f t="shared" si="37"/>
        <v>0</v>
      </c>
      <c r="X89" s="61" t="str">
        <f t="shared" si="15"/>
        <v>0%</v>
      </c>
      <c r="Y89" s="145"/>
      <c r="Z89" s="196">
        <f t="shared" si="42"/>
        <v>45361</v>
      </c>
      <c r="AA89" s="197">
        <f t="shared" si="42"/>
        <v>45361</v>
      </c>
      <c r="AB89" s="566">
        <v>45361</v>
      </c>
      <c r="AC89" s="567">
        <v>10</v>
      </c>
      <c r="AD89" s="552" t="s">
        <v>361</v>
      </c>
      <c r="AE89" s="553">
        <f>IFERROR(AVERAGEIFS(J294:J324,D294:D324,1,G294:G324,"sun"),0)</f>
        <v>0</v>
      </c>
      <c r="AF89" s="567">
        <f>IFERROR(COUNTIFS(D294:D324,1,G294:G324,"sun"),0)</f>
        <v>0</v>
      </c>
      <c r="AG89" s="553"/>
      <c r="AH89" s="553">
        <f t="shared" si="43"/>
        <v>0</v>
      </c>
      <c r="AI89" s="568">
        <f t="shared" si="38"/>
        <v>0</v>
      </c>
      <c r="AJ89" s="814"/>
      <c r="AK89" s="569"/>
      <c r="AL89" s="145"/>
      <c r="AM89" s="145"/>
      <c r="AN89" s="145"/>
    </row>
    <row r="90" spans="1:40" ht="20">
      <c r="A90" s="145"/>
      <c r="B90" s="152"/>
      <c r="C90" s="50">
        <f t="shared" si="39"/>
        <v>71</v>
      </c>
      <c r="D90" s="51">
        <v>1</v>
      </c>
      <c r="E90" s="187" t="str">
        <f t="shared" si="8"/>
        <v>3</v>
      </c>
      <c r="F90" s="188">
        <f t="shared" si="40"/>
        <v>45362</v>
      </c>
      <c r="G90" s="189" t="str">
        <f t="shared" si="41"/>
        <v>Mon</v>
      </c>
      <c r="H90" s="190"/>
      <c r="I90" s="200"/>
      <c r="J90" s="201">
        <v>315600</v>
      </c>
      <c r="K90" s="202"/>
      <c r="L90" s="59">
        <f t="shared" si="34"/>
        <v>246438.82698961941</v>
      </c>
      <c r="M90" s="60">
        <f t="shared" si="35"/>
        <v>69161.173010380589</v>
      </c>
      <c r="N90" s="61">
        <f t="shared" si="11"/>
        <v>1.2806423559762108</v>
      </c>
      <c r="O90" s="194"/>
      <c r="P90" s="106">
        <f>IF(D90=0,0,SUM($L$80:L90))</f>
        <v>2217949.4429065753</v>
      </c>
      <c r="Q90" s="59">
        <f>IF(D90=0,0,SUM($J$80:J90))</f>
        <v>2075864</v>
      </c>
      <c r="R90" s="63">
        <f t="shared" si="36"/>
        <v>-142085.44290657528</v>
      </c>
      <c r="S90" s="61">
        <f t="shared" si="13"/>
        <v>0.93593837616047038</v>
      </c>
      <c r="T90" s="80"/>
      <c r="U90" s="59">
        <f>IF(D90=0,0,SUM($L$20:L90))</f>
        <v>11915317.284948092</v>
      </c>
      <c r="V90" s="59">
        <f>IF(D90=0,0,SUM($J$20:J90))</f>
        <v>12060068</v>
      </c>
      <c r="W90" s="63">
        <f t="shared" si="37"/>
        <v>144750.71505190805</v>
      </c>
      <c r="X90" s="61">
        <f t="shared" si="15"/>
        <v>1.0121482887606159</v>
      </c>
      <c r="Y90" s="145"/>
      <c r="Z90" s="196">
        <f t="shared" si="42"/>
        <v>45362</v>
      </c>
      <c r="AA90" s="197">
        <f t="shared" si="42"/>
        <v>45362</v>
      </c>
      <c r="AB90" s="566">
        <v>45362</v>
      </c>
      <c r="AC90" s="567">
        <v>11</v>
      </c>
      <c r="AD90" s="552" t="s">
        <v>355</v>
      </c>
      <c r="AE90" s="553">
        <f>AVERAGEIFS(J325:J354,D325:D354,1,G325:G354,"mon")</f>
        <v>176316.66666666666</v>
      </c>
      <c r="AF90" s="567">
        <f>COUNTIFS(D325:D354,1,G325:G354,"Mon")</f>
        <v>3</v>
      </c>
      <c r="AG90" s="553"/>
      <c r="AH90" s="553">
        <f t="shared" si="43"/>
        <v>528950</v>
      </c>
      <c r="AI90" s="568">
        <f>AH90/$M$16</f>
        <v>8.6540742619209285E-2</v>
      </c>
      <c r="AJ90" s="814">
        <f>SUM(AI90:AI96)</f>
        <v>1</v>
      </c>
      <c r="AK90" s="569" t="s">
        <v>348</v>
      </c>
      <c r="AL90" s="145"/>
      <c r="AM90" s="145"/>
      <c r="AN90" s="145"/>
    </row>
    <row r="91" spans="1:40" ht="20">
      <c r="A91" s="145"/>
      <c r="B91" s="152"/>
      <c r="C91" s="50">
        <f t="shared" si="39"/>
        <v>72</v>
      </c>
      <c r="D91" s="51">
        <v>1</v>
      </c>
      <c r="E91" s="187" t="str">
        <f t="shared" si="8"/>
        <v>3</v>
      </c>
      <c r="F91" s="188">
        <f t="shared" si="40"/>
        <v>45363</v>
      </c>
      <c r="G91" s="189" t="str">
        <f t="shared" si="41"/>
        <v>Tue</v>
      </c>
      <c r="H91" s="190"/>
      <c r="I91" s="200"/>
      <c r="J91" s="201">
        <v>320300</v>
      </c>
      <c r="K91" s="202"/>
      <c r="L91" s="59">
        <f t="shared" si="34"/>
        <v>246438.82698961941</v>
      </c>
      <c r="M91" s="60">
        <f t="shared" si="35"/>
        <v>73861.173010380589</v>
      </c>
      <c r="N91" s="61">
        <f t="shared" si="11"/>
        <v>1.2997140260430302</v>
      </c>
      <c r="O91" s="194"/>
      <c r="P91" s="106">
        <f>IF(D91=0,0,SUM($L$80:L91))</f>
        <v>2464388.2698961948</v>
      </c>
      <c r="Q91" s="59">
        <f>IF(D91=0,0,SUM($J$80:J91))</f>
        <v>2396164</v>
      </c>
      <c r="R91" s="63">
        <f t="shared" si="36"/>
        <v>-68224.269896194804</v>
      </c>
      <c r="S91" s="61">
        <f t="shared" si="13"/>
        <v>0.97231594114872633</v>
      </c>
      <c r="T91" s="80"/>
      <c r="U91" s="59">
        <f>IF(D91=0,0,SUM($L$20:L91))</f>
        <v>12161756.111937711</v>
      </c>
      <c r="V91" s="59">
        <f>IF(D91=0,0,SUM($J$20:J91))</f>
        <v>12380368</v>
      </c>
      <c r="W91" s="63">
        <f t="shared" si="37"/>
        <v>218611.88806228898</v>
      </c>
      <c r="X91" s="61">
        <f t="shared" si="15"/>
        <v>1.0179753553722151</v>
      </c>
      <c r="Y91" s="145"/>
      <c r="Z91" s="196">
        <f t="shared" si="42"/>
        <v>45363</v>
      </c>
      <c r="AA91" s="197">
        <f t="shared" si="42"/>
        <v>45363</v>
      </c>
      <c r="AB91" s="566">
        <v>45363</v>
      </c>
      <c r="AC91" s="567">
        <v>11</v>
      </c>
      <c r="AD91" s="552" t="s">
        <v>356</v>
      </c>
      <c r="AE91" s="553">
        <f>AVERAGEIFS(J325:J354,D325:D354,1,G325:G354,"tue")</f>
        <v>231565</v>
      </c>
      <c r="AF91" s="567">
        <f>COUNTIFS(D325:D354,1,G325:G354,"tue")</f>
        <v>4</v>
      </c>
      <c r="AG91" s="553"/>
      <c r="AH91" s="553">
        <f t="shared" si="43"/>
        <v>926260</v>
      </c>
      <c r="AI91" s="568">
        <f t="shared" ref="AI91:AI96" si="44">AH91/$M$16</f>
        <v>0.15154405569235049</v>
      </c>
      <c r="AJ91" s="814"/>
      <c r="AK91" s="569"/>
      <c r="AL91" s="145"/>
      <c r="AM91" s="145"/>
      <c r="AN91" s="145"/>
    </row>
    <row r="92" spans="1:40" ht="20">
      <c r="A92" s="145"/>
      <c r="B92" s="152"/>
      <c r="C92" s="50">
        <f t="shared" si="39"/>
        <v>73</v>
      </c>
      <c r="D92" s="51">
        <v>1</v>
      </c>
      <c r="E92" s="187" t="str">
        <f t="shared" si="8"/>
        <v>3</v>
      </c>
      <c r="F92" s="188">
        <f t="shared" si="40"/>
        <v>45364</v>
      </c>
      <c r="G92" s="189" t="str">
        <f t="shared" si="41"/>
        <v>Wed</v>
      </c>
      <c r="H92" s="190"/>
      <c r="I92" s="200"/>
      <c r="J92" s="201">
        <v>318550</v>
      </c>
      <c r="K92" s="202"/>
      <c r="L92" s="59">
        <f t="shared" si="34"/>
        <v>246438.82698961941</v>
      </c>
      <c r="M92" s="60">
        <f t="shared" si="35"/>
        <v>72111.173010380589</v>
      </c>
      <c r="N92" s="61">
        <f t="shared" si="11"/>
        <v>1.2926128722947463</v>
      </c>
      <c r="O92" s="194"/>
      <c r="P92" s="106">
        <f>IF(D92=0,0,SUM($L$80:L92))</f>
        <v>2710827.0968858143</v>
      </c>
      <c r="Q92" s="59">
        <f>IF(D92=0,0,SUM($J$80:J92))</f>
        <v>2714714</v>
      </c>
      <c r="R92" s="63">
        <f t="shared" si="36"/>
        <v>3886.9031141856685</v>
      </c>
      <c r="S92" s="61">
        <f t="shared" si="13"/>
        <v>1.0014338439801826</v>
      </c>
      <c r="T92" s="80"/>
      <c r="U92" s="59">
        <f>IF(D92=0,0,SUM($L$20:L92))</f>
        <v>12408194.93892733</v>
      </c>
      <c r="V92" s="59">
        <f>IF(D92=0,0,SUM($J$20:J92))</f>
        <v>12698918</v>
      </c>
      <c r="W92" s="63">
        <f t="shared" si="37"/>
        <v>290723.06107266992</v>
      </c>
      <c r="X92" s="61">
        <f t="shared" si="15"/>
        <v>1.0234299237321463</v>
      </c>
      <c r="Y92" s="145"/>
      <c r="Z92" s="196">
        <f t="shared" si="42"/>
        <v>45364</v>
      </c>
      <c r="AA92" s="197">
        <f t="shared" si="42"/>
        <v>45364</v>
      </c>
      <c r="AB92" s="566">
        <v>45364</v>
      </c>
      <c r="AC92" s="567">
        <v>11</v>
      </c>
      <c r="AD92" s="552" t="s">
        <v>357</v>
      </c>
      <c r="AE92" s="553">
        <f>AVERAGEIFS(J325:J354,D325:D354,1,G325:G354,"wed")</f>
        <v>267002.5</v>
      </c>
      <c r="AF92" s="567">
        <f>COUNTIFS(D325:D354,1,G325:G354,"wed")</f>
        <v>4</v>
      </c>
      <c r="AG92" s="553"/>
      <c r="AH92" s="553">
        <f t="shared" si="43"/>
        <v>1068010</v>
      </c>
      <c r="AI92" s="568">
        <f t="shared" si="44"/>
        <v>0.17473556768076701</v>
      </c>
      <c r="AJ92" s="814"/>
      <c r="AK92" s="569"/>
      <c r="AL92" s="145"/>
      <c r="AM92" s="145"/>
      <c r="AN92" s="145"/>
    </row>
    <row r="93" spans="1:40" ht="20">
      <c r="A93" s="145"/>
      <c r="B93" s="152"/>
      <c r="C93" s="50">
        <f t="shared" si="39"/>
        <v>74</v>
      </c>
      <c r="D93" s="51">
        <v>1</v>
      </c>
      <c r="E93" s="187" t="str">
        <f t="shared" si="8"/>
        <v>3</v>
      </c>
      <c r="F93" s="188">
        <f t="shared" si="40"/>
        <v>45365</v>
      </c>
      <c r="G93" s="189" t="str">
        <f t="shared" si="41"/>
        <v>Thu</v>
      </c>
      <c r="H93" s="190"/>
      <c r="I93" s="200"/>
      <c r="J93" s="201">
        <v>219880</v>
      </c>
      <c r="K93" s="202"/>
      <c r="L93" s="59">
        <f t="shared" si="34"/>
        <v>246438.82698961941</v>
      </c>
      <c r="M93" s="60">
        <f t="shared" si="35"/>
        <v>-26558.826989619411</v>
      </c>
      <c r="N93" s="61">
        <f t="shared" si="11"/>
        <v>0.89222953495579604</v>
      </c>
      <c r="O93" s="194"/>
      <c r="P93" s="106">
        <f>IF(D93=0,0,SUM($L$80:L93))</f>
        <v>2957265.9238754339</v>
      </c>
      <c r="Q93" s="59">
        <f>IF(D93=0,0,SUM($J$80:J93))</f>
        <v>2934594</v>
      </c>
      <c r="R93" s="63">
        <f t="shared" si="36"/>
        <v>-22671.923875433858</v>
      </c>
      <c r="S93" s="61">
        <f t="shared" si="13"/>
        <v>0.99233348489481699</v>
      </c>
      <c r="T93" s="80"/>
      <c r="U93" s="59">
        <f>IF(D93=0,0,SUM($L$20:L93))</f>
        <v>12654633.765916949</v>
      </c>
      <c r="V93" s="59">
        <f>IF(D93=0,0,SUM($J$20:J93))</f>
        <v>12918798</v>
      </c>
      <c r="W93" s="63">
        <f t="shared" si="37"/>
        <v>264164.23408305086</v>
      </c>
      <c r="X93" s="61">
        <f t="shared" si="15"/>
        <v>1.0208749015553915</v>
      </c>
      <c r="Y93" s="145"/>
      <c r="Z93" s="196">
        <f t="shared" si="42"/>
        <v>45365</v>
      </c>
      <c r="AA93" s="197">
        <f t="shared" si="42"/>
        <v>45365</v>
      </c>
      <c r="AB93" s="566">
        <v>45365</v>
      </c>
      <c r="AC93" s="567">
        <v>11</v>
      </c>
      <c r="AD93" s="552" t="s">
        <v>358</v>
      </c>
      <c r="AE93" s="553">
        <f>AVERAGEIFS(J325:J354,D325:D354,1,G325:G354,"thu")</f>
        <v>260102.5</v>
      </c>
      <c r="AF93" s="567">
        <f>COUNTIFS(D325:D354,1,G325:G354,"thu")</f>
        <v>4</v>
      </c>
      <c r="AG93" s="553"/>
      <c r="AH93" s="553">
        <f t="shared" si="43"/>
        <v>1040410</v>
      </c>
      <c r="AI93" s="568">
        <f t="shared" si="44"/>
        <v>0.17021997169572081</v>
      </c>
      <c r="AJ93" s="814"/>
      <c r="AK93" s="569"/>
      <c r="AL93" s="145"/>
      <c r="AM93" s="145"/>
      <c r="AN93" s="145"/>
    </row>
    <row r="94" spans="1:40" ht="20">
      <c r="A94" s="145"/>
      <c r="B94" s="152"/>
      <c r="C94" s="50">
        <f t="shared" si="39"/>
        <v>75</v>
      </c>
      <c r="D94" s="51">
        <v>1</v>
      </c>
      <c r="E94" s="187" t="str">
        <f t="shared" si="8"/>
        <v>3</v>
      </c>
      <c r="F94" s="188">
        <f t="shared" si="40"/>
        <v>45366</v>
      </c>
      <c r="G94" s="189" t="str">
        <f t="shared" si="41"/>
        <v>Fri</v>
      </c>
      <c r="H94" s="190"/>
      <c r="I94" s="200"/>
      <c r="J94" s="201">
        <v>350170</v>
      </c>
      <c r="K94" s="202"/>
      <c r="L94" s="59">
        <f t="shared" si="34"/>
        <v>246438.82698961941</v>
      </c>
      <c r="M94" s="60">
        <f t="shared" si="35"/>
        <v>103731.17301038059</v>
      </c>
      <c r="N94" s="61">
        <f t="shared" si="11"/>
        <v>1.4209205760208801</v>
      </c>
      <c r="O94" s="194"/>
      <c r="P94" s="106">
        <f>IF(D94=0,0,SUM($L$80:L94))</f>
        <v>3203704.7508650534</v>
      </c>
      <c r="Q94" s="59">
        <f>IF(D94=0,0,SUM($J$80:J94))</f>
        <v>3284764</v>
      </c>
      <c r="R94" s="63">
        <f t="shared" si="36"/>
        <v>81059.249134946615</v>
      </c>
      <c r="S94" s="61">
        <f t="shared" si="13"/>
        <v>1.0253017226737449</v>
      </c>
      <c r="T94" s="80"/>
      <c r="U94" s="59">
        <f>IF(D94=0,0,SUM($L$20:L94))</f>
        <v>12901072.592906568</v>
      </c>
      <c r="V94" s="59">
        <f>IF(D94=0,0,SUM($J$20:J94))</f>
        <v>13268968</v>
      </c>
      <c r="W94" s="63">
        <f t="shared" si="37"/>
        <v>367895.4070934318</v>
      </c>
      <c r="X94" s="61">
        <f t="shared" si="15"/>
        <v>1.0285166527390686</v>
      </c>
      <c r="Y94" s="145"/>
      <c r="Z94" s="196">
        <f t="shared" si="42"/>
        <v>45366</v>
      </c>
      <c r="AA94" s="197">
        <f t="shared" si="42"/>
        <v>45366</v>
      </c>
      <c r="AB94" s="566">
        <v>45366</v>
      </c>
      <c r="AC94" s="567">
        <v>11</v>
      </c>
      <c r="AD94" s="552" t="s">
        <v>359</v>
      </c>
      <c r="AE94" s="553">
        <f>AVERAGEIFS(J325:J354,D325:D354,1,G325:G354,"fri")</f>
        <v>333106</v>
      </c>
      <c r="AF94" s="567">
        <f>COUNTIFS(D325:D354,1,G325:G354,"fri")</f>
        <v>5</v>
      </c>
      <c r="AG94" s="553"/>
      <c r="AH94" s="553">
        <f t="shared" si="43"/>
        <v>1665530</v>
      </c>
      <c r="AI94" s="568">
        <f t="shared" si="44"/>
        <v>0.27249494858601309</v>
      </c>
      <c r="AJ94" s="814"/>
      <c r="AK94" s="569"/>
      <c r="AL94" s="145"/>
      <c r="AM94" s="145"/>
      <c r="AN94" s="145"/>
    </row>
    <row r="95" spans="1:40" ht="20">
      <c r="A95" s="145"/>
      <c r="B95" s="152"/>
      <c r="C95" s="50">
        <f t="shared" si="39"/>
        <v>76</v>
      </c>
      <c r="D95" s="51">
        <v>1</v>
      </c>
      <c r="E95" s="187" t="str">
        <f t="shared" si="8"/>
        <v>3</v>
      </c>
      <c r="F95" s="188">
        <f t="shared" si="40"/>
        <v>45367</v>
      </c>
      <c r="G95" s="189" t="str">
        <f t="shared" si="41"/>
        <v>Sat</v>
      </c>
      <c r="H95" s="190"/>
      <c r="I95" s="200"/>
      <c r="J95" s="201">
        <v>156750</v>
      </c>
      <c r="K95" s="202"/>
      <c r="L95" s="59">
        <f t="shared" si="34"/>
        <v>246438.82698961941</v>
      </c>
      <c r="M95" s="60">
        <f t="shared" si="35"/>
        <v>-89688.826989619411</v>
      </c>
      <c r="N95" s="61">
        <f t="shared" si="11"/>
        <v>0.6360604857391351</v>
      </c>
      <c r="O95" s="194"/>
      <c r="P95" s="106">
        <f>IF(D95=0,0,SUM($L$80:L95))</f>
        <v>3450143.5778546729</v>
      </c>
      <c r="Q95" s="59">
        <f>IF(D95=0,0,SUM($J$80:J95))</f>
        <v>3441514</v>
      </c>
      <c r="R95" s="63">
        <f t="shared" si="36"/>
        <v>-8629.5778546729125</v>
      </c>
      <c r="S95" s="61">
        <f t="shared" si="13"/>
        <v>0.99749877717841562</v>
      </c>
      <c r="T95" s="81"/>
      <c r="U95" s="59">
        <f>IF(D95=0,0,SUM($L$20:L95))</f>
        <v>13147511.419896187</v>
      </c>
      <c r="V95" s="59">
        <f>IF(D95=0,0,SUM($J$20:J95))</f>
        <v>13425718</v>
      </c>
      <c r="W95" s="63">
        <f t="shared" si="37"/>
        <v>278206.58010381274</v>
      </c>
      <c r="X95" s="61">
        <f t="shared" si="15"/>
        <v>1.0211603984372892</v>
      </c>
      <c r="Y95" s="145"/>
      <c r="Z95" s="196">
        <f t="shared" si="42"/>
        <v>45367</v>
      </c>
      <c r="AA95" s="197">
        <f t="shared" si="42"/>
        <v>45367</v>
      </c>
      <c r="AB95" s="566">
        <v>45367</v>
      </c>
      <c r="AC95" s="567">
        <v>11</v>
      </c>
      <c r="AD95" s="552" t="s">
        <v>360</v>
      </c>
      <c r="AE95" s="553">
        <f>AVERAGEIFS(J325:J354,D325:D354,1,G325:G354,"sat")</f>
        <v>220747.5</v>
      </c>
      <c r="AF95" s="567">
        <f>COUNTIFS(D325:D354,1,G325:G354,"sat")</f>
        <v>4</v>
      </c>
      <c r="AG95" s="553"/>
      <c r="AH95" s="553">
        <f t="shared" si="43"/>
        <v>882990</v>
      </c>
      <c r="AI95" s="568">
        <f t="shared" si="44"/>
        <v>0.14446471372593933</v>
      </c>
      <c r="AJ95" s="814"/>
      <c r="AK95" s="569"/>
      <c r="AL95" s="145"/>
      <c r="AM95" s="145"/>
      <c r="AN95" s="145"/>
    </row>
    <row r="96" spans="1:40" ht="20">
      <c r="A96" s="145"/>
      <c r="B96" s="152"/>
      <c r="C96" s="50">
        <f t="shared" si="39"/>
        <v>77</v>
      </c>
      <c r="D96" s="51">
        <v>0</v>
      </c>
      <c r="E96" s="187" t="str">
        <f t="shared" si="8"/>
        <v>3</v>
      </c>
      <c r="F96" s="188">
        <f t="shared" si="40"/>
        <v>45368</v>
      </c>
      <c r="G96" s="189" t="str">
        <f t="shared" si="41"/>
        <v>Sun</v>
      </c>
      <c r="H96" s="190" t="s">
        <v>58</v>
      </c>
      <c r="I96" s="191"/>
      <c r="J96" s="192">
        <v>0</v>
      </c>
      <c r="K96" s="193"/>
      <c r="L96" s="59">
        <f t="shared" si="34"/>
        <v>0</v>
      </c>
      <c r="M96" s="60">
        <f t="shared" si="35"/>
        <v>0</v>
      </c>
      <c r="N96" s="61" t="str">
        <f t="shared" si="11"/>
        <v>0%</v>
      </c>
      <c r="O96" s="194"/>
      <c r="P96" s="106">
        <f>IF(D96=0,0,SUM($L$80:L96))</f>
        <v>0</v>
      </c>
      <c r="Q96" s="59">
        <f>IF(D96=0,0,SUM($J$80:J96))</f>
        <v>0</v>
      </c>
      <c r="R96" s="63">
        <f t="shared" si="36"/>
        <v>0</v>
      </c>
      <c r="S96" s="61" t="str">
        <f t="shared" si="13"/>
        <v>0%</v>
      </c>
      <c r="T96" s="80"/>
      <c r="U96" s="59">
        <f>IF(D96=0,0,SUM($L$20:L96))</f>
        <v>0</v>
      </c>
      <c r="V96" s="59">
        <f>IF(D96=0,0,SUM($J$20:J96))</f>
        <v>0</v>
      </c>
      <c r="W96" s="63">
        <f t="shared" si="37"/>
        <v>0</v>
      </c>
      <c r="X96" s="61" t="str">
        <f t="shared" si="15"/>
        <v>0%</v>
      </c>
      <c r="Y96" s="145"/>
      <c r="Z96" s="196">
        <f t="shared" si="42"/>
        <v>45368</v>
      </c>
      <c r="AA96" s="197">
        <f t="shared" si="42"/>
        <v>45368</v>
      </c>
      <c r="AB96" s="566">
        <v>45368</v>
      </c>
      <c r="AC96" s="567">
        <v>11</v>
      </c>
      <c r="AD96" s="552" t="s">
        <v>361</v>
      </c>
      <c r="AE96" s="553">
        <f>IFERROR(AVERAGEIFS(J325:J354,D325:D354,1,G325:G354,"sun"),0)</f>
        <v>0</v>
      </c>
      <c r="AF96" s="567">
        <f>IFERROR(COUNTIFS(D325:D354,1,G325:G354,"sun"),0)</f>
        <v>0</v>
      </c>
      <c r="AG96" s="553"/>
      <c r="AH96" s="553">
        <f t="shared" si="43"/>
        <v>0</v>
      </c>
      <c r="AI96" s="568">
        <f t="shared" si="44"/>
        <v>0</v>
      </c>
      <c r="AJ96" s="814"/>
      <c r="AK96" s="569"/>
      <c r="AL96" s="145"/>
      <c r="AM96" s="145"/>
      <c r="AN96" s="145"/>
    </row>
    <row r="97" spans="1:40" ht="20">
      <c r="A97" s="145"/>
      <c r="B97" s="152"/>
      <c r="C97" s="50">
        <f t="shared" si="39"/>
        <v>78</v>
      </c>
      <c r="D97" s="51">
        <v>1</v>
      </c>
      <c r="E97" s="187" t="str">
        <f t="shared" si="8"/>
        <v>3</v>
      </c>
      <c r="F97" s="188">
        <f t="shared" si="40"/>
        <v>45369</v>
      </c>
      <c r="G97" s="189" t="str">
        <f t="shared" si="41"/>
        <v>Mon</v>
      </c>
      <c r="H97" s="190"/>
      <c r="I97" s="200"/>
      <c r="J97" s="201">
        <v>201050</v>
      </c>
      <c r="K97" s="202"/>
      <c r="L97" s="59">
        <f t="shared" si="34"/>
        <v>246438.82698961941</v>
      </c>
      <c r="M97" s="60">
        <f t="shared" si="35"/>
        <v>-45388.826989619411</v>
      </c>
      <c r="N97" s="61">
        <f t="shared" si="11"/>
        <v>0.81582112062426226</v>
      </c>
      <c r="O97" s="194"/>
      <c r="P97" s="106">
        <f>IF(D97=0,0,SUM($L$80:L97))</f>
        <v>3696582.4048442924</v>
      </c>
      <c r="Q97" s="59">
        <f>IF(D97=0,0,SUM($J$80:J97))</f>
        <v>3642564</v>
      </c>
      <c r="R97" s="63">
        <f t="shared" si="36"/>
        <v>-54018.40484429244</v>
      </c>
      <c r="S97" s="61">
        <f t="shared" si="13"/>
        <v>0.98538693340813865</v>
      </c>
      <c r="T97" s="80"/>
      <c r="U97" s="59">
        <f>IF(D97=0,0,SUM($L$20:L97))</f>
        <v>13393950.246885806</v>
      </c>
      <c r="V97" s="59">
        <f>IF(D97=0,0,SUM($J$20:J97))</f>
        <v>13626768</v>
      </c>
      <c r="W97" s="63">
        <f t="shared" si="37"/>
        <v>232817.75311419368</v>
      </c>
      <c r="X97" s="61">
        <f t="shared" si="15"/>
        <v>1.017382306849193</v>
      </c>
      <c r="Y97" s="145"/>
      <c r="Z97" s="196">
        <f t="shared" si="42"/>
        <v>45369</v>
      </c>
      <c r="AA97" s="197">
        <f t="shared" si="42"/>
        <v>45369</v>
      </c>
      <c r="AB97" s="566">
        <v>45369</v>
      </c>
      <c r="AC97" s="567">
        <v>12</v>
      </c>
      <c r="AD97" s="552" t="s">
        <v>355</v>
      </c>
      <c r="AE97" s="553">
        <f>AVERAGEIFS(J355:J385,D355:D385,1,G355:G385,"mon")</f>
        <v>283835</v>
      </c>
      <c r="AF97" s="567">
        <f>COUNTIFS(D355:D385,1,G355:G385,"Mon")</f>
        <v>4</v>
      </c>
      <c r="AG97" s="553"/>
      <c r="AH97" s="553">
        <f t="shared" si="43"/>
        <v>1135340</v>
      </c>
      <c r="AI97" s="568">
        <f>AH97/$M$17</f>
        <v>0.14372393014703555</v>
      </c>
      <c r="AJ97" s="814">
        <f>SUM(AI97:AI103)</f>
        <v>1</v>
      </c>
      <c r="AK97" s="569" t="s">
        <v>350</v>
      </c>
      <c r="AL97" s="145"/>
      <c r="AM97" s="145"/>
      <c r="AN97" s="145"/>
    </row>
    <row r="98" spans="1:40" ht="20">
      <c r="A98" s="145"/>
      <c r="B98" s="152"/>
      <c r="C98" s="50">
        <f t="shared" si="39"/>
        <v>79</v>
      </c>
      <c r="D98" s="51">
        <v>1</v>
      </c>
      <c r="E98" s="187" t="str">
        <f t="shared" si="8"/>
        <v>3</v>
      </c>
      <c r="F98" s="188">
        <f t="shared" si="40"/>
        <v>45370</v>
      </c>
      <c r="G98" s="189" t="str">
        <f t="shared" si="41"/>
        <v>Tue</v>
      </c>
      <c r="H98" s="190"/>
      <c r="I98" s="200"/>
      <c r="J98" s="201">
        <v>220700</v>
      </c>
      <c r="K98" s="202"/>
      <c r="L98" s="59">
        <f t="shared" si="34"/>
        <v>246438.82698961941</v>
      </c>
      <c r="M98" s="60">
        <f t="shared" si="35"/>
        <v>-25738.826989619411</v>
      </c>
      <c r="N98" s="61">
        <f t="shared" si="11"/>
        <v>0.89555693271213477</v>
      </c>
      <c r="O98" s="194"/>
      <c r="P98" s="106">
        <f>IF(D98=0,0,SUM($L$80:L98))</f>
        <v>3943021.231833912</v>
      </c>
      <c r="Q98" s="59">
        <f>IF(D98=0,0,SUM($J$80:J98))</f>
        <v>3863264</v>
      </c>
      <c r="R98" s="63">
        <f t="shared" si="36"/>
        <v>-79757.231833911967</v>
      </c>
      <c r="S98" s="61">
        <f t="shared" si="13"/>
        <v>0.97977255836463839</v>
      </c>
      <c r="T98" s="80"/>
      <c r="U98" s="59">
        <f>IF(D98=0,0,SUM($L$20:L98))</f>
        <v>13640389.073875425</v>
      </c>
      <c r="V98" s="59">
        <f>IF(D98=0,0,SUM($J$20:J98))</f>
        <v>13847468</v>
      </c>
      <c r="W98" s="63">
        <f t="shared" si="37"/>
        <v>207078.92612457462</v>
      </c>
      <c r="X98" s="61">
        <f t="shared" si="15"/>
        <v>1.0151813064131125</v>
      </c>
      <c r="Y98" s="145"/>
      <c r="Z98" s="196">
        <f t="shared" si="42"/>
        <v>45370</v>
      </c>
      <c r="AA98" s="197">
        <f t="shared" si="42"/>
        <v>45370</v>
      </c>
      <c r="AB98" s="566">
        <v>45370</v>
      </c>
      <c r="AC98" s="567">
        <v>12</v>
      </c>
      <c r="AD98" s="552" t="s">
        <v>356</v>
      </c>
      <c r="AE98" s="553">
        <f>AVERAGEIFS(J355:J385,D355:D385,1,G355:G385,"tue")</f>
        <v>312370</v>
      </c>
      <c r="AF98" s="567">
        <f>COUNTIFS(D355:D385,1,G355:G385,"tue")</f>
        <v>4</v>
      </c>
      <c r="AG98" s="553"/>
      <c r="AH98" s="553">
        <f t="shared" si="43"/>
        <v>1249480</v>
      </c>
      <c r="AI98" s="568">
        <f t="shared" ref="AI98:AI103" si="45">AH98/$M$17</f>
        <v>0.15817303736336075</v>
      </c>
      <c r="AJ98" s="814"/>
      <c r="AK98" s="569"/>
      <c r="AL98" s="145"/>
      <c r="AM98" s="145"/>
      <c r="AN98" s="145"/>
    </row>
    <row r="99" spans="1:40" ht="20">
      <c r="A99" s="145"/>
      <c r="B99" s="152"/>
      <c r="C99" s="50">
        <f t="shared" si="39"/>
        <v>80</v>
      </c>
      <c r="D99" s="51">
        <v>0</v>
      </c>
      <c r="E99" s="187" t="str">
        <f t="shared" si="8"/>
        <v>3</v>
      </c>
      <c r="F99" s="188">
        <f t="shared" si="40"/>
        <v>45371</v>
      </c>
      <c r="G99" s="189" t="str">
        <f t="shared" si="41"/>
        <v>Wed</v>
      </c>
      <c r="H99" s="190" t="s">
        <v>115</v>
      </c>
      <c r="I99" s="200"/>
      <c r="J99" s="201">
        <v>0</v>
      </c>
      <c r="K99" s="202"/>
      <c r="L99" s="59">
        <f t="shared" si="34"/>
        <v>0</v>
      </c>
      <c r="M99" s="60">
        <f t="shared" si="35"/>
        <v>0</v>
      </c>
      <c r="N99" s="61" t="str">
        <f t="shared" si="11"/>
        <v>0%</v>
      </c>
      <c r="O99" s="194"/>
      <c r="P99" s="106">
        <f>IF(D99=0,0,SUM($L$80:L99))</f>
        <v>0</v>
      </c>
      <c r="Q99" s="59">
        <f>IF(D99=0,0,SUM($J$80:J99))</f>
        <v>0</v>
      </c>
      <c r="R99" s="63">
        <f t="shared" si="36"/>
        <v>0</v>
      </c>
      <c r="S99" s="61" t="str">
        <f t="shared" si="13"/>
        <v>0%</v>
      </c>
      <c r="T99" s="81"/>
      <c r="U99" s="59">
        <f>IF(D99=0,0,SUM($L$20:L99))</f>
        <v>0</v>
      </c>
      <c r="V99" s="59">
        <f>IF(D99=0,0,SUM($J$20:J99))</f>
        <v>0</v>
      </c>
      <c r="W99" s="63">
        <f t="shared" si="37"/>
        <v>0</v>
      </c>
      <c r="X99" s="61" t="str">
        <f t="shared" si="15"/>
        <v>0%</v>
      </c>
      <c r="Y99" s="145"/>
      <c r="Z99" s="196">
        <f t="shared" si="42"/>
        <v>45371</v>
      </c>
      <c r="AA99" s="197">
        <f t="shared" si="42"/>
        <v>45371</v>
      </c>
      <c r="AB99" s="566">
        <v>45371</v>
      </c>
      <c r="AC99" s="567">
        <v>12</v>
      </c>
      <c r="AD99" s="552" t="s">
        <v>357</v>
      </c>
      <c r="AE99" s="553">
        <f>AVERAGEIFS(J355:J385,D355:D385,1,G355:G385,"wed")</f>
        <v>388307.5</v>
      </c>
      <c r="AF99" s="567">
        <f>COUNTIFS(D355:D385,1,G355:G385,"wed")</f>
        <v>4</v>
      </c>
      <c r="AG99" s="553"/>
      <c r="AH99" s="553">
        <f t="shared" si="43"/>
        <v>1553230</v>
      </c>
      <c r="AI99" s="568">
        <f t="shared" si="45"/>
        <v>0.19662508149301533</v>
      </c>
      <c r="AJ99" s="814"/>
      <c r="AK99" s="569"/>
      <c r="AL99" s="145"/>
      <c r="AM99" s="145"/>
      <c r="AN99" s="145"/>
    </row>
    <row r="100" spans="1:40" ht="20">
      <c r="A100" s="145"/>
      <c r="B100" s="152"/>
      <c r="C100" s="50">
        <f t="shared" si="39"/>
        <v>81</v>
      </c>
      <c r="D100" s="51">
        <v>1</v>
      </c>
      <c r="E100" s="187" t="str">
        <f t="shared" si="8"/>
        <v>3</v>
      </c>
      <c r="F100" s="188">
        <f t="shared" si="40"/>
        <v>45372</v>
      </c>
      <c r="G100" s="189" t="str">
        <f t="shared" si="41"/>
        <v>Thu</v>
      </c>
      <c r="H100" s="190"/>
      <c r="I100" s="200"/>
      <c r="J100" s="201">
        <v>369500</v>
      </c>
      <c r="K100" s="202"/>
      <c r="L100" s="59">
        <f t="shared" si="34"/>
        <v>246438.82698961941</v>
      </c>
      <c r="M100" s="60">
        <f t="shared" si="35"/>
        <v>123061.17301038059</v>
      </c>
      <c r="N100" s="61">
        <f t="shared" si="11"/>
        <v>1.4993578914233521</v>
      </c>
      <c r="O100" s="194"/>
      <c r="P100" s="106">
        <f>IF(D100=0,0,SUM($L$80:L100))</f>
        <v>4189460.0588235315</v>
      </c>
      <c r="Q100" s="59">
        <f>IF(D100=0,0,SUM($J$80:J100))</f>
        <v>4232764</v>
      </c>
      <c r="R100" s="63">
        <f t="shared" si="36"/>
        <v>43303.941176468506</v>
      </c>
      <c r="S100" s="61">
        <f t="shared" si="13"/>
        <v>1.0103364014857392</v>
      </c>
      <c r="T100" s="80"/>
      <c r="U100" s="59">
        <f>IF(D100=0,0,SUM($L$20:L100))</f>
        <v>13886827.900865044</v>
      </c>
      <c r="V100" s="59">
        <f>IF(D100=0,0,SUM($J$20:J100))</f>
        <v>14216968</v>
      </c>
      <c r="W100" s="63">
        <f t="shared" si="37"/>
        <v>330140.09913495556</v>
      </c>
      <c r="X100" s="61">
        <f t="shared" si="15"/>
        <v>1.0237736149314842</v>
      </c>
      <c r="Y100" s="145"/>
      <c r="Z100" s="196">
        <f t="shared" si="42"/>
        <v>45372</v>
      </c>
      <c r="AA100" s="197">
        <f t="shared" si="42"/>
        <v>45372</v>
      </c>
      <c r="AB100" s="566">
        <v>45372</v>
      </c>
      <c r="AC100" s="567">
        <v>12</v>
      </c>
      <c r="AD100" s="552" t="s">
        <v>358</v>
      </c>
      <c r="AE100" s="553">
        <f>AVERAGEIFS(J355:J385,D355:D385,1,G355:G385,"thu")</f>
        <v>336157.5</v>
      </c>
      <c r="AF100" s="567">
        <f>COUNTIFS(D355:D385,1,G355:G385,"thu")</f>
        <v>4</v>
      </c>
      <c r="AG100" s="553"/>
      <c r="AH100" s="553">
        <f t="shared" si="43"/>
        <v>1344630</v>
      </c>
      <c r="AI100" s="568">
        <f t="shared" si="45"/>
        <v>0.17021817974669123</v>
      </c>
      <c r="AJ100" s="814"/>
      <c r="AK100" s="569"/>
      <c r="AL100" s="145"/>
      <c r="AM100" s="145"/>
      <c r="AN100" s="145"/>
    </row>
    <row r="101" spans="1:40" ht="20">
      <c r="A101" s="145"/>
      <c r="B101" s="152"/>
      <c r="C101" s="50">
        <f t="shared" si="39"/>
        <v>82</v>
      </c>
      <c r="D101" s="51">
        <v>1</v>
      </c>
      <c r="E101" s="187" t="str">
        <f t="shared" si="8"/>
        <v>3</v>
      </c>
      <c r="F101" s="188">
        <f t="shared" si="40"/>
        <v>45373</v>
      </c>
      <c r="G101" s="189" t="str">
        <f t="shared" si="41"/>
        <v>Fri</v>
      </c>
      <c r="H101" s="190"/>
      <c r="I101" s="200"/>
      <c r="J101" s="201">
        <v>333000</v>
      </c>
      <c r="K101" s="202"/>
      <c r="L101" s="59">
        <f t="shared" si="34"/>
        <v>246438.82698961941</v>
      </c>
      <c r="M101" s="60">
        <f t="shared" si="35"/>
        <v>86561.173010380589</v>
      </c>
      <c r="N101" s="61">
        <f t="shared" si="11"/>
        <v>1.3512481132448613</v>
      </c>
      <c r="O101" s="194"/>
      <c r="P101" s="106">
        <f>IF(D101=0,0,SUM($L$80:L101))</f>
        <v>4435898.8858131506</v>
      </c>
      <c r="Q101" s="59">
        <f>IF(D101=0,0,SUM($J$80:J101))</f>
        <v>4565764</v>
      </c>
      <c r="R101" s="63">
        <f t="shared" si="36"/>
        <v>129865.11418684945</v>
      </c>
      <c r="S101" s="61">
        <f t="shared" si="13"/>
        <v>1.0292759410279126</v>
      </c>
      <c r="T101" s="80"/>
      <c r="U101" s="59">
        <f>IF(D101=0,0,SUM($L$20:L101))</f>
        <v>14133266.727854664</v>
      </c>
      <c r="V101" s="59">
        <f>IF(D101=0,0,SUM($J$20:J101))</f>
        <v>14549968</v>
      </c>
      <c r="W101" s="63">
        <f t="shared" si="37"/>
        <v>416701.27214533649</v>
      </c>
      <c r="X101" s="61">
        <f t="shared" si="15"/>
        <v>1.0294837195228246</v>
      </c>
      <c r="Y101" s="145"/>
      <c r="Z101" s="196">
        <f t="shared" ref="Z101:AA116" si="46">Z100+1</f>
        <v>45373</v>
      </c>
      <c r="AA101" s="197">
        <f t="shared" si="46"/>
        <v>45373</v>
      </c>
      <c r="AB101" s="566">
        <v>45373</v>
      </c>
      <c r="AC101" s="567">
        <v>12</v>
      </c>
      <c r="AD101" s="552" t="s">
        <v>359</v>
      </c>
      <c r="AE101" s="553">
        <f>AVERAGEIFS(J355:J385,D355:D385,1,G355:G385,"fri")</f>
        <v>418530</v>
      </c>
      <c r="AF101" s="567">
        <f>COUNTIFS(D355:D385,1,G355:G385,"fri")</f>
        <v>4</v>
      </c>
      <c r="AG101" s="553"/>
      <c r="AH101" s="553">
        <f t="shared" si="43"/>
        <v>1674120</v>
      </c>
      <c r="AI101" s="568">
        <f t="shared" si="45"/>
        <v>0.21192867857888839</v>
      </c>
      <c r="AJ101" s="814"/>
      <c r="AK101" s="569"/>
      <c r="AL101" s="145"/>
      <c r="AM101" s="145"/>
      <c r="AN101" s="145"/>
    </row>
    <row r="102" spans="1:40" ht="20">
      <c r="A102" s="145"/>
      <c r="B102" s="152"/>
      <c r="C102" s="50">
        <f t="shared" si="39"/>
        <v>83</v>
      </c>
      <c r="D102" s="51">
        <v>1</v>
      </c>
      <c r="E102" s="187" t="str">
        <f t="shared" si="8"/>
        <v>3</v>
      </c>
      <c r="F102" s="188">
        <f t="shared" si="40"/>
        <v>45374</v>
      </c>
      <c r="G102" s="189" t="str">
        <f t="shared" si="41"/>
        <v>Sat</v>
      </c>
      <c r="H102" s="190"/>
      <c r="I102" s="200"/>
      <c r="J102" s="201">
        <v>118964</v>
      </c>
      <c r="K102" s="202"/>
      <c r="L102" s="59">
        <f t="shared" si="34"/>
        <v>246438.82698961941</v>
      </c>
      <c r="M102" s="60">
        <f t="shared" si="35"/>
        <v>-127474.82698961941</v>
      </c>
      <c r="N102" s="61">
        <f t="shared" si="11"/>
        <v>0.48273237400619118</v>
      </c>
      <c r="O102" s="194"/>
      <c r="P102" s="106">
        <f>IF(D102=0,0,SUM($L$80:L102))</f>
        <v>4682337.7128027696</v>
      </c>
      <c r="Q102" s="59">
        <f>IF(D102=0,0,SUM($J$80:J102))</f>
        <v>4684728</v>
      </c>
      <c r="R102" s="63">
        <f t="shared" si="36"/>
        <v>2390.2871972303838</v>
      </c>
      <c r="S102" s="61">
        <f t="shared" si="13"/>
        <v>1.0005104901320327</v>
      </c>
      <c r="T102" s="81"/>
      <c r="U102" s="59">
        <f>IF(D102=0,0,SUM($L$20:L102))</f>
        <v>14379705.554844283</v>
      </c>
      <c r="V102" s="59">
        <f>IF(D102=0,0,SUM($J$20:J102))</f>
        <v>14668932</v>
      </c>
      <c r="W102" s="63">
        <f t="shared" si="37"/>
        <v>289226.44515571743</v>
      </c>
      <c r="X102" s="61">
        <f t="shared" si="15"/>
        <v>1.0201135165148276</v>
      </c>
      <c r="Y102" s="145"/>
      <c r="Z102" s="196">
        <f t="shared" si="46"/>
        <v>45374</v>
      </c>
      <c r="AA102" s="197">
        <f t="shared" si="46"/>
        <v>45374</v>
      </c>
      <c r="AB102" s="566">
        <v>45374</v>
      </c>
      <c r="AC102" s="567">
        <v>12</v>
      </c>
      <c r="AD102" s="552" t="s">
        <v>360</v>
      </c>
      <c r="AE102" s="553">
        <f>AVERAGEIFS(J355:J385,D355:D385,1,G355:G385,"sat")</f>
        <v>235662.5</v>
      </c>
      <c r="AF102" s="567">
        <f>COUNTIFS(D355:D385,1,G355:G385,"sat")</f>
        <v>4</v>
      </c>
      <c r="AG102" s="553"/>
      <c r="AH102" s="553">
        <f t="shared" si="43"/>
        <v>942650</v>
      </c>
      <c r="AI102" s="568">
        <f t="shared" si="45"/>
        <v>0.11933109267100873</v>
      </c>
      <c r="AJ102" s="814"/>
      <c r="AK102" s="569"/>
      <c r="AL102" s="145"/>
      <c r="AM102" s="145"/>
      <c r="AN102" s="145"/>
    </row>
    <row r="103" spans="1:40" ht="20">
      <c r="A103" s="145"/>
      <c r="B103" s="152"/>
      <c r="C103" s="50">
        <f t="shared" si="39"/>
        <v>84</v>
      </c>
      <c r="D103" s="51">
        <v>0</v>
      </c>
      <c r="E103" s="187" t="str">
        <f t="shared" si="8"/>
        <v>3</v>
      </c>
      <c r="F103" s="188">
        <f t="shared" si="40"/>
        <v>45375</v>
      </c>
      <c r="G103" s="189" t="str">
        <f t="shared" si="41"/>
        <v>Sun</v>
      </c>
      <c r="H103" s="190" t="s">
        <v>58</v>
      </c>
      <c r="I103" s="200"/>
      <c r="J103" s="201">
        <v>0</v>
      </c>
      <c r="K103" s="202"/>
      <c r="L103" s="59">
        <f t="shared" si="34"/>
        <v>0</v>
      </c>
      <c r="M103" s="60">
        <f t="shared" si="35"/>
        <v>0</v>
      </c>
      <c r="N103" s="61" t="str">
        <f t="shared" si="11"/>
        <v>0%</v>
      </c>
      <c r="O103" s="194"/>
      <c r="P103" s="106">
        <f>IF(D103=0,0,SUM($L$80:L103))</f>
        <v>0</v>
      </c>
      <c r="Q103" s="59">
        <f>IF(D103=0,0,SUM($J$80:J103))</f>
        <v>0</v>
      </c>
      <c r="R103" s="63">
        <f t="shared" si="36"/>
        <v>0</v>
      </c>
      <c r="S103" s="61" t="str">
        <f t="shared" si="13"/>
        <v>0%</v>
      </c>
      <c r="T103" s="80"/>
      <c r="U103" s="59">
        <f>IF(D103=0,0,SUM($L$20:L103))</f>
        <v>0</v>
      </c>
      <c r="V103" s="59">
        <f>IF(D103=0,0,SUM($J$20:J103))</f>
        <v>0</v>
      </c>
      <c r="W103" s="63">
        <f t="shared" si="37"/>
        <v>0</v>
      </c>
      <c r="X103" s="61" t="str">
        <f t="shared" si="15"/>
        <v>0%</v>
      </c>
      <c r="Y103" s="145"/>
      <c r="Z103" s="196">
        <f t="shared" si="46"/>
        <v>45375</v>
      </c>
      <c r="AA103" s="197">
        <f t="shared" si="46"/>
        <v>45375</v>
      </c>
      <c r="AB103" s="566">
        <v>45375</v>
      </c>
      <c r="AC103" s="567">
        <v>12</v>
      </c>
      <c r="AD103" s="552" t="s">
        <v>361</v>
      </c>
      <c r="AE103" s="553">
        <f>IFERROR(AVERAGEIFS(J355:J385,D355:D385,1,G355:G385,"sun"),0)</f>
        <v>0</v>
      </c>
      <c r="AF103" s="567">
        <f>IFERROR(COUNTIFS(D355:D385,1,G355:G385,"sun"),0)</f>
        <v>0</v>
      </c>
      <c r="AG103" s="553"/>
      <c r="AH103" s="553">
        <f t="shared" si="43"/>
        <v>0</v>
      </c>
      <c r="AI103" s="568">
        <f t="shared" si="45"/>
        <v>0</v>
      </c>
      <c r="AJ103" s="814"/>
      <c r="AK103" s="569"/>
      <c r="AL103" s="145"/>
      <c r="AM103" s="145"/>
      <c r="AN103" s="145"/>
    </row>
    <row r="104" spans="1:40" ht="20">
      <c r="A104" s="145"/>
      <c r="B104" s="152"/>
      <c r="C104" s="50">
        <f t="shared" si="39"/>
        <v>85</v>
      </c>
      <c r="D104" s="51">
        <v>1</v>
      </c>
      <c r="E104" s="187" t="str">
        <f t="shared" si="8"/>
        <v>3</v>
      </c>
      <c r="F104" s="188">
        <f t="shared" si="40"/>
        <v>45376</v>
      </c>
      <c r="G104" s="189" t="str">
        <f t="shared" si="41"/>
        <v>Mon</v>
      </c>
      <c r="H104" s="190"/>
      <c r="I104" s="200"/>
      <c r="J104" s="201">
        <v>232640</v>
      </c>
      <c r="K104" s="202"/>
      <c r="L104" s="59">
        <f t="shared" si="34"/>
        <v>246438.82698961941</v>
      </c>
      <c r="M104" s="60">
        <f t="shared" si="35"/>
        <v>-13798.826989619411</v>
      </c>
      <c r="N104" s="61">
        <f t="shared" si="11"/>
        <v>0.94400709028613961</v>
      </c>
      <c r="O104" s="194"/>
      <c r="P104" s="106">
        <f>IF(D104=0,0,SUM($L$80:L104))</f>
        <v>4928776.5397923887</v>
      </c>
      <c r="Q104" s="59">
        <f>IF(D104=0,0,SUM($J$80:J104))</f>
        <v>4917368</v>
      </c>
      <c r="R104" s="63">
        <f t="shared" si="36"/>
        <v>-11408.539792388678</v>
      </c>
      <c r="S104" s="61">
        <f t="shared" si="13"/>
        <v>0.9976853201397381</v>
      </c>
      <c r="T104" s="80"/>
      <c r="U104" s="59">
        <f>IF(D104=0,0,SUM($L$20:L104))</f>
        <v>14626144.381833902</v>
      </c>
      <c r="V104" s="59">
        <f>IF(D104=0,0,SUM($J$20:J104))</f>
        <v>14901572</v>
      </c>
      <c r="W104" s="63">
        <f t="shared" si="37"/>
        <v>275427.61816609837</v>
      </c>
      <c r="X104" s="61">
        <f t="shared" si="15"/>
        <v>1.0188311841436617</v>
      </c>
      <c r="Y104" s="145"/>
      <c r="Z104" s="196">
        <f t="shared" si="46"/>
        <v>45376</v>
      </c>
      <c r="AA104" s="197">
        <f t="shared" si="46"/>
        <v>45376</v>
      </c>
      <c r="AB104" s="1"/>
      <c r="AC104" s="1"/>
      <c r="AD104" s="1"/>
      <c r="AE104" s="1"/>
      <c r="AF104" s="145"/>
      <c r="AG104" s="198">
        <f t="shared" ref="AG104:AG149" si="47">AG103+1</f>
        <v>1</v>
      </c>
      <c r="AH104" s="145"/>
      <c r="AI104" s="145"/>
      <c r="AJ104" s="145"/>
      <c r="AK104" s="145"/>
      <c r="AL104" s="145"/>
      <c r="AM104" s="145"/>
      <c r="AN104" s="145"/>
    </row>
    <row r="105" spans="1:40" ht="20">
      <c r="A105" s="145"/>
      <c r="B105" s="152"/>
      <c r="C105" s="50">
        <f t="shared" si="39"/>
        <v>86</v>
      </c>
      <c r="D105" s="51">
        <v>1</v>
      </c>
      <c r="E105" s="187" t="str">
        <f t="shared" si="8"/>
        <v>3</v>
      </c>
      <c r="F105" s="188">
        <f t="shared" si="40"/>
        <v>45377</v>
      </c>
      <c r="G105" s="189" t="str">
        <f t="shared" si="41"/>
        <v>Tue</v>
      </c>
      <c r="H105" s="190"/>
      <c r="I105" s="200"/>
      <c r="J105" s="201">
        <v>222520</v>
      </c>
      <c r="K105" s="202"/>
      <c r="L105" s="59">
        <f t="shared" si="34"/>
        <v>246438.82698961941</v>
      </c>
      <c r="M105" s="60">
        <f t="shared" si="35"/>
        <v>-23918.826989619411</v>
      </c>
      <c r="N105" s="61">
        <f t="shared" si="11"/>
        <v>0.90294213261034983</v>
      </c>
      <c r="O105" s="194"/>
      <c r="P105" s="106">
        <f>IF(D105=0,0,SUM($L$80:L105))</f>
        <v>5175215.3667820077</v>
      </c>
      <c r="Q105" s="59">
        <f>IF(D105=0,0,SUM($J$80:J105))</f>
        <v>5139888</v>
      </c>
      <c r="R105" s="63">
        <f t="shared" si="36"/>
        <v>-35327.366782007739</v>
      </c>
      <c r="S105" s="61">
        <f t="shared" si="13"/>
        <v>0.99317373978119594</v>
      </c>
      <c r="T105" s="80"/>
      <c r="U105" s="59">
        <f>IF(D105=0,0,SUM($L$20:L105))</f>
        <v>14872583.208823521</v>
      </c>
      <c r="V105" s="59">
        <f>IF(D105=0,0,SUM($J$20:J105))</f>
        <v>15124092</v>
      </c>
      <c r="W105" s="63">
        <f t="shared" si="37"/>
        <v>251508.79117647931</v>
      </c>
      <c r="X105" s="61">
        <f t="shared" si="15"/>
        <v>1.0169109015996136</v>
      </c>
      <c r="Y105" s="145"/>
      <c r="Z105" s="196">
        <f t="shared" si="46"/>
        <v>45377</v>
      </c>
      <c r="AA105" s="197">
        <f t="shared" si="46"/>
        <v>45377</v>
      </c>
      <c r="AB105" s="1"/>
      <c r="AC105" s="1"/>
      <c r="AD105" s="1"/>
      <c r="AE105" s="1"/>
      <c r="AF105" s="145"/>
      <c r="AG105" s="198">
        <f t="shared" si="47"/>
        <v>2</v>
      </c>
      <c r="AH105" s="145"/>
      <c r="AI105" s="145"/>
      <c r="AJ105" s="145"/>
      <c r="AK105" s="145"/>
      <c r="AL105" s="145"/>
      <c r="AM105" s="145"/>
      <c r="AN105" s="145"/>
    </row>
    <row r="106" spans="1:40" ht="20">
      <c r="A106" s="145"/>
      <c r="B106" s="152"/>
      <c r="C106" s="50">
        <f t="shared" si="39"/>
        <v>87</v>
      </c>
      <c r="D106" s="51">
        <v>1</v>
      </c>
      <c r="E106" s="187" t="str">
        <f t="shared" si="8"/>
        <v>3</v>
      </c>
      <c r="F106" s="188">
        <f t="shared" si="40"/>
        <v>45378</v>
      </c>
      <c r="G106" s="189" t="str">
        <f t="shared" si="41"/>
        <v>Wed</v>
      </c>
      <c r="H106" s="190"/>
      <c r="I106" s="200"/>
      <c r="J106" s="201">
        <v>417850</v>
      </c>
      <c r="K106" s="202"/>
      <c r="L106" s="59">
        <f t="shared" si="34"/>
        <v>246438.82698961941</v>
      </c>
      <c r="M106" s="60">
        <f t="shared" si="35"/>
        <v>171411.17301038059</v>
      </c>
      <c r="N106" s="61">
        <f t="shared" si="11"/>
        <v>1.6955526249830788</v>
      </c>
      <c r="O106" s="194"/>
      <c r="P106" s="106">
        <f>IF(D106=0,0,SUM($L$80:L106))</f>
        <v>5421654.1937716268</v>
      </c>
      <c r="Q106" s="59">
        <f>IF(D106=0,0,SUM($J$80:J106))</f>
        <v>5557738</v>
      </c>
      <c r="R106" s="63">
        <f t="shared" si="36"/>
        <v>136083.8062283732</v>
      </c>
      <c r="S106" s="61">
        <f t="shared" si="13"/>
        <v>1.0251000527449179</v>
      </c>
      <c r="T106" s="80"/>
      <c r="U106" s="59">
        <f>IF(D106=0,0,SUM($L$20:L106))</f>
        <v>15119022.03581314</v>
      </c>
      <c r="V106" s="59">
        <f>IF(D106=0,0,SUM($J$20:J106))</f>
        <v>15541942</v>
      </c>
      <c r="W106" s="63">
        <f t="shared" si="37"/>
        <v>422919.96418686025</v>
      </c>
      <c r="X106" s="61">
        <f t="shared" si="15"/>
        <v>1.0279727063817401</v>
      </c>
      <c r="Y106" s="145"/>
      <c r="Z106" s="196">
        <f t="shared" si="46"/>
        <v>45378</v>
      </c>
      <c r="AA106" s="197">
        <f t="shared" si="46"/>
        <v>45378</v>
      </c>
      <c r="AB106" s="1"/>
      <c r="AC106" s="1"/>
      <c r="AD106" s="1"/>
      <c r="AE106" s="1"/>
      <c r="AF106" s="145"/>
      <c r="AG106" s="198">
        <f t="shared" si="47"/>
        <v>3</v>
      </c>
      <c r="AH106" s="145"/>
      <c r="AI106" s="145"/>
      <c r="AJ106" s="145"/>
      <c r="AK106" s="145"/>
      <c r="AL106" s="145"/>
      <c r="AM106" s="145"/>
      <c r="AN106" s="145"/>
    </row>
    <row r="107" spans="1:40" ht="20">
      <c r="A107" s="145"/>
      <c r="B107" s="152"/>
      <c r="C107" s="50">
        <f t="shared" si="39"/>
        <v>88</v>
      </c>
      <c r="D107" s="51">
        <v>1</v>
      </c>
      <c r="E107" s="187" t="str">
        <f t="shared" si="8"/>
        <v>3</v>
      </c>
      <c r="F107" s="188">
        <f t="shared" si="40"/>
        <v>45379</v>
      </c>
      <c r="G107" s="189" t="str">
        <f t="shared" si="41"/>
        <v>Thu</v>
      </c>
      <c r="H107" s="190"/>
      <c r="I107" s="200"/>
      <c r="J107" s="201">
        <v>327160</v>
      </c>
      <c r="K107" s="202"/>
      <c r="L107" s="59">
        <f t="shared" si="34"/>
        <v>246438.82698961941</v>
      </c>
      <c r="M107" s="60">
        <f t="shared" si="35"/>
        <v>80721.173010380589</v>
      </c>
      <c r="N107" s="61">
        <f t="shared" si="11"/>
        <v>1.3275505487363026</v>
      </c>
      <c r="O107" s="194"/>
      <c r="P107" s="106">
        <f>IF(D107=0,0,SUM($L$80:L107))</f>
        <v>5668093.0207612459</v>
      </c>
      <c r="Q107" s="59">
        <f>IF(D107=0,0,SUM($J$80:J107))</f>
        <v>5884898</v>
      </c>
      <c r="R107" s="63">
        <f t="shared" si="36"/>
        <v>216804.97923875414</v>
      </c>
      <c r="S107" s="61">
        <f t="shared" si="13"/>
        <v>1.0382500743097607</v>
      </c>
      <c r="T107" s="80"/>
      <c r="U107" s="59">
        <f>IF(D107=0,0,SUM($L$20:L107))</f>
        <v>15365460.862802759</v>
      </c>
      <c r="V107" s="59">
        <f>IF(D107=0,0,SUM($J$20:J107))</f>
        <v>15869102</v>
      </c>
      <c r="W107" s="63">
        <f t="shared" si="37"/>
        <v>503641.13719724119</v>
      </c>
      <c r="X107" s="61">
        <f t="shared" si="15"/>
        <v>1.0327774833240748</v>
      </c>
      <c r="Y107" s="145"/>
      <c r="Z107" s="196">
        <f t="shared" si="46"/>
        <v>45379</v>
      </c>
      <c r="AA107" s="197">
        <f t="shared" si="46"/>
        <v>45379</v>
      </c>
      <c r="AB107" s="1"/>
      <c r="AC107" s="1"/>
      <c r="AD107" s="1"/>
      <c r="AE107" s="1"/>
      <c r="AF107" s="145"/>
      <c r="AG107" s="198">
        <f t="shared" si="47"/>
        <v>4</v>
      </c>
      <c r="AH107" s="145"/>
      <c r="AI107" s="145"/>
      <c r="AJ107" s="145"/>
      <c r="AK107" s="145"/>
      <c r="AL107" s="145"/>
      <c r="AM107" s="145"/>
      <c r="AN107" s="145"/>
    </row>
    <row r="108" spans="1:40" ht="20">
      <c r="A108" s="145"/>
      <c r="B108" s="152"/>
      <c r="C108" s="50">
        <f t="shared" si="39"/>
        <v>89</v>
      </c>
      <c r="D108" s="51">
        <v>1</v>
      </c>
      <c r="E108" s="187" t="str">
        <f t="shared" si="8"/>
        <v>3</v>
      </c>
      <c r="F108" s="188">
        <f t="shared" si="40"/>
        <v>45380</v>
      </c>
      <c r="G108" s="189" t="str">
        <f t="shared" si="41"/>
        <v>Fri</v>
      </c>
      <c r="H108" s="190"/>
      <c r="I108" s="200"/>
      <c r="J108" s="201">
        <v>358550</v>
      </c>
      <c r="K108" s="202"/>
      <c r="L108" s="59">
        <f t="shared" si="34"/>
        <v>246438.82698961941</v>
      </c>
      <c r="M108" s="60">
        <f t="shared" si="35"/>
        <v>112111.17301038059</v>
      </c>
      <c r="N108" s="61">
        <f t="shared" si="11"/>
        <v>1.4549249579698047</v>
      </c>
      <c r="O108" s="194"/>
      <c r="P108" s="106">
        <f>IF(D108=0,0,SUM($L$80:L108))</f>
        <v>5914531.8477508649</v>
      </c>
      <c r="Q108" s="59">
        <f>IF(D108=0,0,SUM($J$80:J108))</f>
        <v>6243448</v>
      </c>
      <c r="R108" s="63">
        <f t="shared" si="36"/>
        <v>328916.15224913508</v>
      </c>
      <c r="S108" s="61">
        <f t="shared" si="13"/>
        <v>1.055611527795596</v>
      </c>
      <c r="T108" s="80"/>
      <c r="U108" s="59">
        <f>IF(D108=0,0,SUM($L$20:L108))</f>
        <v>15611899.689792378</v>
      </c>
      <c r="V108" s="59">
        <f>IF(D108=0,0,SUM($J$20:J108))</f>
        <v>16227652</v>
      </c>
      <c r="W108" s="63">
        <f t="shared" si="37"/>
        <v>615752.31020762213</v>
      </c>
      <c r="X108" s="61">
        <f t="shared" si="15"/>
        <v>1.0394412161519475</v>
      </c>
      <c r="Y108" s="145"/>
      <c r="Z108" s="196">
        <f t="shared" si="46"/>
        <v>45380</v>
      </c>
      <c r="AA108" s="197">
        <f t="shared" si="46"/>
        <v>45380</v>
      </c>
      <c r="AB108" s="1"/>
      <c r="AC108" s="1"/>
      <c r="AD108" s="1"/>
      <c r="AE108" s="1"/>
      <c r="AF108" s="145"/>
      <c r="AG108" s="198">
        <f t="shared" si="47"/>
        <v>5</v>
      </c>
      <c r="AH108" s="145"/>
      <c r="AI108" s="145"/>
      <c r="AJ108" s="145"/>
      <c r="AK108" s="145"/>
      <c r="AL108" s="145"/>
      <c r="AM108" s="145"/>
      <c r="AN108" s="145"/>
    </row>
    <row r="109" spans="1:40" ht="20">
      <c r="A109" s="145"/>
      <c r="B109" s="152"/>
      <c r="C109" s="50">
        <f t="shared" si="39"/>
        <v>90</v>
      </c>
      <c r="D109" s="51">
        <v>1</v>
      </c>
      <c r="E109" s="187" t="str">
        <f t="shared" si="8"/>
        <v>3</v>
      </c>
      <c r="F109" s="188">
        <f t="shared" si="40"/>
        <v>45381</v>
      </c>
      <c r="G109" s="189" t="str">
        <f t="shared" si="41"/>
        <v>Sat</v>
      </c>
      <c r="H109" s="190"/>
      <c r="I109" s="200"/>
      <c r="J109" s="201">
        <v>217160</v>
      </c>
      <c r="K109" s="202"/>
      <c r="L109" s="59">
        <f t="shared" si="34"/>
        <v>246438.82698961941</v>
      </c>
      <c r="M109" s="60">
        <f t="shared" si="35"/>
        <v>-29278.826989619411</v>
      </c>
      <c r="N109" s="61">
        <f t="shared" si="11"/>
        <v>0.8811923131298921</v>
      </c>
      <c r="O109" s="194"/>
      <c r="P109" s="106">
        <f>IF(D109=0,0,SUM($L$80:L109))</f>
        <v>6160970.674740484</v>
      </c>
      <c r="Q109" s="59">
        <f>IF(D109=0,0,SUM($J$80:J109))</f>
        <v>6460608</v>
      </c>
      <c r="R109" s="63">
        <f t="shared" si="36"/>
        <v>299637.32525951602</v>
      </c>
      <c r="S109" s="61">
        <f t="shared" si="13"/>
        <v>1.048634759208968</v>
      </c>
      <c r="T109" s="81"/>
      <c r="U109" s="59">
        <f>IF(D109=0,0,SUM($L$20:L109))</f>
        <v>15858338.516781997</v>
      </c>
      <c r="V109" s="59">
        <f>IF(D109=0,0,SUM($J$20:J109))</f>
        <v>16444812</v>
      </c>
      <c r="W109" s="63">
        <f t="shared" si="37"/>
        <v>586473.48321800306</v>
      </c>
      <c r="X109" s="61">
        <f t="shared" si="15"/>
        <v>1.0369820257397944</v>
      </c>
      <c r="Y109" s="145"/>
      <c r="Z109" s="196">
        <f t="shared" si="46"/>
        <v>45381</v>
      </c>
      <c r="AA109" s="197">
        <f t="shared" si="46"/>
        <v>45381</v>
      </c>
      <c r="AB109" s="1"/>
      <c r="AC109" s="1"/>
      <c r="AD109" s="1"/>
      <c r="AE109" s="1"/>
      <c r="AF109" s="145"/>
      <c r="AG109" s="198">
        <f t="shared" si="47"/>
        <v>6</v>
      </c>
      <c r="AH109" s="145"/>
      <c r="AI109" s="145"/>
      <c r="AJ109" s="145"/>
      <c r="AK109" s="145"/>
      <c r="AL109" s="145"/>
      <c r="AM109" s="145"/>
      <c r="AN109" s="145"/>
    </row>
    <row r="110" spans="1:40" ht="21" thickBot="1">
      <c r="A110" s="145"/>
      <c r="B110" s="152"/>
      <c r="C110" s="100">
        <f t="shared" si="39"/>
        <v>91</v>
      </c>
      <c r="D110" s="85">
        <v>0</v>
      </c>
      <c r="E110" s="203" t="str">
        <f t="shared" si="8"/>
        <v>3</v>
      </c>
      <c r="F110" s="204">
        <f t="shared" si="40"/>
        <v>45382</v>
      </c>
      <c r="G110" s="205" t="str">
        <f t="shared" si="41"/>
        <v>Sun</v>
      </c>
      <c r="H110" s="206" t="s">
        <v>58</v>
      </c>
      <c r="I110" s="207"/>
      <c r="J110" s="208">
        <v>0</v>
      </c>
      <c r="K110" s="202"/>
      <c r="L110" s="103">
        <f t="shared" si="34"/>
        <v>0</v>
      </c>
      <c r="M110" s="91">
        <f t="shared" si="35"/>
        <v>0</v>
      </c>
      <c r="N110" s="108" t="str">
        <f t="shared" si="11"/>
        <v>0%</v>
      </c>
      <c r="O110" s="209"/>
      <c r="P110" s="210">
        <f>IF(D110=0,0,SUM($L$80:L110))</f>
        <v>0</v>
      </c>
      <c r="Q110" s="103">
        <f>IF(D110=0,0,SUM($J$80:J110))</f>
        <v>0</v>
      </c>
      <c r="R110" s="105">
        <f t="shared" si="36"/>
        <v>0</v>
      </c>
      <c r="S110" s="108" t="str">
        <f t="shared" si="13"/>
        <v>0%</v>
      </c>
      <c r="T110" s="211"/>
      <c r="U110" s="103">
        <f>IF(D110=0,0,SUM($L$20:L110))</f>
        <v>0</v>
      </c>
      <c r="V110" s="103">
        <f>IF(D110=0,0,SUM($J$20:J110))</f>
        <v>0</v>
      </c>
      <c r="W110" s="105">
        <f t="shared" si="37"/>
        <v>0</v>
      </c>
      <c r="X110" s="108" t="str">
        <f t="shared" si="15"/>
        <v>0%</v>
      </c>
      <c r="Y110" s="145"/>
      <c r="Z110" s="196">
        <f t="shared" si="46"/>
        <v>45382</v>
      </c>
      <c r="AA110" s="197">
        <f t="shared" si="46"/>
        <v>45382</v>
      </c>
      <c r="AB110" s="1"/>
      <c r="AC110" s="1"/>
      <c r="AD110" s="1"/>
      <c r="AE110" s="1"/>
      <c r="AF110" s="145"/>
      <c r="AG110" s="198">
        <f t="shared" si="47"/>
        <v>7</v>
      </c>
      <c r="AH110" s="145"/>
      <c r="AI110" s="145"/>
      <c r="AJ110" s="145"/>
      <c r="AK110" s="145"/>
      <c r="AL110" s="145"/>
      <c r="AM110" s="145"/>
      <c r="AN110" s="145"/>
    </row>
    <row r="111" spans="1:40" ht="21" thickTop="1">
      <c r="A111" s="145"/>
      <c r="B111" s="152"/>
      <c r="C111" s="50">
        <f t="shared" si="39"/>
        <v>92</v>
      </c>
      <c r="D111" s="96">
        <v>1</v>
      </c>
      <c r="E111" s="187" t="str">
        <f t="shared" si="8"/>
        <v>4</v>
      </c>
      <c r="F111" s="188">
        <f t="shared" si="40"/>
        <v>45383</v>
      </c>
      <c r="G111" s="189" t="str">
        <f t="shared" si="41"/>
        <v>Mon</v>
      </c>
      <c r="H111" s="190"/>
      <c r="I111" s="200"/>
      <c r="J111" s="201">
        <v>184600</v>
      </c>
      <c r="K111" s="202"/>
      <c r="L111" s="59">
        <f>IF(D111=0,0,$K$9)</f>
        <v>258760.76833910038</v>
      </c>
      <c r="M111" s="63">
        <f t="shared" si="35"/>
        <v>-74160.768339100381</v>
      </c>
      <c r="N111" s="97">
        <f t="shared" si="11"/>
        <v>0.71340026227656617</v>
      </c>
      <c r="O111" s="194"/>
      <c r="P111" s="107">
        <f>IF(D111=0,0,$L$111)</f>
        <v>258760.76833910038</v>
      </c>
      <c r="Q111" s="59">
        <f>IF(D111=0,0,$J$111)</f>
        <v>184600</v>
      </c>
      <c r="R111" s="63">
        <f t="shared" si="36"/>
        <v>-74160.768339100381</v>
      </c>
      <c r="S111" s="97">
        <f t="shared" si="13"/>
        <v>0.71340026227656617</v>
      </c>
      <c r="T111" s="80"/>
      <c r="U111" s="59">
        <f>IF(D111=0,0,SUM($L$20:L111))</f>
        <v>16117099.285121098</v>
      </c>
      <c r="V111" s="59">
        <f>IF(D111=0,0,SUM($J$20:J111))</f>
        <v>16629412</v>
      </c>
      <c r="W111" s="63">
        <f t="shared" si="37"/>
        <v>512312.71487890184</v>
      </c>
      <c r="X111" s="97">
        <f t="shared" si="15"/>
        <v>1.031786905684192</v>
      </c>
      <c r="Y111" s="145"/>
      <c r="Z111" s="196">
        <f t="shared" si="46"/>
        <v>45383</v>
      </c>
      <c r="AA111" s="197">
        <f t="shared" si="46"/>
        <v>45383</v>
      </c>
      <c r="AB111" s="1"/>
      <c r="AC111" s="1"/>
      <c r="AD111" s="1"/>
      <c r="AE111" s="1"/>
      <c r="AF111" s="145"/>
      <c r="AG111" s="198">
        <f t="shared" si="47"/>
        <v>8</v>
      </c>
      <c r="AH111" s="145"/>
      <c r="AI111" s="145"/>
      <c r="AJ111" s="145"/>
      <c r="AK111" s="145"/>
      <c r="AL111" s="145"/>
      <c r="AM111" s="145"/>
      <c r="AN111" s="145"/>
    </row>
    <row r="112" spans="1:40" ht="20">
      <c r="A112" s="145"/>
      <c r="B112" s="152"/>
      <c r="C112" s="50">
        <f t="shared" si="39"/>
        <v>93</v>
      </c>
      <c r="D112" s="51">
        <v>1</v>
      </c>
      <c r="E112" s="187" t="str">
        <f t="shared" si="8"/>
        <v>4</v>
      </c>
      <c r="F112" s="188">
        <f t="shared" si="40"/>
        <v>45384</v>
      </c>
      <c r="G112" s="189" t="str">
        <f t="shared" si="41"/>
        <v>Tue</v>
      </c>
      <c r="H112" s="190"/>
      <c r="I112" s="200"/>
      <c r="J112" s="201">
        <v>271210</v>
      </c>
      <c r="K112" s="202"/>
      <c r="L112" s="59">
        <f t="shared" ref="L112:L140" si="48">IF(D112=0,0,$K$9)</f>
        <v>258760.76833910038</v>
      </c>
      <c r="M112" s="60">
        <f t="shared" si="35"/>
        <v>12449.231660899619</v>
      </c>
      <c r="N112" s="61">
        <f t="shared" si="11"/>
        <v>1.0481109703793474</v>
      </c>
      <c r="O112" s="194"/>
      <c r="P112" s="106">
        <f>IF(D112=0,0,SUM($L$111:L112))</f>
        <v>517521.53667820076</v>
      </c>
      <c r="Q112" s="59">
        <f>IF(D112=0,0,SUM($J$111:J112))</f>
        <v>455810</v>
      </c>
      <c r="R112" s="63">
        <f t="shared" si="36"/>
        <v>-61711.536678200762</v>
      </c>
      <c r="S112" s="61">
        <f t="shared" si="13"/>
        <v>0.88075561632795674</v>
      </c>
      <c r="T112" s="80"/>
      <c r="U112" s="59">
        <f>IF(D112=0,0,SUM($L$20:L112))</f>
        <v>16375860.053460199</v>
      </c>
      <c r="V112" s="59">
        <f>IF(D112=0,0,SUM($J$20:J112))</f>
        <v>16900622</v>
      </c>
      <c r="W112" s="63">
        <f t="shared" si="37"/>
        <v>524761.94653980061</v>
      </c>
      <c r="X112" s="61">
        <f t="shared" si="15"/>
        <v>1.0320448480157181</v>
      </c>
      <c r="Y112" s="145"/>
      <c r="Z112" s="196">
        <f t="shared" si="46"/>
        <v>45384</v>
      </c>
      <c r="AA112" s="197">
        <f t="shared" si="46"/>
        <v>45384</v>
      </c>
      <c r="AB112" s="1"/>
      <c r="AC112" s="1"/>
      <c r="AD112" s="1"/>
      <c r="AE112" s="1"/>
      <c r="AF112" s="145"/>
      <c r="AG112" s="198">
        <f t="shared" si="47"/>
        <v>9</v>
      </c>
      <c r="AH112" s="145"/>
      <c r="AI112" s="145"/>
      <c r="AJ112" s="145"/>
      <c r="AK112" s="145"/>
      <c r="AL112" s="145"/>
      <c r="AM112" s="145"/>
      <c r="AN112" s="145"/>
    </row>
    <row r="113" spans="1:40" ht="20">
      <c r="A113" s="145"/>
      <c r="B113" s="152"/>
      <c r="C113" s="50">
        <f t="shared" si="39"/>
        <v>94</v>
      </c>
      <c r="D113" s="51">
        <v>1</v>
      </c>
      <c r="E113" s="187" t="str">
        <f t="shared" si="8"/>
        <v>4</v>
      </c>
      <c r="F113" s="188">
        <f t="shared" si="40"/>
        <v>45385</v>
      </c>
      <c r="G113" s="189" t="str">
        <f t="shared" si="41"/>
        <v>Wed</v>
      </c>
      <c r="H113" s="190"/>
      <c r="I113" s="200"/>
      <c r="J113" s="201">
        <v>330210</v>
      </c>
      <c r="K113" s="202"/>
      <c r="L113" s="59">
        <f t="shared" si="48"/>
        <v>258760.76833910038</v>
      </c>
      <c r="M113" s="60">
        <f t="shared" si="35"/>
        <v>71449.231660899619</v>
      </c>
      <c r="N113" s="61">
        <f t="shared" si="11"/>
        <v>1.2761208050181199</v>
      </c>
      <c r="O113" s="194"/>
      <c r="P113" s="106">
        <f>IF(D113=0,0,SUM($L$111:L113))</f>
        <v>776282.30501730111</v>
      </c>
      <c r="Q113" s="59">
        <f>IF(D113=0,0,SUM($J$111:J113))</f>
        <v>786020</v>
      </c>
      <c r="R113" s="63">
        <f t="shared" si="36"/>
        <v>9737.6949826988857</v>
      </c>
      <c r="S113" s="61">
        <f t="shared" si="13"/>
        <v>1.0125440125580112</v>
      </c>
      <c r="T113" s="80"/>
      <c r="U113" s="59">
        <f>IF(D113=0,0,SUM($L$20:L113))</f>
        <v>16634620.821799301</v>
      </c>
      <c r="V113" s="59">
        <f>IF(D113=0,0,SUM($J$20:J113))</f>
        <v>17230832</v>
      </c>
      <c r="W113" s="63">
        <f t="shared" si="37"/>
        <v>596211.17820069939</v>
      </c>
      <c r="X113" s="61">
        <f t="shared" si="15"/>
        <v>1.0358415851246443</v>
      </c>
      <c r="Y113" s="145"/>
      <c r="Z113" s="196">
        <f t="shared" si="46"/>
        <v>45385</v>
      </c>
      <c r="AA113" s="197">
        <f t="shared" si="46"/>
        <v>45385</v>
      </c>
      <c r="AB113" s="1"/>
      <c r="AC113" s="1"/>
      <c r="AD113" s="1"/>
      <c r="AE113" s="1"/>
      <c r="AF113" s="145"/>
      <c r="AG113" s="198">
        <f t="shared" si="47"/>
        <v>10</v>
      </c>
      <c r="AH113" s="145"/>
      <c r="AI113" s="145"/>
      <c r="AJ113" s="145"/>
      <c r="AK113" s="145"/>
      <c r="AL113" s="145"/>
      <c r="AM113" s="145"/>
      <c r="AN113" s="145"/>
    </row>
    <row r="114" spans="1:40" ht="20">
      <c r="A114" s="145"/>
      <c r="B114" s="152"/>
      <c r="C114" s="50">
        <f t="shared" si="39"/>
        <v>95</v>
      </c>
      <c r="D114" s="51">
        <v>1</v>
      </c>
      <c r="E114" s="187" t="str">
        <f t="shared" si="8"/>
        <v>4</v>
      </c>
      <c r="F114" s="188">
        <f t="shared" si="40"/>
        <v>45386</v>
      </c>
      <c r="G114" s="189" t="str">
        <f t="shared" si="41"/>
        <v>Thu</v>
      </c>
      <c r="H114" s="190"/>
      <c r="I114" s="200"/>
      <c r="J114" s="201">
        <v>147190</v>
      </c>
      <c r="K114" s="202"/>
      <c r="L114" s="59">
        <f t="shared" si="48"/>
        <v>258760.76833910038</v>
      </c>
      <c r="M114" s="60">
        <f t="shared" si="35"/>
        <v>-111570.76833910038</v>
      </c>
      <c r="N114" s="61">
        <f t="shared" si="11"/>
        <v>0.56882656882171057</v>
      </c>
      <c r="O114" s="194"/>
      <c r="P114" s="106">
        <f>IF(D114=0,0,SUM($L$111:L114))</f>
        <v>1035043.0733564015</v>
      </c>
      <c r="Q114" s="59">
        <f>IF(D114=0,0,SUM($J$111:J114))</f>
        <v>933210</v>
      </c>
      <c r="R114" s="63">
        <f t="shared" si="36"/>
        <v>-101833.07335640152</v>
      </c>
      <c r="S114" s="61">
        <f t="shared" si="13"/>
        <v>0.90161465162393606</v>
      </c>
      <c r="T114" s="80"/>
      <c r="U114" s="59">
        <f>IF(D114=0,0,SUM($L$20:L114))</f>
        <v>16893381.590138402</v>
      </c>
      <c r="V114" s="59">
        <f>IF(D114=0,0,SUM($J$20:J114))</f>
        <v>17378022</v>
      </c>
      <c r="W114" s="63">
        <f t="shared" si="37"/>
        <v>484640.40986159816</v>
      </c>
      <c r="X114" s="61">
        <f t="shared" si="15"/>
        <v>1.028688182249107</v>
      </c>
      <c r="Y114" s="145"/>
      <c r="Z114" s="196">
        <f t="shared" si="46"/>
        <v>45386</v>
      </c>
      <c r="AA114" s="197">
        <f t="shared" si="46"/>
        <v>45386</v>
      </c>
      <c r="AB114" s="1"/>
      <c r="AC114" s="1"/>
      <c r="AD114" s="1"/>
      <c r="AE114" s="1"/>
      <c r="AF114" s="145"/>
      <c r="AG114" s="198">
        <f t="shared" si="47"/>
        <v>11</v>
      </c>
      <c r="AH114" s="145"/>
      <c r="AI114" s="145"/>
      <c r="AJ114" s="145"/>
      <c r="AK114" s="145"/>
      <c r="AL114" s="145"/>
      <c r="AM114" s="145"/>
      <c r="AN114" s="145"/>
    </row>
    <row r="115" spans="1:40" ht="20">
      <c r="A115" s="145"/>
      <c r="B115" s="152"/>
      <c r="C115" s="50">
        <f t="shared" si="39"/>
        <v>96</v>
      </c>
      <c r="D115" s="51">
        <v>1</v>
      </c>
      <c r="E115" s="187" t="str">
        <f t="shared" si="8"/>
        <v>4</v>
      </c>
      <c r="F115" s="188">
        <f t="shared" si="40"/>
        <v>45387</v>
      </c>
      <c r="G115" s="189" t="str">
        <f t="shared" si="41"/>
        <v>Fri</v>
      </c>
      <c r="H115" s="190"/>
      <c r="I115" s="200"/>
      <c r="J115" s="201">
        <v>353460</v>
      </c>
      <c r="K115" s="202"/>
      <c r="L115" s="59">
        <f t="shared" si="48"/>
        <v>258760.76833910038</v>
      </c>
      <c r="M115" s="60">
        <f t="shared" si="35"/>
        <v>94699.231660899619</v>
      </c>
      <c r="N115" s="61">
        <f t="shared" si="11"/>
        <v>1.3659721381596701</v>
      </c>
      <c r="O115" s="194"/>
      <c r="P115" s="106">
        <f>IF(D115=0,0,SUM($L$111:L115))</f>
        <v>1293803.8416955019</v>
      </c>
      <c r="Q115" s="59">
        <f>IF(D115=0,0,SUM($J$111:J115))</f>
        <v>1286670</v>
      </c>
      <c r="R115" s="63">
        <f t="shared" si="36"/>
        <v>-7133.8416955019347</v>
      </c>
      <c r="S115" s="61">
        <f t="shared" si="13"/>
        <v>0.99448614893108278</v>
      </c>
      <c r="T115" s="80"/>
      <c r="U115" s="59">
        <f>IF(D115=0,0,SUM($L$20:L115))</f>
        <v>17152142.358477503</v>
      </c>
      <c r="V115" s="59">
        <f>IF(D115=0,0,SUM($J$20:J115))</f>
        <v>17731482</v>
      </c>
      <c r="W115" s="63">
        <f t="shared" si="37"/>
        <v>579339.64152249694</v>
      </c>
      <c r="X115" s="61">
        <f t="shared" si="15"/>
        <v>1.0337765177908611</v>
      </c>
      <c r="Y115" s="145"/>
      <c r="Z115" s="196">
        <f t="shared" si="46"/>
        <v>45387</v>
      </c>
      <c r="AA115" s="197">
        <f t="shared" si="46"/>
        <v>45387</v>
      </c>
      <c r="AB115" s="1"/>
      <c r="AC115" s="1"/>
      <c r="AD115" s="1"/>
      <c r="AE115" s="1"/>
      <c r="AF115" s="145"/>
      <c r="AG115" s="198">
        <f t="shared" si="47"/>
        <v>12</v>
      </c>
      <c r="AH115" s="145"/>
      <c r="AI115" s="145"/>
      <c r="AJ115" s="145"/>
      <c r="AK115" s="145"/>
      <c r="AL115" s="145"/>
      <c r="AM115" s="145"/>
      <c r="AN115" s="145"/>
    </row>
    <row r="116" spans="1:40" ht="20">
      <c r="A116" s="145"/>
      <c r="B116" s="152"/>
      <c r="C116" s="50">
        <f t="shared" si="39"/>
        <v>97</v>
      </c>
      <c r="D116" s="51">
        <v>1</v>
      </c>
      <c r="E116" s="187" t="str">
        <f t="shared" si="8"/>
        <v>4</v>
      </c>
      <c r="F116" s="188">
        <f t="shared" si="40"/>
        <v>45388</v>
      </c>
      <c r="G116" s="189" t="str">
        <f t="shared" si="41"/>
        <v>Sat</v>
      </c>
      <c r="H116" s="190"/>
      <c r="I116" s="200"/>
      <c r="J116" s="201">
        <v>123460</v>
      </c>
      <c r="K116" s="202"/>
      <c r="L116" s="59">
        <f t="shared" si="48"/>
        <v>258760.76833910038</v>
      </c>
      <c r="M116" s="60">
        <f t="shared" si="35"/>
        <v>-135300.76833910038</v>
      </c>
      <c r="N116" s="61">
        <f t="shared" si="11"/>
        <v>0.4771202404153026</v>
      </c>
      <c r="O116" s="194"/>
      <c r="P116" s="106">
        <f>IF(D116=0,0,SUM($L$111:L116))</f>
        <v>1552564.6100346022</v>
      </c>
      <c r="Q116" s="59">
        <f>IF(D116=0,0,SUM($J$111:J116))</f>
        <v>1410130</v>
      </c>
      <c r="R116" s="63">
        <f t="shared" si="36"/>
        <v>-142434.61003460223</v>
      </c>
      <c r="S116" s="61">
        <f t="shared" si="13"/>
        <v>0.90825849751178611</v>
      </c>
      <c r="T116" s="81"/>
      <c r="U116" s="59">
        <f>IF(D116=0,0,SUM($L$20:L116))</f>
        <v>17410903.126816604</v>
      </c>
      <c r="V116" s="59">
        <f>IF(D116=0,0,SUM($J$20:J116))</f>
        <v>17854942</v>
      </c>
      <c r="W116" s="63">
        <f t="shared" si="37"/>
        <v>444038.87318339571</v>
      </c>
      <c r="X116" s="61">
        <f t="shared" si="15"/>
        <v>1.0255034945602264</v>
      </c>
      <c r="Y116" s="145"/>
      <c r="Z116" s="196">
        <f t="shared" si="46"/>
        <v>45388</v>
      </c>
      <c r="AA116" s="197">
        <f t="shared" si="46"/>
        <v>45388</v>
      </c>
      <c r="AB116" s="1"/>
      <c r="AC116" s="1"/>
      <c r="AD116" s="1"/>
      <c r="AE116" s="1"/>
      <c r="AF116" s="145"/>
      <c r="AG116" s="198">
        <f t="shared" si="47"/>
        <v>13</v>
      </c>
      <c r="AH116" s="145"/>
      <c r="AI116" s="145"/>
      <c r="AJ116" s="145"/>
      <c r="AK116" s="145"/>
      <c r="AL116" s="145"/>
      <c r="AM116" s="145"/>
      <c r="AN116" s="145"/>
    </row>
    <row r="117" spans="1:40" ht="20">
      <c r="A117" s="145"/>
      <c r="B117" s="152"/>
      <c r="C117" s="50">
        <f t="shared" si="39"/>
        <v>98</v>
      </c>
      <c r="D117" s="51">
        <v>0</v>
      </c>
      <c r="E117" s="187" t="str">
        <f t="shared" si="8"/>
        <v>4</v>
      </c>
      <c r="F117" s="188">
        <f t="shared" si="40"/>
        <v>45389</v>
      </c>
      <c r="G117" s="189" t="str">
        <f t="shared" si="41"/>
        <v>Sun</v>
      </c>
      <c r="H117" s="190" t="s">
        <v>58</v>
      </c>
      <c r="I117" s="200"/>
      <c r="J117" s="201">
        <v>0</v>
      </c>
      <c r="K117" s="202"/>
      <c r="L117" s="59">
        <f t="shared" si="48"/>
        <v>0</v>
      </c>
      <c r="M117" s="60">
        <f t="shared" si="35"/>
        <v>0</v>
      </c>
      <c r="N117" s="61" t="str">
        <f t="shared" si="11"/>
        <v>0%</v>
      </c>
      <c r="O117" s="194"/>
      <c r="P117" s="106">
        <f>IF(D117=0,0,SUM($L$111:L117))</f>
        <v>0</v>
      </c>
      <c r="Q117" s="59">
        <f>IF(D117=0,0,SUM($J$111:J117))</f>
        <v>0</v>
      </c>
      <c r="R117" s="63">
        <f t="shared" si="36"/>
        <v>0</v>
      </c>
      <c r="S117" s="61" t="str">
        <f t="shared" si="13"/>
        <v>0%</v>
      </c>
      <c r="T117" s="80"/>
      <c r="U117" s="59">
        <f>IF(D117=0,0,SUM($L$20:L117))</f>
        <v>0</v>
      </c>
      <c r="V117" s="59">
        <f>IF(D117=0,0,SUM($J$20:J117))</f>
        <v>0</v>
      </c>
      <c r="W117" s="63">
        <f t="shared" si="37"/>
        <v>0</v>
      </c>
      <c r="X117" s="61" t="str">
        <f t="shared" si="15"/>
        <v>0%</v>
      </c>
      <c r="Y117" s="145"/>
      <c r="Z117" s="196">
        <f t="shared" ref="Z117:AA132" si="49">Z116+1</f>
        <v>45389</v>
      </c>
      <c r="AA117" s="197">
        <f t="shared" si="49"/>
        <v>45389</v>
      </c>
      <c r="AB117" s="1"/>
      <c r="AC117" s="1"/>
      <c r="AD117" s="1"/>
      <c r="AE117" s="1"/>
      <c r="AF117" s="145"/>
      <c r="AG117" s="198">
        <f t="shared" si="47"/>
        <v>14</v>
      </c>
      <c r="AH117" s="145"/>
      <c r="AI117" s="145"/>
      <c r="AJ117" s="145"/>
      <c r="AK117" s="145"/>
      <c r="AL117" s="145"/>
      <c r="AM117" s="145"/>
      <c r="AN117" s="145"/>
    </row>
    <row r="118" spans="1:40" ht="20">
      <c r="A118" s="145"/>
      <c r="B118" s="152"/>
      <c r="C118" s="50">
        <f t="shared" si="39"/>
        <v>99</v>
      </c>
      <c r="D118" s="51">
        <v>1</v>
      </c>
      <c r="E118" s="187" t="str">
        <f t="shared" si="8"/>
        <v>4</v>
      </c>
      <c r="F118" s="188">
        <f t="shared" si="40"/>
        <v>45390</v>
      </c>
      <c r="G118" s="189" t="str">
        <f t="shared" si="41"/>
        <v>Mon</v>
      </c>
      <c r="H118" s="190"/>
      <c r="I118" s="200"/>
      <c r="J118" s="201">
        <v>153400</v>
      </c>
      <c r="K118" s="202"/>
      <c r="L118" s="59">
        <f t="shared" si="48"/>
        <v>258760.76833910038</v>
      </c>
      <c r="M118" s="60">
        <f t="shared" si="35"/>
        <v>-105360.76833910038</v>
      </c>
      <c r="N118" s="61">
        <f t="shared" si="11"/>
        <v>0.59282557006080849</v>
      </c>
      <c r="O118" s="194"/>
      <c r="P118" s="106">
        <f>IF(D118=0,0,SUM($L$111:L118))</f>
        <v>1811325.3783737025</v>
      </c>
      <c r="Q118" s="59">
        <f>IF(D118=0,0,SUM($J$111:J118))</f>
        <v>1563530</v>
      </c>
      <c r="R118" s="63">
        <f t="shared" si="36"/>
        <v>-247795.37837370252</v>
      </c>
      <c r="S118" s="61">
        <f t="shared" si="13"/>
        <v>0.86319665073307505</v>
      </c>
      <c r="T118" s="80"/>
      <c r="U118" s="59">
        <f>IF(D118=0,0,SUM($L$20:L118))</f>
        <v>17669663.895155706</v>
      </c>
      <c r="V118" s="59">
        <f>IF(D118=0,0,SUM($J$20:J118))</f>
        <v>18008342</v>
      </c>
      <c r="W118" s="63">
        <f t="shared" si="37"/>
        <v>338678.10484429449</v>
      </c>
      <c r="X118" s="61">
        <f t="shared" si="15"/>
        <v>1.0191672069629545</v>
      </c>
      <c r="Y118" s="145"/>
      <c r="Z118" s="196">
        <f t="shared" si="49"/>
        <v>45390</v>
      </c>
      <c r="AA118" s="197">
        <f t="shared" si="49"/>
        <v>45390</v>
      </c>
      <c r="AB118" s="1"/>
      <c r="AC118" s="1"/>
      <c r="AD118" s="1"/>
      <c r="AE118" s="1"/>
      <c r="AF118" s="145"/>
      <c r="AG118" s="198">
        <f t="shared" si="47"/>
        <v>15</v>
      </c>
      <c r="AH118" s="145"/>
      <c r="AI118" s="145"/>
      <c r="AJ118" s="145"/>
      <c r="AK118" s="145"/>
      <c r="AL118" s="145"/>
      <c r="AM118" s="145"/>
      <c r="AN118" s="145"/>
    </row>
    <row r="119" spans="1:40" ht="20">
      <c r="A119" s="145"/>
      <c r="B119" s="152"/>
      <c r="C119" s="50">
        <f t="shared" si="39"/>
        <v>100</v>
      </c>
      <c r="D119" s="51">
        <v>1</v>
      </c>
      <c r="E119" s="187" t="str">
        <f t="shared" si="8"/>
        <v>4</v>
      </c>
      <c r="F119" s="188">
        <f t="shared" si="40"/>
        <v>45391</v>
      </c>
      <c r="G119" s="189" t="str">
        <f t="shared" si="41"/>
        <v>Tue</v>
      </c>
      <c r="H119" s="190"/>
      <c r="I119" s="200"/>
      <c r="J119" s="201">
        <v>259200</v>
      </c>
      <c r="K119" s="202"/>
      <c r="L119" s="59">
        <f t="shared" si="48"/>
        <v>258760.76833910038</v>
      </c>
      <c r="M119" s="60">
        <f t="shared" si="35"/>
        <v>439.23166089961887</v>
      </c>
      <c r="N119" s="61">
        <f t="shared" si="11"/>
        <v>1.0016974430232175</v>
      </c>
      <c r="O119" s="194"/>
      <c r="P119" s="106">
        <f>IF(D119=0,0,SUM($L$111:L119))</f>
        <v>2070086.1467128028</v>
      </c>
      <c r="Q119" s="59">
        <f>IF(D119=0,0,SUM($J$111:J119))</f>
        <v>1822730</v>
      </c>
      <c r="R119" s="63">
        <f t="shared" si="36"/>
        <v>-247356.14671280282</v>
      </c>
      <c r="S119" s="61">
        <f t="shared" si="13"/>
        <v>0.88050924976934297</v>
      </c>
      <c r="T119" s="80"/>
      <c r="U119" s="59">
        <f>IF(D119=0,0,SUM($L$20:L119))</f>
        <v>17928424.663494807</v>
      </c>
      <c r="V119" s="59">
        <f>IF(D119=0,0,SUM($J$20:J119))</f>
        <v>18267542</v>
      </c>
      <c r="W119" s="63">
        <f t="shared" si="37"/>
        <v>339117.33650519326</v>
      </c>
      <c r="X119" s="61">
        <f t="shared" si="15"/>
        <v>1.0189150660401129</v>
      </c>
      <c r="Y119" s="145"/>
      <c r="Z119" s="196">
        <f t="shared" si="49"/>
        <v>45391</v>
      </c>
      <c r="AA119" s="197">
        <f t="shared" si="49"/>
        <v>45391</v>
      </c>
      <c r="AB119" s="1"/>
      <c r="AC119" s="1"/>
      <c r="AD119" s="1"/>
      <c r="AE119" s="1"/>
      <c r="AF119" s="145"/>
      <c r="AG119" s="198">
        <f t="shared" si="47"/>
        <v>16</v>
      </c>
      <c r="AH119" s="145"/>
      <c r="AI119" s="145"/>
      <c r="AJ119" s="145"/>
      <c r="AK119" s="145"/>
      <c r="AL119" s="145"/>
      <c r="AM119" s="145"/>
      <c r="AN119" s="145"/>
    </row>
    <row r="120" spans="1:40" ht="20">
      <c r="A120" s="145"/>
      <c r="B120" s="152"/>
      <c r="C120" s="50">
        <f t="shared" si="39"/>
        <v>101</v>
      </c>
      <c r="D120" s="51">
        <v>1</v>
      </c>
      <c r="E120" s="187" t="str">
        <f t="shared" si="8"/>
        <v>4</v>
      </c>
      <c r="F120" s="188">
        <f t="shared" si="40"/>
        <v>45392</v>
      </c>
      <c r="G120" s="189" t="str">
        <f t="shared" si="41"/>
        <v>Wed</v>
      </c>
      <c r="H120" s="190"/>
      <c r="I120" s="200"/>
      <c r="J120" s="201">
        <v>174250</v>
      </c>
      <c r="K120" s="202"/>
      <c r="L120" s="59">
        <f t="shared" si="48"/>
        <v>258760.76833910038</v>
      </c>
      <c r="M120" s="60">
        <f t="shared" si="35"/>
        <v>-84510.768339100381</v>
      </c>
      <c r="N120" s="61">
        <f t="shared" si="11"/>
        <v>0.67340192687806966</v>
      </c>
      <c r="O120" s="194"/>
      <c r="P120" s="106">
        <f>IF(D120=0,0,SUM($L$111:L120))</f>
        <v>2328846.9150519031</v>
      </c>
      <c r="Q120" s="59">
        <f>IF(D120=0,0,SUM($J$111:J120))</f>
        <v>1996980</v>
      </c>
      <c r="R120" s="63">
        <f t="shared" si="36"/>
        <v>-331866.91505190311</v>
      </c>
      <c r="S120" s="61">
        <f t="shared" si="13"/>
        <v>0.85749732500364595</v>
      </c>
      <c r="T120" s="80"/>
      <c r="U120" s="59">
        <f>IF(D120=0,0,SUM($L$20:L120))</f>
        <v>18187185.431833908</v>
      </c>
      <c r="V120" s="59">
        <f>IF(D120=0,0,SUM($J$20:J120))</f>
        <v>18441792</v>
      </c>
      <c r="W120" s="63">
        <f t="shared" si="37"/>
        <v>254606.56816609204</v>
      </c>
      <c r="X120" s="61">
        <f t="shared" si="15"/>
        <v>1.0139992286943114</v>
      </c>
      <c r="Y120" s="145"/>
      <c r="Z120" s="196">
        <f t="shared" si="49"/>
        <v>45392</v>
      </c>
      <c r="AA120" s="197">
        <f t="shared" si="49"/>
        <v>45392</v>
      </c>
      <c r="AB120" s="1"/>
      <c r="AC120" s="1"/>
      <c r="AD120" s="1"/>
      <c r="AE120" s="1"/>
      <c r="AF120" s="145"/>
      <c r="AG120" s="198">
        <f t="shared" si="47"/>
        <v>17</v>
      </c>
      <c r="AH120" s="145"/>
      <c r="AI120" s="145"/>
      <c r="AJ120" s="145"/>
      <c r="AK120" s="145"/>
      <c r="AL120" s="145"/>
      <c r="AM120" s="145"/>
      <c r="AN120" s="145"/>
    </row>
    <row r="121" spans="1:40" ht="20">
      <c r="A121" s="145"/>
      <c r="B121" s="152"/>
      <c r="C121" s="50">
        <f t="shared" si="39"/>
        <v>102</v>
      </c>
      <c r="D121" s="51">
        <v>1</v>
      </c>
      <c r="E121" s="187" t="str">
        <f t="shared" si="8"/>
        <v>4</v>
      </c>
      <c r="F121" s="188">
        <f t="shared" si="40"/>
        <v>45393</v>
      </c>
      <c r="G121" s="189" t="str">
        <f t="shared" si="41"/>
        <v>Thu</v>
      </c>
      <c r="H121" s="190"/>
      <c r="I121" s="200"/>
      <c r="J121" s="201">
        <v>315370</v>
      </c>
      <c r="K121" s="202"/>
      <c r="L121" s="59">
        <f t="shared" si="48"/>
        <v>258760.76833910038</v>
      </c>
      <c r="M121" s="60">
        <f t="shared" si="35"/>
        <v>56609.231660899619</v>
      </c>
      <c r="N121" s="61">
        <f t="shared" si="11"/>
        <v>1.2187705347462658</v>
      </c>
      <c r="O121" s="194"/>
      <c r="P121" s="106">
        <f>IF(D121=0,0,SUM($L$111:L121))</f>
        <v>2587607.6833910034</v>
      </c>
      <c r="Q121" s="59">
        <f>IF(D121=0,0,SUM($J$111:J121))</f>
        <v>2312350</v>
      </c>
      <c r="R121" s="63">
        <f t="shared" si="36"/>
        <v>-275257.6833910034</v>
      </c>
      <c r="S121" s="61">
        <f t="shared" si="13"/>
        <v>0.89362464597790803</v>
      </c>
      <c r="T121" s="80"/>
      <c r="U121" s="59">
        <f>IF(D121=0,0,SUM($L$20:L121))</f>
        <v>18445946.200173009</v>
      </c>
      <c r="V121" s="59">
        <f>IF(D121=0,0,SUM($J$20:J121))</f>
        <v>18757162</v>
      </c>
      <c r="W121" s="63">
        <f t="shared" si="37"/>
        <v>311215.79982699081</v>
      </c>
      <c r="X121" s="61">
        <f t="shared" si="15"/>
        <v>1.0168717720657816</v>
      </c>
      <c r="Y121" s="145"/>
      <c r="Z121" s="196">
        <f t="shared" si="49"/>
        <v>45393</v>
      </c>
      <c r="AA121" s="197">
        <f t="shared" si="49"/>
        <v>45393</v>
      </c>
      <c r="AB121" s="1"/>
      <c r="AC121" s="1"/>
      <c r="AD121" s="1"/>
      <c r="AE121" s="1"/>
      <c r="AF121" s="145"/>
      <c r="AG121" s="198">
        <f t="shared" si="47"/>
        <v>18</v>
      </c>
      <c r="AH121" s="145"/>
      <c r="AI121" s="145"/>
      <c r="AJ121" s="145"/>
      <c r="AK121" s="145"/>
      <c r="AL121" s="145"/>
      <c r="AM121" s="145"/>
      <c r="AN121" s="145"/>
    </row>
    <row r="122" spans="1:40" ht="20">
      <c r="A122" s="145"/>
      <c r="B122" s="152"/>
      <c r="C122" s="50">
        <f t="shared" si="39"/>
        <v>103</v>
      </c>
      <c r="D122" s="51">
        <v>1</v>
      </c>
      <c r="E122" s="187" t="str">
        <f t="shared" si="8"/>
        <v>4</v>
      </c>
      <c r="F122" s="188">
        <f t="shared" si="40"/>
        <v>45394</v>
      </c>
      <c r="G122" s="189" t="str">
        <f t="shared" si="41"/>
        <v>Fri</v>
      </c>
      <c r="H122" s="190"/>
      <c r="I122" s="200"/>
      <c r="J122" s="201">
        <v>355090</v>
      </c>
      <c r="K122" s="202"/>
      <c r="L122" s="59">
        <f t="shared" si="48"/>
        <v>258760.76833910038</v>
      </c>
      <c r="M122" s="60">
        <f t="shared" si="35"/>
        <v>96329.231660899619</v>
      </c>
      <c r="N122" s="61">
        <f t="shared" si="11"/>
        <v>1.3722713929132497</v>
      </c>
      <c r="O122" s="194"/>
      <c r="P122" s="106">
        <f>IF(D122=0,0,SUM($L$111:L122))</f>
        <v>2846368.4517301037</v>
      </c>
      <c r="Q122" s="59">
        <f>IF(D122=0,0,SUM($J$111:J122))</f>
        <v>2667440</v>
      </c>
      <c r="R122" s="63">
        <f t="shared" si="36"/>
        <v>-178928.4517301037</v>
      </c>
      <c r="S122" s="61">
        <f t="shared" si="13"/>
        <v>0.93713798660839365</v>
      </c>
      <c r="T122" s="80"/>
      <c r="U122" s="59">
        <f>IF(D122=0,0,SUM($L$20:L122))</f>
        <v>18704706.96851211</v>
      </c>
      <c r="V122" s="59">
        <f>IF(D122=0,0,SUM($J$20:J122))</f>
        <v>19112252</v>
      </c>
      <c r="W122" s="63">
        <f t="shared" si="37"/>
        <v>407545.03148788959</v>
      </c>
      <c r="X122" s="61">
        <f t="shared" si="15"/>
        <v>1.0217883676111024</v>
      </c>
      <c r="Y122" s="145"/>
      <c r="Z122" s="196">
        <f t="shared" si="49"/>
        <v>45394</v>
      </c>
      <c r="AA122" s="197">
        <f t="shared" si="49"/>
        <v>45394</v>
      </c>
      <c r="AB122" s="1"/>
      <c r="AC122" s="1"/>
      <c r="AD122" s="1"/>
      <c r="AE122" s="1"/>
      <c r="AF122" s="145"/>
      <c r="AG122" s="198">
        <f t="shared" si="47"/>
        <v>19</v>
      </c>
      <c r="AH122" s="145"/>
      <c r="AI122" s="145"/>
      <c r="AJ122" s="145"/>
      <c r="AK122" s="145"/>
      <c r="AL122" s="145"/>
      <c r="AM122" s="145"/>
      <c r="AN122" s="145"/>
    </row>
    <row r="123" spans="1:40" ht="20">
      <c r="A123" s="145"/>
      <c r="B123" s="152"/>
      <c r="C123" s="50">
        <f t="shared" si="39"/>
        <v>104</v>
      </c>
      <c r="D123" s="51">
        <v>1</v>
      </c>
      <c r="E123" s="187" t="str">
        <f t="shared" si="8"/>
        <v>4</v>
      </c>
      <c r="F123" s="188">
        <f t="shared" si="40"/>
        <v>45395</v>
      </c>
      <c r="G123" s="189" t="str">
        <f t="shared" si="41"/>
        <v>Sat</v>
      </c>
      <c r="H123" s="190"/>
      <c r="I123" s="200"/>
      <c r="J123" s="201">
        <v>161750</v>
      </c>
      <c r="K123" s="202"/>
      <c r="L123" s="59">
        <f t="shared" si="48"/>
        <v>258760.76833910038</v>
      </c>
      <c r="M123" s="60">
        <f t="shared" si="35"/>
        <v>-97010.768339100381</v>
      </c>
      <c r="N123" s="61">
        <f t="shared" si="11"/>
        <v>0.62509475852239749</v>
      </c>
      <c r="O123" s="194"/>
      <c r="P123" s="106">
        <f>IF(D123=0,0,SUM($L$111:L123))</f>
        <v>3105129.220069204</v>
      </c>
      <c r="Q123" s="59">
        <f>IF(D123=0,0,SUM($J$111:J123))</f>
        <v>2829190</v>
      </c>
      <c r="R123" s="63">
        <f t="shared" si="36"/>
        <v>-275939.22006920399</v>
      </c>
      <c r="S123" s="61">
        <f t="shared" si="13"/>
        <v>0.91113438426789395</v>
      </c>
      <c r="T123" s="81"/>
      <c r="U123" s="59">
        <f>IF(D123=0,0,SUM($L$20:L123))</f>
        <v>18963467.736851212</v>
      </c>
      <c r="V123" s="59">
        <f>IF(D123=0,0,SUM($J$20:J123))</f>
        <v>19274002</v>
      </c>
      <c r="W123" s="63">
        <f t="shared" si="37"/>
        <v>310534.26314878836</v>
      </c>
      <c r="X123" s="61">
        <f t="shared" si="15"/>
        <v>1.0163753943876697</v>
      </c>
      <c r="Y123" s="145"/>
      <c r="Z123" s="196">
        <f t="shared" si="49"/>
        <v>45395</v>
      </c>
      <c r="AA123" s="197">
        <f t="shared" si="49"/>
        <v>45395</v>
      </c>
      <c r="AB123" s="1"/>
      <c r="AC123" s="1"/>
      <c r="AD123" s="1"/>
      <c r="AE123" s="1"/>
      <c r="AF123" s="145"/>
      <c r="AG123" s="198">
        <f t="shared" si="47"/>
        <v>20</v>
      </c>
      <c r="AH123" s="145"/>
      <c r="AI123" s="145"/>
      <c r="AJ123" s="145"/>
      <c r="AK123" s="145"/>
      <c r="AL123" s="145"/>
      <c r="AM123" s="145"/>
      <c r="AN123" s="145"/>
    </row>
    <row r="124" spans="1:40" ht="20">
      <c r="A124" s="145"/>
      <c r="B124" s="152"/>
      <c r="C124" s="50">
        <f t="shared" si="39"/>
        <v>105</v>
      </c>
      <c r="D124" s="51">
        <v>0</v>
      </c>
      <c r="E124" s="187" t="str">
        <f t="shared" si="8"/>
        <v>4</v>
      </c>
      <c r="F124" s="188">
        <f t="shared" si="40"/>
        <v>45396</v>
      </c>
      <c r="G124" s="189" t="str">
        <f t="shared" si="41"/>
        <v>Sun</v>
      </c>
      <c r="H124" s="190" t="s">
        <v>58</v>
      </c>
      <c r="I124" s="200"/>
      <c r="J124" s="201">
        <v>0</v>
      </c>
      <c r="K124" s="202"/>
      <c r="L124" s="59">
        <f t="shared" si="48"/>
        <v>0</v>
      </c>
      <c r="M124" s="60">
        <f t="shared" si="35"/>
        <v>0</v>
      </c>
      <c r="N124" s="61" t="str">
        <f t="shared" si="11"/>
        <v>0%</v>
      </c>
      <c r="O124" s="194"/>
      <c r="P124" s="106">
        <f>IF(D124=0,0,SUM($L$111:L124))</f>
        <v>0</v>
      </c>
      <c r="Q124" s="59">
        <f>IF(D124=0,0,SUM($J$111:J124))</f>
        <v>0</v>
      </c>
      <c r="R124" s="63">
        <f t="shared" si="36"/>
        <v>0</v>
      </c>
      <c r="S124" s="61" t="str">
        <f t="shared" si="13"/>
        <v>0%</v>
      </c>
      <c r="T124" s="80"/>
      <c r="U124" s="59">
        <f>IF(D124=0,0,SUM($L$20:L124))</f>
        <v>0</v>
      </c>
      <c r="V124" s="59">
        <f>IF(D124=0,0,SUM($J$20:J124))</f>
        <v>0</v>
      </c>
      <c r="W124" s="63">
        <f t="shared" si="37"/>
        <v>0</v>
      </c>
      <c r="X124" s="61" t="str">
        <f t="shared" si="15"/>
        <v>0%</v>
      </c>
      <c r="Y124" s="145"/>
      <c r="Z124" s="196">
        <f t="shared" si="49"/>
        <v>45396</v>
      </c>
      <c r="AA124" s="197">
        <f t="shared" si="49"/>
        <v>45396</v>
      </c>
      <c r="AB124" s="1"/>
      <c r="AC124" s="1"/>
      <c r="AD124" s="1"/>
      <c r="AE124" s="1"/>
      <c r="AF124" s="145"/>
      <c r="AG124" s="198">
        <f t="shared" si="47"/>
        <v>21</v>
      </c>
      <c r="AH124" s="145"/>
      <c r="AI124" s="145"/>
      <c r="AJ124" s="145"/>
      <c r="AK124" s="145"/>
      <c r="AL124" s="145"/>
      <c r="AM124" s="145"/>
      <c r="AN124" s="145"/>
    </row>
    <row r="125" spans="1:40" ht="20">
      <c r="A125" s="145"/>
      <c r="B125" s="152"/>
      <c r="C125" s="50">
        <f t="shared" si="39"/>
        <v>106</v>
      </c>
      <c r="D125" s="51">
        <v>1</v>
      </c>
      <c r="E125" s="187" t="str">
        <f t="shared" si="8"/>
        <v>4</v>
      </c>
      <c r="F125" s="188">
        <f t="shared" si="40"/>
        <v>45397</v>
      </c>
      <c r="G125" s="189" t="str">
        <f t="shared" si="41"/>
        <v>Mon</v>
      </c>
      <c r="H125" s="190"/>
      <c r="I125" s="200"/>
      <c r="J125" s="201">
        <v>319850</v>
      </c>
      <c r="K125" s="202"/>
      <c r="L125" s="59">
        <f t="shared" si="48"/>
        <v>258760.76833910038</v>
      </c>
      <c r="M125" s="60">
        <f t="shared" si="35"/>
        <v>61089.231660899619</v>
      </c>
      <c r="N125" s="61">
        <f t="shared" si="11"/>
        <v>1.2360838238849388</v>
      </c>
      <c r="O125" s="194"/>
      <c r="P125" s="106">
        <f>IF(D125=0,0,SUM($L$111:L125))</f>
        <v>3363889.9884083043</v>
      </c>
      <c r="Q125" s="59">
        <f>IF(D125=0,0,SUM($J$111:J125))</f>
        <v>3149040</v>
      </c>
      <c r="R125" s="63">
        <f t="shared" si="36"/>
        <v>-214849.98840830429</v>
      </c>
      <c r="S125" s="61">
        <f t="shared" si="13"/>
        <v>0.93613049500766665</v>
      </c>
      <c r="T125" s="80"/>
      <c r="U125" s="59">
        <f>IF(D125=0,0,SUM($L$20:L125))</f>
        <v>19222228.505190313</v>
      </c>
      <c r="V125" s="59">
        <f>IF(D125=0,0,SUM($J$20:J125))</f>
        <v>19593852</v>
      </c>
      <c r="W125" s="63">
        <f t="shared" si="37"/>
        <v>371623.49480968714</v>
      </c>
      <c r="X125" s="61">
        <f t="shared" si="15"/>
        <v>1.0193330078616714</v>
      </c>
      <c r="Y125" s="145"/>
      <c r="Z125" s="196">
        <f t="shared" si="49"/>
        <v>45397</v>
      </c>
      <c r="AA125" s="197">
        <f t="shared" si="49"/>
        <v>45397</v>
      </c>
      <c r="AB125" s="1"/>
      <c r="AC125" s="1"/>
      <c r="AD125" s="1"/>
      <c r="AE125" s="1"/>
      <c r="AF125" s="145"/>
      <c r="AG125" s="198">
        <f t="shared" si="47"/>
        <v>22</v>
      </c>
      <c r="AH125" s="145"/>
      <c r="AI125" s="145"/>
      <c r="AJ125" s="145"/>
      <c r="AK125" s="145"/>
      <c r="AL125" s="145"/>
      <c r="AM125" s="145"/>
      <c r="AN125" s="145"/>
    </row>
    <row r="126" spans="1:40" ht="20">
      <c r="A126" s="145"/>
      <c r="B126" s="152"/>
      <c r="C126" s="50">
        <f t="shared" si="39"/>
        <v>107</v>
      </c>
      <c r="D126" s="51">
        <v>1</v>
      </c>
      <c r="E126" s="187" t="str">
        <f t="shared" si="8"/>
        <v>4</v>
      </c>
      <c r="F126" s="188">
        <f t="shared" si="40"/>
        <v>45398</v>
      </c>
      <c r="G126" s="189" t="str">
        <f t="shared" si="41"/>
        <v>Tue</v>
      </c>
      <c r="H126" s="190"/>
      <c r="I126" s="200"/>
      <c r="J126" s="201">
        <v>340650</v>
      </c>
      <c r="K126" s="202"/>
      <c r="L126" s="59">
        <f t="shared" si="48"/>
        <v>258760.76833910038</v>
      </c>
      <c r="M126" s="60">
        <f t="shared" si="35"/>
        <v>81889.231660899619</v>
      </c>
      <c r="N126" s="61">
        <f t="shared" si="11"/>
        <v>1.3164669520287773</v>
      </c>
      <c r="O126" s="194"/>
      <c r="P126" s="106">
        <f>IF(D126=0,0,SUM($L$111:L126))</f>
        <v>3622650.7567474046</v>
      </c>
      <c r="Q126" s="59">
        <f>IF(D126=0,0,SUM($J$111:J126))</f>
        <v>3489690</v>
      </c>
      <c r="R126" s="63">
        <f t="shared" si="36"/>
        <v>-132960.75674740458</v>
      </c>
      <c r="S126" s="61">
        <f t="shared" si="13"/>
        <v>0.96329738479488891</v>
      </c>
      <c r="T126" s="80"/>
      <c r="U126" s="59">
        <f>IF(D126=0,0,SUM($L$20:L126))</f>
        <v>19480989.273529414</v>
      </c>
      <c r="V126" s="59">
        <f>IF(D126=0,0,SUM($J$20:J126))</f>
        <v>19934502</v>
      </c>
      <c r="W126" s="63">
        <f t="shared" si="37"/>
        <v>453512.72647058591</v>
      </c>
      <c r="X126" s="61">
        <f t="shared" si="15"/>
        <v>1.0232797585432079</v>
      </c>
      <c r="Y126" s="145"/>
      <c r="Z126" s="196">
        <f t="shared" si="49"/>
        <v>45398</v>
      </c>
      <c r="AA126" s="197">
        <f t="shared" si="49"/>
        <v>45398</v>
      </c>
      <c r="AB126" s="1"/>
      <c r="AC126" s="1"/>
      <c r="AD126" s="1"/>
      <c r="AE126" s="1"/>
      <c r="AF126" s="145"/>
      <c r="AG126" s="198">
        <f t="shared" si="47"/>
        <v>23</v>
      </c>
      <c r="AH126" s="145"/>
      <c r="AI126" s="145"/>
      <c r="AJ126" s="145"/>
      <c r="AK126" s="145"/>
      <c r="AL126" s="145"/>
      <c r="AM126" s="145"/>
      <c r="AN126" s="145"/>
    </row>
    <row r="127" spans="1:40" ht="20">
      <c r="A127" s="145"/>
      <c r="B127" s="152"/>
      <c r="C127" s="50">
        <f t="shared" si="39"/>
        <v>108</v>
      </c>
      <c r="D127" s="51">
        <v>1</v>
      </c>
      <c r="E127" s="187" t="str">
        <f t="shared" si="8"/>
        <v>4</v>
      </c>
      <c r="F127" s="188">
        <f t="shared" si="40"/>
        <v>45399</v>
      </c>
      <c r="G127" s="189" t="str">
        <f t="shared" si="41"/>
        <v>Wed</v>
      </c>
      <c r="H127" s="190"/>
      <c r="I127" s="200"/>
      <c r="J127" s="201">
        <v>363500</v>
      </c>
      <c r="K127" s="202"/>
      <c r="L127" s="59">
        <f t="shared" si="48"/>
        <v>258760.76833910038</v>
      </c>
      <c r="M127" s="60">
        <f t="shared" si="35"/>
        <v>104739.23166089962</v>
      </c>
      <c r="N127" s="61">
        <f t="shared" si="11"/>
        <v>1.404772455782946</v>
      </c>
      <c r="O127" s="194"/>
      <c r="P127" s="106">
        <f>IF(D127=0,0,SUM($L$111:L127))</f>
        <v>3881411.5250865049</v>
      </c>
      <c r="Q127" s="59">
        <f>IF(D127=0,0,SUM($J$111:J127))</f>
        <v>3853190</v>
      </c>
      <c r="R127" s="63">
        <f t="shared" si="36"/>
        <v>-28221.525086504873</v>
      </c>
      <c r="S127" s="61">
        <f t="shared" si="13"/>
        <v>0.99272905619409268</v>
      </c>
      <c r="T127" s="80"/>
      <c r="U127" s="59">
        <f>IF(D127=0,0,SUM($L$20:L127))</f>
        <v>19739750.041868515</v>
      </c>
      <c r="V127" s="59">
        <f>IF(D127=0,0,SUM($J$20:J127))</f>
        <v>20298002</v>
      </c>
      <c r="W127" s="63">
        <f t="shared" si="37"/>
        <v>558251.95813148469</v>
      </c>
      <c r="X127" s="61">
        <f t="shared" si="15"/>
        <v>1.0282805991437287</v>
      </c>
      <c r="Y127" s="145"/>
      <c r="Z127" s="196">
        <f t="shared" si="49"/>
        <v>45399</v>
      </c>
      <c r="AA127" s="197">
        <f t="shared" si="49"/>
        <v>45399</v>
      </c>
      <c r="AB127" s="1"/>
      <c r="AC127" s="1"/>
      <c r="AD127" s="1"/>
      <c r="AE127" s="1"/>
      <c r="AF127" s="145"/>
      <c r="AG127" s="198">
        <f t="shared" si="47"/>
        <v>24</v>
      </c>
      <c r="AH127" s="145"/>
      <c r="AI127" s="145"/>
      <c r="AJ127" s="145"/>
      <c r="AK127" s="145"/>
      <c r="AL127" s="145"/>
      <c r="AM127" s="145"/>
      <c r="AN127" s="145"/>
    </row>
    <row r="128" spans="1:40" ht="20">
      <c r="A128" s="145"/>
      <c r="B128" s="152"/>
      <c r="C128" s="50">
        <f t="shared" si="39"/>
        <v>109</v>
      </c>
      <c r="D128" s="51">
        <v>1</v>
      </c>
      <c r="E128" s="187" t="str">
        <f t="shared" si="8"/>
        <v>4</v>
      </c>
      <c r="F128" s="188">
        <f t="shared" si="40"/>
        <v>45400</v>
      </c>
      <c r="G128" s="189" t="str">
        <f t="shared" si="41"/>
        <v>Thu</v>
      </c>
      <c r="H128" s="190"/>
      <c r="I128" s="200"/>
      <c r="J128" s="201">
        <v>258110</v>
      </c>
      <c r="K128" s="202"/>
      <c r="L128" s="59">
        <f t="shared" si="48"/>
        <v>258760.76833910038</v>
      </c>
      <c r="M128" s="60">
        <f t="shared" si="35"/>
        <v>-650.76833910038113</v>
      </c>
      <c r="N128" s="61">
        <f t="shared" si="11"/>
        <v>0.99748505794260289</v>
      </c>
      <c r="O128" s="194"/>
      <c r="P128" s="106">
        <f>IF(D128=0,0,SUM($L$111:L128))</f>
        <v>4140172.2934256052</v>
      </c>
      <c r="Q128" s="59">
        <f>IF(D128=0,0,SUM($J$111:J128))</f>
        <v>4111300</v>
      </c>
      <c r="R128" s="63">
        <f t="shared" si="36"/>
        <v>-28872.293425605167</v>
      </c>
      <c r="S128" s="61">
        <f t="shared" si="13"/>
        <v>0.99302630630337463</v>
      </c>
      <c r="T128" s="80"/>
      <c r="U128" s="59">
        <f>IF(D128=0,0,SUM($L$20:L128))</f>
        <v>19998510.810207617</v>
      </c>
      <c r="V128" s="59">
        <f>IF(D128=0,0,SUM($J$20:J128))</f>
        <v>20556112</v>
      </c>
      <c r="W128" s="63">
        <f t="shared" si="37"/>
        <v>557601.18979238346</v>
      </c>
      <c r="X128" s="61">
        <f t="shared" si="15"/>
        <v>1.0278821355792038</v>
      </c>
      <c r="Y128" s="145"/>
      <c r="Z128" s="196">
        <f t="shared" si="49"/>
        <v>45400</v>
      </c>
      <c r="AA128" s="197">
        <f t="shared" si="49"/>
        <v>45400</v>
      </c>
      <c r="AB128" s="1"/>
      <c r="AC128" s="1"/>
      <c r="AD128" s="1"/>
      <c r="AE128" s="1"/>
      <c r="AF128" s="145"/>
      <c r="AG128" s="198">
        <f t="shared" si="47"/>
        <v>25</v>
      </c>
      <c r="AH128" s="145"/>
      <c r="AI128" s="145"/>
      <c r="AJ128" s="145"/>
      <c r="AK128" s="145"/>
      <c r="AL128" s="145"/>
      <c r="AM128" s="145"/>
      <c r="AN128" s="145"/>
    </row>
    <row r="129" spans="1:40" ht="20">
      <c r="A129" s="145"/>
      <c r="B129" s="152"/>
      <c r="C129" s="50">
        <f t="shared" si="39"/>
        <v>110</v>
      </c>
      <c r="D129" s="51">
        <v>1</v>
      </c>
      <c r="E129" s="187" t="str">
        <f t="shared" si="8"/>
        <v>4</v>
      </c>
      <c r="F129" s="188">
        <f t="shared" si="40"/>
        <v>45401</v>
      </c>
      <c r="G129" s="189" t="str">
        <f t="shared" si="41"/>
        <v>Fri</v>
      </c>
      <c r="H129" s="190"/>
      <c r="I129" s="200"/>
      <c r="J129" s="201">
        <v>254550</v>
      </c>
      <c r="K129" s="202"/>
      <c r="L129" s="59">
        <f t="shared" si="48"/>
        <v>258760.76833910038</v>
      </c>
      <c r="M129" s="60">
        <f t="shared" si="35"/>
        <v>-4210.7683391003811</v>
      </c>
      <c r="N129" s="61">
        <f t="shared" si="11"/>
        <v>0.98372717639490748</v>
      </c>
      <c r="O129" s="194"/>
      <c r="P129" s="106">
        <f>IF(D129=0,0,SUM($L$111:L129))</f>
        <v>4398933.0617647059</v>
      </c>
      <c r="Q129" s="59">
        <f>IF(D129=0,0,SUM($J$111:J129))</f>
        <v>4365850</v>
      </c>
      <c r="R129" s="63">
        <f t="shared" si="36"/>
        <v>-33083.061764705926</v>
      </c>
      <c r="S129" s="61">
        <f t="shared" si="13"/>
        <v>0.99247929866170004</v>
      </c>
      <c r="T129" s="80"/>
      <c r="U129" s="59">
        <f>IF(D129=0,0,SUM($L$20:L129))</f>
        <v>20257271.578546718</v>
      </c>
      <c r="V129" s="59">
        <f>IF(D129=0,0,SUM($J$20:J129))</f>
        <v>20810662</v>
      </c>
      <c r="W129" s="63">
        <f t="shared" si="37"/>
        <v>553390.42145328224</v>
      </c>
      <c r="X129" s="61">
        <f t="shared" si="15"/>
        <v>1.0273181123779447</v>
      </c>
      <c r="Y129" s="145"/>
      <c r="Z129" s="196">
        <f t="shared" si="49"/>
        <v>45401</v>
      </c>
      <c r="AA129" s="197">
        <f t="shared" si="49"/>
        <v>45401</v>
      </c>
      <c r="AB129" s="1"/>
      <c r="AC129" s="1"/>
      <c r="AD129" s="1"/>
      <c r="AE129" s="1"/>
      <c r="AF129" s="145"/>
      <c r="AG129" s="198">
        <f t="shared" si="47"/>
        <v>26</v>
      </c>
      <c r="AH129" s="145"/>
      <c r="AI129" s="145"/>
      <c r="AJ129" s="145"/>
      <c r="AK129" s="145"/>
      <c r="AL129" s="145"/>
      <c r="AM129" s="145"/>
      <c r="AN129" s="145"/>
    </row>
    <row r="130" spans="1:40" ht="20">
      <c r="A130" s="145"/>
      <c r="B130" s="152"/>
      <c r="C130" s="50">
        <f t="shared" si="39"/>
        <v>111</v>
      </c>
      <c r="D130" s="51">
        <v>1</v>
      </c>
      <c r="E130" s="187" t="str">
        <f t="shared" si="8"/>
        <v>4</v>
      </c>
      <c r="F130" s="188">
        <f t="shared" si="40"/>
        <v>45402</v>
      </c>
      <c r="G130" s="189" t="str">
        <f t="shared" si="41"/>
        <v>Sat</v>
      </c>
      <c r="H130" s="190"/>
      <c r="I130" s="200"/>
      <c r="J130" s="201">
        <v>425590</v>
      </c>
      <c r="K130" s="202"/>
      <c r="L130" s="59">
        <f t="shared" si="48"/>
        <v>258760.76833910038</v>
      </c>
      <c r="M130" s="60">
        <f t="shared" si="35"/>
        <v>166829.23166089962</v>
      </c>
      <c r="N130" s="61">
        <f t="shared" si="11"/>
        <v>1.6447238224392406</v>
      </c>
      <c r="O130" s="194"/>
      <c r="P130" s="106">
        <f>IF(D130=0,0,SUM($L$111:L130))</f>
        <v>4657693.8301038062</v>
      </c>
      <c r="Q130" s="59">
        <f>IF(D130=0,0,SUM($J$111:J130))</f>
        <v>4791440</v>
      </c>
      <c r="R130" s="63">
        <f t="shared" si="36"/>
        <v>133746.16989619378</v>
      </c>
      <c r="S130" s="61">
        <f t="shared" si="13"/>
        <v>1.02871510553823</v>
      </c>
      <c r="T130" s="81"/>
      <c r="U130" s="59">
        <f>IF(D130=0,0,SUM($L$20:L130))</f>
        <v>20516032.346885819</v>
      </c>
      <c r="V130" s="59">
        <f>IF(D130=0,0,SUM($J$20:J130))</f>
        <v>21236252</v>
      </c>
      <c r="W130" s="63">
        <f t="shared" si="37"/>
        <v>720219.65311418101</v>
      </c>
      <c r="X130" s="61">
        <f t="shared" si="15"/>
        <v>1.0351052114237627</v>
      </c>
      <c r="Y130" s="145"/>
      <c r="Z130" s="196">
        <f t="shared" si="49"/>
        <v>45402</v>
      </c>
      <c r="AA130" s="197">
        <f t="shared" si="49"/>
        <v>45402</v>
      </c>
      <c r="AB130" s="1"/>
      <c r="AC130" s="1"/>
      <c r="AD130" s="1"/>
      <c r="AE130" s="1"/>
      <c r="AF130" s="145"/>
      <c r="AG130" s="198">
        <f t="shared" si="47"/>
        <v>27</v>
      </c>
      <c r="AH130" s="145"/>
      <c r="AI130" s="145"/>
      <c r="AJ130" s="145"/>
      <c r="AK130" s="145"/>
      <c r="AL130" s="145"/>
      <c r="AM130" s="145"/>
      <c r="AN130" s="145"/>
    </row>
    <row r="131" spans="1:40" ht="20">
      <c r="A131" s="145"/>
      <c r="B131" s="152"/>
      <c r="C131" s="50">
        <f t="shared" si="39"/>
        <v>112</v>
      </c>
      <c r="D131" s="51">
        <v>0</v>
      </c>
      <c r="E131" s="187" t="str">
        <f t="shared" si="8"/>
        <v>4</v>
      </c>
      <c r="F131" s="188">
        <f t="shared" si="40"/>
        <v>45403</v>
      </c>
      <c r="G131" s="189" t="str">
        <f t="shared" si="41"/>
        <v>Sun</v>
      </c>
      <c r="H131" s="190" t="s">
        <v>58</v>
      </c>
      <c r="I131" s="200"/>
      <c r="J131" s="201">
        <v>0</v>
      </c>
      <c r="K131" s="202"/>
      <c r="L131" s="59">
        <f t="shared" si="48"/>
        <v>0</v>
      </c>
      <c r="M131" s="60">
        <f t="shared" si="35"/>
        <v>0</v>
      </c>
      <c r="N131" s="61" t="str">
        <f t="shared" si="11"/>
        <v>0%</v>
      </c>
      <c r="O131" s="194"/>
      <c r="P131" s="106">
        <f>IF(D131=0,0,SUM($L$111:L131))</f>
        <v>0</v>
      </c>
      <c r="Q131" s="59">
        <f>IF(D131=0,0,SUM($J$111:J131))</f>
        <v>0</v>
      </c>
      <c r="R131" s="63">
        <f t="shared" si="36"/>
        <v>0</v>
      </c>
      <c r="S131" s="61" t="str">
        <f t="shared" si="13"/>
        <v>0%</v>
      </c>
      <c r="T131" s="80"/>
      <c r="U131" s="59">
        <f>IF(D131=0,0,SUM($L$20:L131))</f>
        <v>0</v>
      </c>
      <c r="V131" s="59">
        <f>IF(D131=0,0,SUM($J$20:J131))</f>
        <v>0</v>
      </c>
      <c r="W131" s="63">
        <f t="shared" si="37"/>
        <v>0</v>
      </c>
      <c r="X131" s="61" t="str">
        <f t="shared" si="15"/>
        <v>0%</v>
      </c>
      <c r="Y131" s="145"/>
      <c r="Z131" s="196">
        <f t="shared" si="49"/>
        <v>45403</v>
      </c>
      <c r="AA131" s="197">
        <f t="shared" si="49"/>
        <v>45403</v>
      </c>
      <c r="AB131" s="1"/>
      <c r="AC131" s="1"/>
      <c r="AD131" s="1"/>
      <c r="AE131" s="1"/>
      <c r="AF131" s="145"/>
      <c r="AG131" s="198">
        <f t="shared" si="47"/>
        <v>28</v>
      </c>
      <c r="AH131" s="145"/>
      <c r="AI131" s="145"/>
      <c r="AJ131" s="145"/>
      <c r="AK131" s="145"/>
      <c r="AL131" s="145"/>
      <c r="AM131" s="145"/>
      <c r="AN131" s="145"/>
    </row>
    <row r="132" spans="1:40" ht="20">
      <c r="A132" s="145"/>
      <c r="B132" s="152"/>
      <c r="C132" s="50">
        <f t="shared" si="39"/>
        <v>113</v>
      </c>
      <c r="D132" s="51">
        <v>1</v>
      </c>
      <c r="E132" s="187" t="str">
        <f t="shared" si="8"/>
        <v>4</v>
      </c>
      <c r="F132" s="188">
        <f t="shared" si="40"/>
        <v>45404</v>
      </c>
      <c r="G132" s="189" t="str">
        <f t="shared" si="41"/>
        <v>Mon</v>
      </c>
      <c r="H132" s="190"/>
      <c r="I132" s="200"/>
      <c r="J132" s="201">
        <v>255610</v>
      </c>
      <c r="K132" s="202"/>
      <c r="L132" s="59">
        <f t="shared" si="48"/>
        <v>258760.76833910038</v>
      </c>
      <c r="M132" s="60">
        <f t="shared" si="35"/>
        <v>-3150.7683391003811</v>
      </c>
      <c r="N132" s="61">
        <f t="shared" si="11"/>
        <v>0.98782362427146853</v>
      </c>
      <c r="O132" s="194"/>
      <c r="P132" s="106">
        <f>IF(D132=0,0,SUM($L$111:L132))</f>
        <v>4916454.5984429065</v>
      </c>
      <c r="Q132" s="59">
        <f>IF(D132=0,0,SUM($J$111:J132))</f>
        <v>5047050</v>
      </c>
      <c r="R132" s="63">
        <f t="shared" si="36"/>
        <v>130595.40155709349</v>
      </c>
      <c r="S132" s="61">
        <f t="shared" si="13"/>
        <v>1.0265629223136636</v>
      </c>
      <c r="T132" s="80"/>
      <c r="U132" s="59">
        <f>IF(D132=0,0,SUM($L$20:L132))</f>
        <v>20774793.11522492</v>
      </c>
      <c r="V132" s="59">
        <f>IF(D132=0,0,SUM($J$20:J132))</f>
        <v>21491862</v>
      </c>
      <c r="W132" s="63">
        <f t="shared" si="37"/>
        <v>717068.88477507979</v>
      </c>
      <c r="X132" s="61">
        <f t="shared" si="15"/>
        <v>1.0345162948578088</v>
      </c>
      <c r="Y132" s="145"/>
      <c r="Z132" s="196">
        <f t="shared" si="49"/>
        <v>45404</v>
      </c>
      <c r="AA132" s="197">
        <f t="shared" si="49"/>
        <v>45404</v>
      </c>
      <c r="AB132" s="1"/>
      <c r="AC132" s="1"/>
      <c r="AD132" s="1"/>
      <c r="AE132" s="1"/>
      <c r="AF132" s="145"/>
      <c r="AG132" s="198">
        <f t="shared" si="47"/>
        <v>29</v>
      </c>
      <c r="AH132" s="145"/>
      <c r="AI132" s="145"/>
      <c r="AJ132" s="145"/>
      <c r="AK132" s="145"/>
      <c r="AL132" s="145"/>
      <c r="AM132" s="145"/>
      <c r="AN132" s="145"/>
    </row>
    <row r="133" spans="1:40" ht="20">
      <c r="A133" s="145"/>
      <c r="B133" s="152"/>
      <c r="C133" s="50">
        <f t="shared" si="39"/>
        <v>114</v>
      </c>
      <c r="D133" s="51">
        <v>1</v>
      </c>
      <c r="E133" s="187" t="str">
        <f t="shared" si="8"/>
        <v>4</v>
      </c>
      <c r="F133" s="188">
        <f t="shared" si="40"/>
        <v>45405</v>
      </c>
      <c r="G133" s="189" t="str">
        <f t="shared" si="41"/>
        <v>Tue</v>
      </c>
      <c r="H133" s="190"/>
      <c r="I133" s="200"/>
      <c r="J133" s="201">
        <v>215740</v>
      </c>
      <c r="K133" s="202"/>
      <c r="L133" s="59">
        <f t="shared" si="48"/>
        <v>258760.76833910038</v>
      </c>
      <c r="M133" s="60">
        <f t="shared" si="35"/>
        <v>-43020.768339100381</v>
      </c>
      <c r="N133" s="61">
        <f t="shared" si="11"/>
        <v>0.8337430800842166</v>
      </c>
      <c r="O133" s="194"/>
      <c r="P133" s="106">
        <f>IF(D133=0,0,SUM($L$111:L133))</f>
        <v>5175215.3667820068</v>
      </c>
      <c r="Q133" s="59">
        <f>IF(D133=0,0,SUM($J$111:J133))</f>
        <v>5262790</v>
      </c>
      <c r="R133" s="63">
        <f t="shared" si="36"/>
        <v>87574.633217993192</v>
      </c>
      <c r="S133" s="61">
        <f t="shared" si="13"/>
        <v>1.0169219302021912</v>
      </c>
      <c r="T133" s="80"/>
      <c r="U133" s="59">
        <f>IF(D133=0,0,SUM($L$20:L133))</f>
        <v>21033553.883564021</v>
      </c>
      <c r="V133" s="59">
        <f>IF(D133=0,0,SUM($J$20:J133))</f>
        <v>21707602</v>
      </c>
      <c r="W133" s="63">
        <f t="shared" si="37"/>
        <v>674048.11643597856</v>
      </c>
      <c r="X133" s="61">
        <f t="shared" si="15"/>
        <v>1.0320463256075185</v>
      </c>
      <c r="Y133" s="145"/>
      <c r="Z133" s="196">
        <f t="shared" ref="Z133:AA148" si="50">Z132+1</f>
        <v>45405</v>
      </c>
      <c r="AA133" s="197">
        <f t="shared" si="50"/>
        <v>45405</v>
      </c>
      <c r="AB133" s="1"/>
      <c r="AC133" s="1"/>
      <c r="AD133" s="1"/>
      <c r="AE133" s="1"/>
      <c r="AF133" s="145"/>
      <c r="AG133" s="198">
        <f t="shared" si="47"/>
        <v>30</v>
      </c>
      <c r="AH133" s="145"/>
      <c r="AI133" s="145"/>
      <c r="AJ133" s="145"/>
      <c r="AK133" s="145"/>
      <c r="AL133" s="145"/>
      <c r="AM133" s="145"/>
      <c r="AN133" s="145"/>
    </row>
    <row r="134" spans="1:40" ht="20">
      <c r="A134" s="145"/>
      <c r="B134" s="152"/>
      <c r="C134" s="50">
        <f t="shared" si="39"/>
        <v>115</v>
      </c>
      <c r="D134" s="51">
        <v>1</v>
      </c>
      <c r="E134" s="187" t="str">
        <f t="shared" si="8"/>
        <v>4</v>
      </c>
      <c r="F134" s="188">
        <f t="shared" si="40"/>
        <v>45406</v>
      </c>
      <c r="G134" s="189" t="str">
        <f t="shared" si="41"/>
        <v>Wed</v>
      </c>
      <c r="H134" s="190"/>
      <c r="I134" s="200"/>
      <c r="J134" s="201">
        <v>302880</v>
      </c>
      <c r="K134" s="202"/>
      <c r="L134" s="59">
        <f t="shared" si="48"/>
        <v>258760.76833910038</v>
      </c>
      <c r="M134" s="60">
        <f t="shared" si="35"/>
        <v>44119.231660899619</v>
      </c>
      <c r="N134" s="61">
        <f t="shared" si="11"/>
        <v>1.1705020121252783</v>
      </c>
      <c r="O134" s="194"/>
      <c r="P134" s="106">
        <f>IF(D134=0,0,SUM($L$111:L134))</f>
        <v>5433976.1351211071</v>
      </c>
      <c r="Q134" s="59">
        <f>IF(D134=0,0,SUM($J$111:J134))</f>
        <v>5565670</v>
      </c>
      <c r="R134" s="63">
        <f t="shared" si="36"/>
        <v>131693.8648788929</v>
      </c>
      <c r="S134" s="61">
        <f t="shared" si="13"/>
        <v>1.024235267436624</v>
      </c>
      <c r="T134" s="80"/>
      <c r="U134" s="59">
        <f>IF(D134=0,0,SUM($L$20:L134))</f>
        <v>21292314.651903123</v>
      </c>
      <c r="V134" s="59">
        <f>IF(D134=0,0,SUM($J$20:J134))</f>
        <v>22010482</v>
      </c>
      <c r="W134" s="63">
        <f t="shared" si="37"/>
        <v>718167.34809687734</v>
      </c>
      <c r="X134" s="61">
        <f t="shared" si="15"/>
        <v>1.0337289467978386</v>
      </c>
      <c r="Y134" s="145"/>
      <c r="Z134" s="196">
        <f t="shared" si="50"/>
        <v>45406</v>
      </c>
      <c r="AA134" s="197">
        <f t="shared" si="50"/>
        <v>45406</v>
      </c>
      <c r="AB134" s="1"/>
      <c r="AC134" s="1"/>
      <c r="AD134" s="1"/>
      <c r="AE134" s="1"/>
      <c r="AF134" s="145"/>
      <c r="AG134" s="198">
        <f t="shared" si="47"/>
        <v>31</v>
      </c>
      <c r="AH134" s="145"/>
      <c r="AI134" s="145"/>
      <c r="AJ134" s="145"/>
      <c r="AK134" s="145"/>
      <c r="AL134" s="145"/>
      <c r="AM134" s="145"/>
      <c r="AN134" s="145"/>
    </row>
    <row r="135" spans="1:40" ht="20">
      <c r="A135" s="145"/>
      <c r="B135" s="152"/>
      <c r="C135" s="50">
        <f t="shared" si="39"/>
        <v>116</v>
      </c>
      <c r="D135" s="51">
        <v>1</v>
      </c>
      <c r="E135" s="187" t="str">
        <f t="shared" si="8"/>
        <v>4</v>
      </c>
      <c r="F135" s="188">
        <f t="shared" si="40"/>
        <v>45407</v>
      </c>
      <c r="G135" s="189" t="str">
        <f t="shared" si="41"/>
        <v>Thu</v>
      </c>
      <c r="H135" s="190"/>
      <c r="I135" s="200"/>
      <c r="J135" s="201">
        <v>391500</v>
      </c>
      <c r="K135" s="202"/>
      <c r="L135" s="59">
        <f t="shared" si="48"/>
        <v>258760.76833910038</v>
      </c>
      <c r="M135" s="60">
        <f t="shared" si="35"/>
        <v>132739.23166089962</v>
      </c>
      <c r="N135" s="61">
        <f t="shared" si="11"/>
        <v>1.5129805128996514</v>
      </c>
      <c r="O135" s="194"/>
      <c r="P135" s="106">
        <f>IF(D135=0,0,SUM($L$111:L135))</f>
        <v>5692736.9034602074</v>
      </c>
      <c r="Q135" s="59">
        <f>IF(D135=0,0,SUM($J$111:J135))</f>
        <v>5957170</v>
      </c>
      <c r="R135" s="63">
        <f t="shared" si="36"/>
        <v>264433.0965397926</v>
      </c>
      <c r="S135" s="61">
        <f t="shared" si="13"/>
        <v>1.0464509604122163</v>
      </c>
      <c r="T135" s="80"/>
      <c r="U135" s="59">
        <f>IF(D135=0,0,SUM($L$20:L135))</f>
        <v>21551075.420242224</v>
      </c>
      <c r="V135" s="59">
        <f>IF(D135=0,0,SUM($J$20:J135))</f>
        <v>22401982</v>
      </c>
      <c r="W135" s="63">
        <f t="shared" si="37"/>
        <v>850906.57975777611</v>
      </c>
      <c r="X135" s="61">
        <f t="shared" si="15"/>
        <v>1.0394832537664709</v>
      </c>
      <c r="Y135" s="145"/>
      <c r="Z135" s="196">
        <f t="shared" si="50"/>
        <v>45407</v>
      </c>
      <c r="AA135" s="197">
        <f t="shared" si="50"/>
        <v>45407</v>
      </c>
      <c r="AB135" s="1"/>
      <c r="AC135" s="1"/>
      <c r="AD135" s="1"/>
      <c r="AE135" s="1"/>
      <c r="AF135" s="145"/>
      <c r="AG135" s="198">
        <f t="shared" si="47"/>
        <v>32</v>
      </c>
      <c r="AH135" s="145"/>
      <c r="AI135" s="145"/>
      <c r="AJ135" s="145"/>
      <c r="AK135" s="145"/>
      <c r="AL135" s="145"/>
      <c r="AM135" s="145"/>
      <c r="AN135" s="145"/>
    </row>
    <row r="136" spans="1:40" ht="20">
      <c r="A136" s="145"/>
      <c r="B136" s="152"/>
      <c r="C136" s="50">
        <f t="shared" si="39"/>
        <v>117</v>
      </c>
      <c r="D136" s="51">
        <v>1</v>
      </c>
      <c r="E136" s="187" t="str">
        <f t="shared" si="8"/>
        <v>4</v>
      </c>
      <c r="F136" s="188">
        <f t="shared" si="40"/>
        <v>45408</v>
      </c>
      <c r="G136" s="189" t="str">
        <f t="shared" si="41"/>
        <v>Fri</v>
      </c>
      <c r="H136" s="190"/>
      <c r="I136" s="200"/>
      <c r="J136" s="201">
        <v>361420</v>
      </c>
      <c r="K136" s="202"/>
      <c r="L136" s="59">
        <f t="shared" si="48"/>
        <v>258760.76833910038</v>
      </c>
      <c r="M136" s="60">
        <f t="shared" si="35"/>
        <v>102659.23166089962</v>
      </c>
      <c r="N136" s="61">
        <f t="shared" si="11"/>
        <v>1.396734142968562</v>
      </c>
      <c r="O136" s="194"/>
      <c r="P136" s="106">
        <f>IF(D136=0,0,SUM($L$111:L136))</f>
        <v>5951497.6717993077</v>
      </c>
      <c r="Q136" s="59">
        <f>IF(D136=0,0,SUM($J$111:J136))</f>
        <v>6318590</v>
      </c>
      <c r="R136" s="63">
        <f t="shared" si="36"/>
        <v>367092.32820069231</v>
      </c>
      <c r="S136" s="61">
        <f t="shared" si="13"/>
        <v>1.0616806640016225</v>
      </c>
      <c r="T136" s="80"/>
      <c r="U136" s="59">
        <f>IF(D136=0,0,SUM($L$20:L136))</f>
        <v>21809836.188581325</v>
      </c>
      <c r="V136" s="59">
        <f>IF(D136=0,0,SUM($J$20:J136))</f>
        <v>22763402</v>
      </c>
      <c r="W136" s="63">
        <f t="shared" si="37"/>
        <v>953565.81141867489</v>
      </c>
      <c r="X136" s="61">
        <f t="shared" si="15"/>
        <v>1.0437218236383601</v>
      </c>
      <c r="Y136" s="145"/>
      <c r="Z136" s="196">
        <f t="shared" si="50"/>
        <v>45408</v>
      </c>
      <c r="AA136" s="197">
        <f t="shared" si="50"/>
        <v>45408</v>
      </c>
      <c r="AB136" s="1"/>
      <c r="AC136" s="1"/>
      <c r="AD136" s="1"/>
      <c r="AE136" s="1"/>
      <c r="AF136" s="145"/>
      <c r="AG136" s="198">
        <f t="shared" si="47"/>
        <v>33</v>
      </c>
      <c r="AH136" s="145"/>
      <c r="AI136" s="145"/>
      <c r="AJ136" s="145"/>
      <c r="AK136" s="145"/>
      <c r="AL136" s="145"/>
      <c r="AM136" s="145"/>
      <c r="AN136" s="145"/>
    </row>
    <row r="137" spans="1:40" ht="20">
      <c r="A137" s="145"/>
      <c r="B137" s="152"/>
      <c r="C137" s="50">
        <f t="shared" si="39"/>
        <v>118</v>
      </c>
      <c r="D137" s="51">
        <v>1</v>
      </c>
      <c r="E137" s="187" t="str">
        <f t="shared" si="8"/>
        <v>4</v>
      </c>
      <c r="F137" s="188">
        <f t="shared" si="40"/>
        <v>45409</v>
      </c>
      <c r="G137" s="189" t="str">
        <f t="shared" si="41"/>
        <v>Sat</v>
      </c>
      <c r="H137" s="190"/>
      <c r="I137" s="200"/>
      <c r="J137" s="201">
        <v>95830</v>
      </c>
      <c r="K137" s="202"/>
      <c r="L137" s="59">
        <f t="shared" si="48"/>
        <v>258760.76833910038</v>
      </c>
      <c r="M137" s="60">
        <f t="shared" si="35"/>
        <v>-162930.76833910038</v>
      </c>
      <c r="N137" s="61">
        <f t="shared" si="11"/>
        <v>0.37034207548192494</v>
      </c>
      <c r="O137" s="194"/>
      <c r="P137" s="106">
        <f>IF(D137=0,0,SUM($L$111:L137))</f>
        <v>6210258.440138408</v>
      </c>
      <c r="Q137" s="59">
        <f>IF(D137=0,0,SUM($J$111:J137))</f>
        <v>6414420</v>
      </c>
      <c r="R137" s="63">
        <f t="shared" si="36"/>
        <v>204161.55986159202</v>
      </c>
      <c r="S137" s="61">
        <f t="shared" si="13"/>
        <v>1.0328748894799686</v>
      </c>
      <c r="T137" s="81"/>
      <c r="U137" s="59">
        <f>IF(D137=0,0,SUM($L$20:L137))</f>
        <v>22068596.956920426</v>
      </c>
      <c r="V137" s="59">
        <f>IF(D137=0,0,SUM($J$20:J137))</f>
        <v>22859232</v>
      </c>
      <c r="W137" s="63">
        <f t="shared" si="37"/>
        <v>790635.04307957366</v>
      </c>
      <c r="X137" s="61">
        <f t="shared" si="15"/>
        <v>1.0358262487018524</v>
      </c>
      <c r="Y137" s="145"/>
      <c r="Z137" s="196">
        <f t="shared" si="50"/>
        <v>45409</v>
      </c>
      <c r="AA137" s="197">
        <f t="shared" si="50"/>
        <v>45409</v>
      </c>
      <c r="AB137" s="1"/>
      <c r="AC137" s="1"/>
      <c r="AD137" s="1"/>
      <c r="AE137" s="1"/>
      <c r="AF137" s="145"/>
      <c r="AG137" s="198">
        <f t="shared" si="47"/>
        <v>34</v>
      </c>
      <c r="AH137" s="145"/>
      <c r="AI137" s="145"/>
      <c r="AJ137" s="145"/>
      <c r="AK137" s="145"/>
      <c r="AL137" s="145"/>
      <c r="AM137" s="145"/>
      <c r="AN137" s="145"/>
    </row>
    <row r="138" spans="1:40" ht="20">
      <c r="A138" s="145"/>
      <c r="B138" s="152"/>
      <c r="C138" s="50">
        <f t="shared" si="39"/>
        <v>119</v>
      </c>
      <c r="D138" s="51">
        <v>0</v>
      </c>
      <c r="E138" s="187" t="str">
        <f t="shared" si="8"/>
        <v>4</v>
      </c>
      <c r="F138" s="188">
        <f t="shared" si="40"/>
        <v>45410</v>
      </c>
      <c r="G138" s="189" t="str">
        <f t="shared" si="41"/>
        <v>Sun</v>
      </c>
      <c r="H138" s="190" t="s">
        <v>58</v>
      </c>
      <c r="I138" s="200"/>
      <c r="J138" s="201">
        <v>0</v>
      </c>
      <c r="K138" s="202"/>
      <c r="L138" s="59">
        <f t="shared" si="48"/>
        <v>0</v>
      </c>
      <c r="M138" s="60">
        <f t="shared" si="35"/>
        <v>0</v>
      </c>
      <c r="N138" s="61" t="str">
        <f t="shared" si="11"/>
        <v>0%</v>
      </c>
      <c r="O138" s="194"/>
      <c r="P138" s="106">
        <f>IF(D138=0,0,SUM($L$111:L138))</f>
        <v>0</v>
      </c>
      <c r="Q138" s="59">
        <f>IF(D138=0,0,SUM($J$111:J138))</f>
        <v>0</v>
      </c>
      <c r="R138" s="63">
        <f t="shared" si="36"/>
        <v>0</v>
      </c>
      <c r="S138" s="61" t="str">
        <f t="shared" si="13"/>
        <v>0%</v>
      </c>
      <c r="T138" s="80"/>
      <c r="U138" s="59">
        <f>IF(D138=0,0,SUM($L$20:L138))</f>
        <v>0</v>
      </c>
      <c r="V138" s="59">
        <f>IF(D138=0,0,SUM($J$20:J138))</f>
        <v>0</v>
      </c>
      <c r="W138" s="63">
        <f t="shared" si="37"/>
        <v>0</v>
      </c>
      <c r="X138" s="61" t="str">
        <f t="shared" si="15"/>
        <v>0%</v>
      </c>
      <c r="Y138" s="145"/>
      <c r="Z138" s="196">
        <f t="shared" si="50"/>
        <v>45410</v>
      </c>
      <c r="AA138" s="197">
        <f t="shared" si="50"/>
        <v>45410</v>
      </c>
      <c r="AB138" s="1"/>
      <c r="AC138" s="1"/>
      <c r="AD138" s="1"/>
      <c r="AE138" s="1"/>
      <c r="AF138" s="145"/>
      <c r="AG138" s="198">
        <f t="shared" si="47"/>
        <v>35</v>
      </c>
      <c r="AH138" s="145"/>
      <c r="AI138" s="145"/>
      <c r="AJ138" s="145"/>
      <c r="AK138" s="145"/>
      <c r="AL138" s="145"/>
      <c r="AM138" s="145"/>
      <c r="AN138" s="145"/>
    </row>
    <row r="139" spans="1:40" ht="20">
      <c r="A139" s="145"/>
      <c r="B139" s="152"/>
      <c r="C139" s="50">
        <f t="shared" si="39"/>
        <v>120</v>
      </c>
      <c r="D139" s="51">
        <v>0</v>
      </c>
      <c r="E139" s="187" t="str">
        <f t="shared" si="8"/>
        <v>4</v>
      </c>
      <c r="F139" s="188">
        <f t="shared" si="40"/>
        <v>45411</v>
      </c>
      <c r="G139" s="189" t="str">
        <f t="shared" si="41"/>
        <v>Mon</v>
      </c>
      <c r="H139" s="190" t="s">
        <v>115</v>
      </c>
      <c r="I139" s="200"/>
      <c r="J139" s="201">
        <v>0</v>
      </c>
      <c r="K139" s="202"/>
      <c r="L139" s="59">
        <f t="shared" si="48"/>
        <v>0</v>
      </c>
      <c r="M139" s="60">
        <f t="shared" si="35"/>
        <v>0</v>
      </c>
      <c r="N139" s="61" t="str">
        <f t="shared" si="11"/>
        <v>0%</v>
      </c>
      <c r="O139" s="194"/>
      <c r="P139" s="106">
        <f>IF(D139=0,0,SUM($L$111:L139))</f>
        <v>0</v>
      </c>
      <c r="Q139" s="59">
        <f>IF(D139=0,0,SUM($J$111:J139))</f>
        <v>0</v>
      </c>
      <c r="R139" s="63">
        <f t="shared" si="36"/>
        <v>0</v>
      </c>
      <c r="S139" s="61" t="str">
        <f t="shared" si="13"/>
        <v>0%</v>
      </c>
      <c r="T139" s="81"/>
      <c r="U139" s="59">
        <f>IF(D139=0,0,SUM($L$20:L139))</f>
        <v>0</v>
      </c>
      <c r="V139" s="59">
        <f>IF(D139=0,0,SUM($J$20:J139))</f>
        <v>0</v>
      </c>
      <c r="W139" s="63">
        <f t="shared" si="37"/>
        <v>0</v>
      </c>
      <c r="X139" s="61" t="str">
        <f t="shared" si="15"/>
        <v>0%</v>
      </c>
      <c r="Y139" s="145"/>
      <c r="Z139" s="196">
        <f t="shared" si="50"/>
        <v>45411</v>
      </c>
      <c r="AA139" s="197">
        <f t="shared" si="50"/>
        <v>45411</v>
      </c>
      <c r="AB139" s="1"/>
      <c r="AC139" s="1"/>
      <c r="AD139" s="1"/>
      <c r="AE139" s="1"/>
      <c r="AF139" s="145"/>
      <c r="AG139" s="198">
        <f t="shared" si="47"/>
        <v>36</v>
      </c>
      <c r="AH139" s="145"/>
      <c r="AI139" s="145"/>
      <c r="AJ139" s="145"/>
      <c r="AK139" s="145"/>
      <c r="AL139" s="145"/>
      <c r="AM139" s="145"/>
      <c r="AN139" s="145"/>
    </row>
    <row r="140" spans="1:40" ht="21" thickBot="1">
      <c r="A140" s="145"/>
      <c r="B140" s="152"/>
      <c r="C140" s="100">
        <f t="shared" si="39"/>
        <v>121</v>
      </c>
      <c r="D140" s="85">
        <v>1</v>
      </c>
      <c r="E140" s="203" t="str">
        <f t="shared" si="8"/>
        <v>4</v>
      </c>
      <c r="F140" s="204">
        <f t="shared" si="40"/>
        <v>45412</v>
      </c>
      <c r="G140" s="205" t="str">
        <f t="shared" si="41"/>
        <v>Tue</v>
      </c>
      <c r="H140" s="206"/>
      <c r="I140" s="207"/>
      <c r="J140" s="208">
        <v>262237</v>
      </c>
      <c r="K140" s="202"/>
      <c r="L140" s="103">
        <f t="shared" si="48"/>
        <v>258760.76833910038</v>
      </c>
      <c r="M140" s="91">
        <f t="shared" si="35"/>
        <v>3476.2316608996189</v>
      </c>
      <c r="N140" s="108">
        <f t="shared" si="11"/>
        <v>1.0134341526469117</v>
      </c>
      <c r="O140" s="209"/>
      <c r="P140" s="210">
        <f>IF(D140=0,0,SUM($L$111:L140))</f>
        <v>6469019.2084775083</v>
      </c>
      <c r="Q140" s="103">
        <f>IF(D140=0,0,SUM($J$111:J140))</f>
        <v>6676657</v>
      </c>
      <c r="R140" s="105">
        <f t="shared" si="36"/>
        <v>207637.79152249172</v>
      </c>
      <c r="S140" s="108">
        <f t="shared" si="13"/>
        <v>1.0320972600066463</v>
      </c>
      <c r="T140" s="211"/>
      <c r="U140" s="103">
        <f>IF(D140=0,0,SUM($L$20:L140))</f>
        <v>22327357.725259528</v>
      </c>
      <c r="V140" s="103">
        <f>IF(D140=0,0,SUM($J$20:J140))</f>
        <v>23121469</v>
      </c>
      <c r="W140" s="105">
        <f t="shared" si="37"/>
        <v>794111.27474047244</v>
      </c>
      <c r="X140" s="108">
        <f t="shared" si="15"/>
        <v>1.0355667376548581</v>
      </c>
      <c r="Y140" s="145"/>
      <c r="Z140" s="196">
        <f t="shared" si="50"/>
        <v>45412</v>
      </c>
      <c r="AA140" s="197">
        <f t="shared" si="50"/>
        <v>45412</v>
      </c>
      <c r="AB140" s="1"/>
      <c r="AC140" s="1"/>
      <c r="AD140" s="1"/>
      <c r="AE140" s="1"/>
      <c r="AF140" s="145"/>
      <c r="AG140" s="198">
        <f t="shared" si="47"/>
        <v>37</v>
      </c>
      <c r="AH140" s="145"/>
      <c r="AI140" s="145"/>
      <c r="AJ140" s="145"/>
      <c r="AK140" s="145"/>
      <c r="AL140" s="145"/>
      <c r="AM140" s="145"/>
      <c r="AN140" s="145"/>
    </row>
    <row r="141" spans="1:40" ht="21" thickTop="1">
      <c r="A141" s="145"/>
      <c r="B141" s="152"/>
      <c r="C141" s="50">
        <f t="shared" si="39"/>
        <v>122</v>
      </c>
      <c r="D141" s="96">
        <v>1</v>
      </c>
      <c r="E141" s="187" t="str">
        <f t="shared" si="8"/>
        <v>5</v>
      </c>
      <c r="F141" s="188">
        <f t="shared" si="40"/>
        <v>45413</v>
      </c>
      <c r="G141" s="189" t="str">
        <f t="shared" si="41"/>
        <v>Wed</v>
      </c>
      <c r="H141" s="190"/>
      <c r="I141" s="200"/>
      <c r="J141" s="201">
        <v>178855</v>
      </c>
      <c r="K141" s="202"/>
      <c r="L141" s="59">
        <f>IF(D141=0,0,$K$10)</f>
        <v>246438.82698961938</v>
      </c>
      <c r="M141" s="63">
        <f t="shared" si="35"/>
        <v>-67583.826989619381</v>
      </c>
      <c r="N141" s="97">
        <f t="shared" si="11"/>
        <v>0.72575820208531439</v>
      </c>
      <c r="O141" s="194"/>
      <c r="P141" s="107">
        <f>IF(D141=0,0,$L$141)</f>
        <v>246438.82698961938</v>
      </c>
      <c r="Q141" s="59">
        <f>IF(D141=0,0,$J$141)</f>
        <v>178855</v>
      </c>
      <c r="R141" s="63">
        <f t="shared" si="36"/>
        <v>-67583.826989619381</v>
      </c>
      <c r="S141" s="97">
        <f t="shared" si="13"/>
        <v>0.72575820208531439</v>
      </c>
      <c r="T141" s="80"/>
      <c r="U141" s="59">
        <f>IF(D141=0,0,SUM($L$20:L141))</f>
        <v>22573796.552249148</v>
      </c>
      <c r="V141" s="59">
        <f>IF(D141=0,0,SUM($J$20:J141))</f>
        <v>23300324</v>
      </c>
      <c r="W141" s="63">
        <f t="shared" si="37"/>
        <v>726527.44775085151</v>
      </c>
      <c r="X141" s="97">
        <f t="shared" si="15"/>
        <v>1.0321845484019152</v>
      </c>
      <c r="Y141" s="145"/>
      <c r="Z141" s="196">
        <f t="shared" si="50"/>
        <v>45413</v>
      </c>
      <c r="AA141" s="197">
        <f t="shared" si="50"/>
        <v>45413</v>
      </c>
      <c r="AB141" s="1"/>
      <c r="AC141" s="1"/>
      <c r="AD141" s="1"/>
      <c r="AE141" s="1"/>
      <c r="AF141" s="145"/>
      <c r="AG141" s="198">
        <f t="shared" si="47"/>
        <v>38</v>
      </c>
      <c r="AH141" s="145"/>
      <c r="AI141" s="145"/>
      <c r="AJ141" s="145"/>
      <c r="AK141" s="145"/>
      <c r="AL141" s="145"/>
      <c r="AM141" s="145"/>
      <c r="AN141" s="145"/>
    </row>
    <row r="142" spans="1:40" ht="20">
      <c r="A142" s="145"/>
      <c r="B142" s="152"/>
      <c r="C142" s="50">
        <f t="shared" si="39"/>
        <v>123</v>
      </c>
      <c r="D142" s="51">
        <v>1</v>
      </c>
      <c r="E142" s="187" t="str">
        <f t="shared" si="8"/>
        <v>5</v>
      </c>
      <c r="F142" s="188">
        <f t="shared" si="40"/>
        <v>45414</v>
      </c>
      <c r="G142" s="189" t="str">
        <f t="shared" si="41"/>
        <v>Thu</v>
      </c>
      <c r="H142" s="190"/>
      <c r="I142" s="200"/>
      <c r="J142" s="201">
        <v>164700</v>
      </c>
      <c r="K142" s="202"/>
      <c r="L142" s="59">
        <f t="shared" ref="L142:L171" si="51">IF(D142=0,0,$K$10)</f>
        <v>246438.82698961938</v>
      </c>
      <c r="M142" s="60">
        <f t="shared" si="35"/>
        <v>-81738.826989619381</v>
      </c>
      <c r="N142" s="61">
        <f t="shared" si="11"/>
        <v>0.668320012767053</v>
      </c>
      <c r="O142" s="194"/>
      <c r="P142" s="106">
        <f>IF(D142=0,0,SUM($L$141:L142))</f>
        <v>492877.65397923876</v>
      </c>
      <c r="Q142" s="59">
        <f>IF(D142=0,0,SUM($J$141:J142))</f>
        <v>343555</v>
      </c>
      <c r="R142" s="63">
        <f t="shared" si="36"/>
        <v>-149322.65397923876</v>
      </c>
      <c r="S142" s="61">
        <f t="shared" si="13"/>
        <v>0.69703910742618369</v>
      </c>
      <c r="T142" s="80"/>
      <c r="U142" s="59">
        <f>IF(D142=0,0,SUM($L$20:L142))</f>
        <v>22820235.379238769</v>
      </c>
      <c r="V142" s="59">
        <f>IF(D142=0,0,SUM($J$20:J142))</f>
        <v>23465024</v>
      </c>
      <c r="W142" s="63">
        <f t="shared" si="37"/>
        <v>644788.62076123059</v>
      </c>
      <c r="X142" s="61">
        <f t="shared" si="15"/>
        <v>1.0282551257708692</v>
      </c>
      <c r="Y142" s="145"/>
      <c r="Z142" s="196">
        <f t="shared" si="50"/>
        <v>45414</v>
      </c>
      <c r="AA142" s="197">
        <f t="shared" si="50"/>
        <v>45414</v>
      </c>
      <c r="AB142" s="1"/>
      <c r="AC142" s="1"/>
      <c r="AD142" s="1"/>
      <c r="AE142" s="1"/>
      <c r="AF142" s="145"/>
      <c r="AG142" s="198">
        <f t="shared" si="47"/>
        <v>39</v>
      </c>
      <c r="AH142" s="145"/>
      <c r="AI142" s="145"/>
      <c r="AJ142" s="145"/>
      <c r="AK142" s="145"/>
      <c r="AL142" s="145"/>
      <c r="AM142" s="145"/>
      <c r="AN142" s="145"/>
    </row>
    <row r="143" spans="1:40" ht="20">
      <c r="A143" s="145"/>
      <c r="B143" s="152"/>
      <c r="C143" s="50">
        <f t="shared" si="39"/>
        <v>124</v>
      </c>
      <c r="D143" s="51">
        <v>0</v>
      </c>
      <c r="E143" s="187" t="str">
        <f t="shared" si="8"/>
        <v>5</v>
      </c>
      <c r="F143" s="188">
        <f t="shared" si="40"/>
        <v>45415</v>
      </c>
      <c r="G143" s="189" t="str">
        <f t="shared" si="41"/>
        <v>Fri</v>
      </c>
      <c r="H143" s="190" t="s">
        <v>115</v>
      </c>
      <c r="I143" s="200"/>
      <c r="J143" s="201">
        <v>0</v>
      </c>
      <c r="K143" s="202"/>
      <c r="L143" s="59">
        <f t="shared" si="51"/>
        <v>0</v>
      </c>
      <c r="M143" s="60">
        <f t="shared" si="35"/>
        <v>0</v>
      </c>
      <c r="N143" s="61" t="str">
        <f t="shared" si="11"/>
        <v>0%</v>
      </c>
      <c r="O143" s="194"/>
      <c r="P143" s="106">
        <f>IF(D143=0,0,SUM($L$141:L143))</f>
        <v>0</v>
      </c>
      <c r="Q143" s="59">
        <f>IF(D143=0,0,SUM($J$141:J143))</f>
        <v>0</v>
      </c>
      <c r="R143" s="63">
        <f t="shared" si="36"/>
        <v>0</v>
      </c>
      <c r="S143" s="61" t="str">
        <f t="shared" si="13"/>
        <v>0%</v>
      </c>
      <c r="T143" s="81"/>
      <c r="U143" s="59">
        <f>IF(D143=0,0,SUM($L$20:L143))</f>
        <v>0</v>
      </c>
      <c r="V143" s="59">
        <f>IF(D143=0,0,SUM($J$20:J143))</f>
        <v>0</v>
      </c>
      <c r="W143" s="63">
        <f t="shared" si="37"/>
        <v>0</v>
      </c>
      <c r="X143" s="61" t="str">
        <f t="shared" si="15"/>
        <v>0%</v>
      </c>
      <c r="Y143" s="145"/>
      <c r="Z143" s="196">
        <f t="shared" si="50"/>
        <v>45415</v>
      </c>
      <c r="AA143" s="197">
        <f t="shared" si="50"/>
        <v>45415</v>
      </c>
      <c r="AB143" s="1"/>
      <c r="AC143" s="1"/>
      <c r="AD143" s="1"/>
      <c r="AE143" s="1"/>
      <c r="AF143" s="145"/>
      <c r="AG143" s="198">
        <f t="shared" si="47"/>
        <v>40</v>
      </c>
      <c r="AH143" s="145"/>
      <c r="AI143" s="145"/>
      <c r="AJ143" s="145"/>
      <c r="AK143" s="145"/>
      <c r="AL143" s="145"/>
      <c r="AM143" s="145"/>
      <c r="AN143" s="145"/>
    </row>
    <row r="144" spans="1:40" ht="20">
      <c r="A144" s="145"/>
      <c r="B144" s="152"/>
      <c r="C144" s="50">
        <f t="shared" si="39"/>
        <v>125</v>
      </c>
      <c r="D144" s="51">
        <v>0</v>
      </c>
      <c r="E144" s="187" t="str">
        <f t="shared" si="8"/>
        <v>5</v>
      </c>
      <c r="F144" s="188">
        <f t="shared" si="40"/>
        <v>45416</v>
      </c>
      <c r="G144" s="189" t="str">
        <f t="shared" si="41"/>
        <v>Sat</v>
      </c>
      <c r="H144" s="190" t="s">
        <v>115</v>
      </c>
      <c r="I144" s="200"/>
      <c r="J144" s="201">
        <v>0</v>
      </c>
      <c r="K144" s="202"/>
      <c r="L144" s="59">
        <f t="shared" si="51"/>
        <v>0</v>
      </c>
      <c r="M144" s="60">
        <f t="shared" si="35"/>
        <v>0</v>
      </c>
      <c r="N144" s="61" t="str">
        <f t="shared" si="11"/>
        <v>0%</v>
      </c>
      <c r="O144" s="194"/>
      <c r="P144" s="106">
        <f>IF(D144=0,0,SUM($L$141:L144))</f>
        <v>0</v>
      </c>
      <c r="Q144" s="59">
        <f>IF(D144=0,0,SUM($J$141:J144))</f>
        <v>0</v>
      </c>
      <c r="R144" s="63">
        <f t="shared" si="36"/>
        <v>0</v>
      </c>
      <c r="S144" s="61" t="str">
        <f t="shared" si="13"/>
        <v>0%</v>
      </c>
      <c r="T144" s="81"/>
      <c r="U144" s="59">
        <f>IF(D144=0,0,SUM($L$20:L144))</f>
        <v>0</v>
      </c>
      <c r="V144" s="59">
        <f>IF(D144=0,0,SUM($J$20:J144))</f>
        <v>0</v>
      </c>
      <c r="W144" s="63">
        <f t="shared" si="37"/>
        <v>0</v>
      </c>
      <c r="X144" s="61" t="str">
        <f t="shared" si="15"/>
        <v>0%</v>
      </c>
      <c r="Y144" s="145"/>
      <c r="Z144" s="196">
        <f t="shared" si="50"/>
        <v>45416</v>
      </c>
      <c r="AA144" s="197">
        <f t="shared" si="50"/>
        <v>45416</v>
      </c>
      <c r="AB144" s="1"/>
      <c r="AC144" s="1"/>
      <c r="AD144" s="1"/>
      <c r="AE144" s="1"/>
      <c r="AF144" s="145"/>
      <c r="AG144" s="198">
        <f t="shared" si="47"/>
        <v>41</v>
      </c>
      <c r="AH144" s="145"/>
      <c r="AI144" s="145"/>
      <c r="AJ144" s="145"/>
      <c r="AK144" s="145"/>
      <c r="AL144" s="145"/>
      <c r="AM144" s="145"/>
      <c r="AN144" s="145"/>
    </row>
    <row r="145" spans="1:40" ht="20">
      <c r="A145" s="145"/>
      <c r="B145" s="152"/>
      <c r="C145" s="50">
        <f t="shared" si="39"/>
        <v>126</v>
      </c>
      <c r="D145" s="51">
        <v>0</v>
      </c>
      <c r="E145" s="187" t="str">
        <f t="shared" si="8"/>
        <v>5</v>
      </c>
      <c r="F145" s="188">
        <f t="shared" si="40"/>
        <v>45417</v>
      </c>
      <c r="G145" s="189" t="str">
        <f t="shared" si="41"/>
        <v>Sun</v>
      </c>
      <c r="H145" s="190" t="s">
        <v>58</v>
      </c>
      <c r="I145" s="200"/>
      <c r="J145" s="201">
        <v>0</v>
      </c>
      <c r="K145" s="202"/>
      <c r="L145" s="59">
        <f t="shared" si="51"/>
        <v>0</v>
      </c>
      <c r="M145" s="60">
        <f t="shared" si="35"/>
        <v>0</v>
      </c>
      <c r="N145" s="61" t="str">
        <f t="shared" si="11"/>
        <v>0%</v>
      </c>
      <c r="O145" s="194"/>
      <c r="P145" s="106">
        <f>IF(D145=0,0,SUM($L$141:L145))</f>
        <v>0</v>
      </c>
      <c r="Q145" s="59">
        <f>IF(D145=0,0,SUM($J$141:J145))</f>
        <v>0</v>
      </c>
      <c r="R145" s="63">
        <f t="shared" si="36"/>
        <v>0</v>
      </c>
      <c r="S145" s="61" t="str">
        <f t="shared" si="13"/>
        <v>0%</v>
      </c>
      <c r="T145" s="81"/>
      <c r="U145" s="59">
        <f>IF(D145=0,0,SUM($L$20:L145))</f>
        <v>0</v>
      </c>
      <c r="V145" s="59">
        <f>IF(D145=0,0,SUM($J$20:J145))</f>
        <v>0</v>
      </c>
      <c r="W145" s="63">
        <f t="shared" si="37"/>
        <v>0</v>
      </c>
      <c r="X145" s="61" t="str">
        <f t="shared" si="15"/>
        <v>0%</v>
      </c>
      <c r="Y145" s="145"/>
      <c r="Z145" s="196">
        <f t="shared" si="50"/>
        <v>45417</v>
      </c>
      <c r="AA145" s="197">
        <f t="shared" si="50"/>
        <v>45417</v>
      </c>
      <c r="AB145" s="1"/>
      <c r="AC145" s="1"/>
      <c r="AD145" s="1"/>
      <c r="AE145" s="1"/>
      <c r="AF145" s="145"/>
      <c r="AG145" s="198">
        <f t="shared" si="47"/>
        <v>42</v>
      </c>
      <c r="AH145" s="145"/>
      <c r="AI145" s="145"/>
      <c r="AJ145" s="145"/>
      <c r="AK145" s="145"/>
      <c r="AL145" s="145"/>
      <c r="AM145" s="145"/>
      <c r="AN145" s="145"/>
    </row>
    <row r="146" spans="1:40" ht="20">
      <c r="A146" s="145"/>
      <c r="B146" s="152"/>
      <c r="C146" s="50">
        <f t="shared" si="39"/>
        <v>127</v>
      </c>
      <c r="D146" s="51">
        <v>0</v>
      </c>
      <c r="E146" s="187" t="str">
        <f t="shared" si="8"/>
        <v>5</v>
      </c>
      <c r="F146" s="188">
        <f t="shared" si="40"/>
        <v>45418</v>
      </c>
      <c r="G146" s="189" t="str">
        <f t="shared" si="41"/>
        <v>Mon</v>
      </c>
      <c r="H146" s="190" t="s">
        <v>115</v>
      </c>
      <c r="I146" s="200"/>
      <c r="J146" s="201">
        <v>0</v>
      </c>
      <c r="K146" s="202"/>
      <c r="L146" s="59">
        <f t="shared" si="51"/>
        <v>0</v>
      </c>
      <c r="M146" s="60">
        <f t="shared" si="35"/>
        <v>0</v>
      </c>
      <c r="N146" s="61" t="str">
        <f t="shared" si="11"/>
        <v>0%</v>
      </c>
      <c r="O146" s="194"/>
      <c r="P146" s="106">
        <f>IF(D146=0,0,SUM($L$141:L146))</f>
        <v>0</v>
      </c>
      <c r="Q146" s="59">
        <f>IF(D146=0,0,SUM($J$141:J146))</f>
        <v>0</v>
      </c>
      <c r="R146" s="63">
        <f t="shared" si="36"/>
        <v>0</v>
      </c>
      <c r="S146" s="61" t="str">
        <f t="shared" si="13"/>
        <v>0%</v>
      </c>
      <c r="T146" s="81"/>
      <c r="U146" s="59">
        <f>IF(D146=0,0,SUM($L$20:L146))</f>
        <v>0</v>
      </c>
      <c r="V146" s="59">
        <f>IF(D146=0,0,SUM($J$20:J146))</f>
        <v>0</v>
      </c>
      <c r="W146" s="63">
        <f t="shared" si="37"/>
        <v>0</v>
      </c>
      <c r="X146" s="61" t="str">
        <f t="shared" si="15"/>
        <v>0%</v>
      </c>
      <c r="Y146" s="145"/>
      <c r="Z146" s="196">
        <f t="shared" si="50"/>
        <v>45418</v>
      </c>
      <c r="AA146" s="197">
        <f t="shared" si="50"/>
        <v>45418</v>
      </c>
      <c r="AB146" s="1"/>
      <c r="AC146" s="1"/>
      <c r="AD146" s="1"/>
      <c r="AE146" s="1"/>
      <c r="AF146" s="145"/>
      <c r="AG146" s="198">
        <f t="shared" si="47"/>
        <v>43</v>
      </c>
      <c r="AH146" s="145"/>
      <c r="AI146" s="145"/>
      <c r="AJ146" s="145"/>
      <c r="AK146" s="145"/>
      <c r="AL146" s="145"/>
      <c r="AM146" s="145"/>
      <c r="AN146" s="145"/>
    </row>
    <row r="147" spans="1:40" ht="20">
      <c r="A147" s="145"/>
      <c r="B147" s="152"/>
      <c r="C147" s="50">
        <f t="shared" si="39"/>
        <v>128</v>
      </c>
      <c r="D147" s="51">
        <v>1</v>
      </c>
      <c r="E147" s="187" t="str">
        <f t="shared" si="8"/>
        <v>5</v>
      </c>
      <c r="F147" s="188">
        <f t="shared" si="40"/>
        <v>45419</v>
      </c>
      <c r="G147" s="189" t="str">
        <f t="shared" si="41"/>
        <v>Tue</v>
      </c>
      <c r="H147" s="190"/>
      <c r="I147" s="200"/>
      <c r="J147" s="201">
        <v>228780</v>
      </c>
      <c r="K147" s="202"/>
      <c r="L147" s="59">
        <f t="shared" si="51"/>
        <v>246438.82698961938</v>
      </c>
      <c r="M147" s="60">
        <f t="shared" si="35"/>
        <v>-17658.826989619381</v>
      </c>
      <c r="N147" s="61">
        <f t="shared" si="11"/>
        <v>0.92834397401849666</v>
      </c>
      <c r="O147" s="194"/>
      <c r="P147" s="106">
        <f>IF(D147=0,0,SUM($L$141:L147))</f>
        <v>739316.48096885812</v>
      </c>
      <c r="Q147" s="59">
        <f>IF(D147=0,0,SUM($J$141:J147))</f>
        <v>572335</v>
      </c>
      <c r="R147" s="63">
        <f t="shared" si="36"/>
        <v>-166981.48096885812</v>
      </c>
      <c r="S147" s="61">
        <f t="shared" si="13"/>
        <v>0.77414072962362135</v>
      </c>
      <c r="T147" s="80"/>
      <c r="U147" s="59">
        <f>IF(D147=0,0,SUM($L$20:L147))</f>
        <v>23066674.20622839</v>
      </c>
      <c r="V147" s="59">
        <f>IF(D147=0,0,SUM($J$20:J147))</f>
        <v>23693804</v>
      </c>
      <c r="W147" s="63">
        <f t="shared" si="37"/>
        <v>627129.79377160966</v>
      </c>
      <c r="X147" s="61">
        <f t="shared" si="15"/>
        <v>1.0271876989359079</v>
      </c>
      <c r="Y147" s="145"/>
      <c r="Z147" s="196">
        <f t="shared" si="50"/>
        <v>45419</v>
      </c>
      <c r="AA147" s="197">
        <f t="shared" si="50"/>
        <v>45419</v>
      </c>
      <c r="AB147" s="1"/>
      <c r="AC147" s="1"/>
      <c r="AD147" s="1"/>
      <c r="AE147" s="1"/>
      <c r="AF147" s="145"/>
      <c r="AG147" s="198">
        <f t="shared" si="47"/>
        <v>44</v>
      </c>
      <c r="AH147" s="145"/>
      <c r="AI147" s="145"/>
      <c r="AJ147" s="145"/>
      <c r="AK147" s="145"/>
      <c r="AL147" s="145"/>
      <c r="AM147" s="145"/>
      <c r="AN147" s="145"/>
    </row>
    <row r="148" spans="1:40" ht="20">
      <c r="A148" s="145"/>
      <c r="B148" s="152"/>
      <c r="C148" s="50">
        <f t="shared" si="39"/>
        <v>129</v>
      </c>
      <c r="D148" s="51">
        <v>1</v>
      </c>
      <c r="E148" s="187" t="str">
        <f t="shared" si="8"/>
        <v>5</v>
      </c>
      <c r="F148" s="188">
        <f t="shared" si="40"/>
        <v>45420</v>
      </c>
      <c r="G148" s="189" t="str">
        <f t="shared" si="41"/>
        <v>Wed</v>
      </c>
      <c r="H148" s="190"/>
      <c r="I148" s="200"/>
      <c r="J148" s="201">
        <v>362200</v>
      </c>
      <c r="K148" s="202"/>
      <c r="L148" s="59">
        <f t="shared" si="51"/>
        <v>246438.82698961938</v>
      </c>
      <c r="M148" s="60">
        <f t="shared" ref="M148:M211" si="52">IF(D148=0,0,J148-L148)</f>
        <v>115761.17301038062</v>
      </c>
      <c r="N148" s="61">
        <f t="shared" si="11"/>
        <v>1.469735935787654</v>
      </c>
      <c r="O148" s="194"/>
      <c r="P148" s="106">
        <f>IF(D148=0,0,SUM($L$141:L148))</f>
        <v>985755.30795847753</v>
      </c>
      <c r="Q148" s="59">
        <f>IF(D148=0,0,SUM($J$141:J148))</f>
        <v>934535</v>
      </c>
      <c r="R148" s="63">
        <f t="shared" ref="R148:R211" si="53">IF(D148=0,0,Q148-P148)</f>
        <v>-51220.307958477526</v>
      </c>
      <c r="S148" s="61">
        <f t="shared" si="13"/>
        <v>0.94803953116462947</v>
      </c>
      <c r="T148" s="80"/>
      <c r="U148" s="59">
        <f>IF(D148=0,0,SUM($L$20:L148))</f>
        <v>23313113.033218011</v>
      </c>
      <c r="V148" s="59">
        <f>IF(D148=0,0,SUM($J$20:J148))</f>
        <v>24056004</v>
      </c>
      <c r="W148" s="63">
        <f t="shared" ref="W148:W211" si="54">IF(D148=0,0,V148-U148)</f>
        <v>742890.96678198874</v>
      </c>
      <c r="X148" s="61">
        <f t="shared" si="15"/>
        <v>1.0318657986912116</v>
      </c>
      <c r="Y148" s="145"/>
      <c r="Z148" s="196">
        <f t="shared" si="50"/>
        <v>45420</v>
      </c>
      <c r="AA148" s="197">
        <f t="shared" si="50"/>
        <v>45420</v>
      </c>
      <c r="AB148" s="1"/>
      <c r="AC148" s="1"/>
      <c r="AD148" s="1"/>
      <c r="AE148" s="1"/>
      <c r="AF148" s="145"/>
      <c r="AG148" s="198">
        <f t="shared" si="47"/>
        <v>45</v>
      </c>
      <c r="AH148" s="145"/>
      <c r="AI148" s="145"/>
      <c r="AJ148" s="145"/>
      <c r="AK148" s="145"/>
      <c r="AL148" s="145"/>
      <c r="AM148" s="145"/>
      <c r="AN148" s="145"/>
    </row>
    <row r="149" spans="1:40" ht="20">
      <c r="A149" s="145"/>
      <c r="B149" s="152"/>
      <c r="C149" s="50">
        <f t="shared" ref="C149:C212" si="55">C148+1</f>
        <v>130</v>
      </c>
      <c r="D149" s="51">
        <v>1</v>
      </c>
      <c r="E149" s="187" t="str">
        <f t="shared" si="8"/>
        <v>5</v>
      </c>
      <c r="F149" s="188">
        <f t="shared" ref="F149:F212" si="56">F148+1</f>
        <v>45421</v>
      </c>
      <c r="G149" s="189" t="str">
        <f t="shared" ref="G149:G212" si="57">TEXT(Z149,"ddd")</f>
        <v>Thu</v>
      </c>
      <c r="H149" s="190"/>
      <c r="I149" s="200"/>
      <c r="J149" s="201">
        <v>231000</v>
      </c>
      <c r="K149" s="202"/>
      <c r="L149" s="59">
        <f t="shared" si="51"/>
        <v>246438.82698961938</v>
      </c>
      <c r="M149" s="60">
        <f t="shared" si="52"/>
        <v>-15438.826989619381</v>
      </c>
      <c r="N149" s="61">
        <f t="shared" si="11"/>
        <v>0.93735229477346238</v>
      </c>
      <c r="O149" s="194"/>
      <c r="P149" s="106">
        <f>IF(D149=0,0,SUM($L$141:L149))</f>
        <v>1232194.1349480969</v>
      </c>
      <c r="Q149" s="59">
        <f>IF(D149=0,0,SUM($J$141:J149))</f>
        <v>1165535</v>
      </c>
      <c r="R149" s="63">
        <f t="shared" si="53"/>
        <v>-66659.134948096937</v>
      </c>
      <c r="S149" s="61">
        <f t="shared" si="13"/>
        <v>0.94590208388639607</v>
      </c>
      <c r="T149" s="80"/>
      <c r="U149" s="59">
        <f>IF(D149=0,0,SUM($L$20:L149))</f>
        <v>23559551.860207632</v>
      </c>
      <c r="V149" s="59">
        <f>IF(D149=0,0,SUM($J$20:J149))</f>
        <v>24287004</v>
      </c>
      <c r="W149" s="63">
        <f t="shared" si="54"/>
        <v>727452.13979236782</v>
      </c>
      <c r="X149" s="61">
        <f t="shared" si="15"/>
        <v>1.0308771637129925</v>
      </c>
      <c r="Y149" s="145"/>
      <c r="Z149" s="196">
        <f t="shared" ref="Z149:AA164" si="58">Z148+1</f>
        <v>45421</v>
      </c>
      <c r="AA149" s="197">
        <f t="shared" si="58"/>
        <v>45421</v>
      </c>
      <c r="AB149" s="1"/>
      <c r="AC149" s="1"/>
      <c r="AD149" s="1"/>
      <c r="AE149" s="1"/>
      <c r="AF149" s="145"/>
      <c r="AG149" s="198">
        <f t="shared" si="47"/>
        <v>46</v>
      </c>
      <c r="AH149" s="145"/>
      <c r="AI149" s="145"/>
      <c r="AJ149" s="145"/>
      <c r="AK149" s="145"/>
      <c r="AL149" s="145"/>
      <c r="AM149" s="145"/>
      <c r="AN149" s="145"/>
    </row>
    <row r="150" spans="1:40" ht="20">
      <c r="A150" s="145"/>
      <c r="B150" s="152"/>
      <c r="C150" s="50">
        <f t="shared" si="55"/>
        <v>131</v>
      </c>
      <c r="D150" s="51">
        <v>1</v>
      </c>
      <c r="E150" s="187" t="str">
        <f t="shared" si="8"/>
        <v>5</v>
      </c>
      <c r="F150" s="188">
        <f t="shared" si="56"/>
        <v>45422</v>
      </c>
      <c r="G150" s="189" t="str">
        <f t="shared" si="57"/>
        <v>Fri</v>
      </c>
      <c r="H150" s="190"/>
      <c r="I150" s="200"/>
      <c r="J150" s="201">
        <v>428650</v>
      </c>
      <c r="K150" s="202"/>
      <c r="L150" s="59">
        <f t="shared" si="51"/>
        <v>246438.82698961938</v>
      </c>
      <c r="M150" s="60">
        <f t="shared" si="52"/>
        <v>182211.17301038062</v>
      </c>
      <c r="N150" s="61">
        <f t="shared" si="11"/>
        <v>1.7393768881153449</v>
      </c>
      <c r="O150" s="194"/>
      <c r="P150" s="106">
        <f>IF(D150=0,0,SUM($L$141:L150))</f>
        <v>1478632.9619377162</v>
      </c>
      <c r="Q150" s="59">
        <f>IF(D150=0,0,SUM($J$141:J150))</f>
        <v>1594185</v>
      </c>
      <c r="R150" s="63">
        <f t="shared" si="53"/>
        <v>115552.03806228377</v>
      </c>
      <c r="S150" s="61">
        <f t="shared" si="13"/>
        <v>1.0781478845912209</v>
      </c>
      <c r="T150" s="80"/>
      <c r="U150" s="59">
        <f>IF(D150=0,0,SUM($L$20:L150))</f>
        <v>23805990.687197253</v>
      </c>
      <c r="V150" s="59">
        <f>IF(D150=0,0,SUM($J$20:J150))</f>
        <v>24715654</v>
      </c>
      <c r="W150" s="63">
        <f t="shared" si="54"/>
        <v>909663.31280274689</v>
      </c>
      <c r="X150" s="61">
        <f t="shared" si="15"/>
        <v>1.0382115293900354</v>
      </c>
      <c r="Y150" s="145"/>
      <c r="Z150" s="196">
        <f t="shared" si="58"/>
        <v>45422</v>
      </c>
      <c r="AA150" s="197">
        <f t="shared" si="58"/>
        <v>45422</v>
      </c>
      <c r="AB150" s="1"/>
      <c r="AC150" s="1"/>
      <c r="AD150" s="1"/>
      <c r="AE150" s="1"/>
      <c r="AF150" s="145"/>
      <c r="AG150" s="198">
        <f t="shared" ref="AG150:AG213" si="59">AG149+1</f>
        <v>47</v>
      </c>
      <c r="AH150" s="145"/>
      <c r="AI150" s="145"/>
      <c r="AJ150" s="145"/>
      <c r="AK150" s="145"/>
      <c r="AL150" s="145"/>
      <c r="AM150" s="145"/>
      <c r="AN150" s="145"/>
    </row>
    <row r="151" spans="1:40" ht="20">
      <c r="A151" s="145"/>
      <c r="B151" s="152"/>
      <c r="C151" s="50">
        <f t="shared" si="55"/>
        <v>132</v>
      </c>
      <c r="D151" s="51">
        <v>1</v>
      </c>
      <c r="E151" s="187" t="str">
        <f t="shared" si="8"/>
        <v>5</v>
      </c>
      <c r="F151" s="188">
        <f t="shared" si="56"/>
        <v>45423</v>
      </c>
      <c r="G151" s="189" t="str">
        <f t="shared" si="57"/>
        <v>Sat</v>
      </c>
      <c r="H151" s="190"/>
      <c r="I151" s="200"/>
      <c r="J151" s="201">
        <v>123410</v>
      </c>
      <c r="K151" s="202"/>
      <c r="L151" s="59">
        <f t="shared" si="51"/>
        <v>246438.82698961938</v>
      </c>
      <c r="M151" s="60">
        <f t="shared" si="52"/>
        <v>-123028.82698961938</v>
      </c>
      <c r="N151" s="61">
        <f t="shared" si="11"/>
        <v>0.50077336232897396</v>
      </c>
      <c r="O151" s="194"/>
      <c r="P151" s="106">
        <f>IF(D151=0,0,SUM($L$141:L151))</f>
        <v>1725071.7889273355</v>
      </c>
      <c r="Q151" s="59">
        <f>IF(D151=0,0,SUM($J$141:J151))</f>
        <v>1717595</v>
      </c>
      <c r="R151" s="63">
        <f t="shared" si="53"/>
        <v>-7476.7889273355249</v>
      </c>
      <c r="S151" s="61">
        <f t="shared" si="13"/>
        <v>0.99566580998232856</v>
      </c>
      <c r="T151" s="81"/>
      <c r="U151" s="59">
        <f>IF(D151=0,0,SUM($L$20:L151))</f>
        <v>24052429.514186874</v>
      </c>
      <c r="V151" s="59">
        <f>IF(D151=0,0,SUM($J$20:J151))</f>
        <v>24839064</v>
      </c>
      <c r="W151" s="63">
        <f t="shared" si="54"/>
        <v>786634.48581312597</v>
      </c>
      <c r="X151" s="61">
        <f t="shared" si="15"/>
        <v>1.0327049907930983</v>
      </c>
      <c r="Y151" s="145"/>
      <c r="Z151" s="196">
        <f t="shared" si="58"/>
        <v>45423</v>
      </c>
      <c r="AA151" s="197">
        <f t="shared" si="58"/>
        <v>45423</v>
      </c>
      <c r="AB151" s="1"/>
      <c r="AC151" s="1"/>
      <c r="AD151" s="1"/>
      <c r="AE151" s="1"/>
      <c r="AF151" s="145"/>
      <c r="AG151" s="198">
        <f t="shared" si="59"/>
        <v>48</v>
      </c>
      <c r="AH151" s="145"/>
      <c r="AI151" s="145"/>
      <c r="AJ151" s="145"/>
      <c r="AK151" s="145"/>
      <c r="AL151" s="145"/>
      <c r="AM151" s="145"/>
      <c r="AN151" s="145"/>
    </row>
    <row r="152" spans="1:40" ht="20">
      <c r="A152" s="145"/>
      <c r="B152" s="152"/>
      <c r="C152" s="50">
        <f t="shared" si="55"/>
        <v>133</v>
      </c>
      <c r="D152" s="51">
        <v>0</v>
      </c>
      <c r="E152" s="187" t="str">
        <f t="shared" si="8"/>
        <v>5</v>
      </c>
      <c r="F152" s="188">
        <f t="shared" si="56"/>
        <v>45424</v>
      </c>
      <c r="G152" s="189" t="str">
        <f t="shared" si="57"/>
        <v>Sun</v>
      </c>
      <c r="H152" s="190" t="s">
        <v>58</v>
      </c>
      <c r="I152" s="200"/>
      <c r="J152" s="201">
        <v>0</v>
      </c>
      <c r="K152" s="202"/>
      <c r="L152" s="59">
        <f t="shared" si="51"/>
        <v>0</v>
      </c>
      <c r="M152" s="60">
        <f t="shared" si="52"/>
        <v>0</v>
      </c>
      <c r="N152" s="61" t="str">
        <f t="shared" si="11"/>
        <v>0%</v>
      </c>
      <c r="O152" s="194"/>
      <c r="P152" s="106">
        <f>IF(D152=0,0,SUM($L$141:L152))</f>
        <v>0</v>
      </c>
      <c r="Q152" s="59">
        <f>IF(D152=0,0,SUM($J$141:J152))</f>
        <v>0</v>
      </c>
      <c r="R152" s="63">
        <f t="shared" si="53"/>
        <v>0</v>
      </c>
      <c r="S152" s="61" t="str">
        <f t="shared" si="13"/>
        <v>0%</v>
      </c>
      <c r="T152" s="80"/>
      <c r="U152" s="59">
        <f>IF(D152=0,0,SUM($L$20:L152))</f>
        <v>0</v>
      </c>
      <c r="V152" s="59">
        <f>IF(D152=0,0,SUM($J$20:J152))</f>
        <v>0</v>
      </c>
      <c r="W152" s="63">
        <f t="shared" si="54"/>
        <v>0</v>
      </c>
      <c r="X152" s="61" t="str">
        <f t="shared" si="15"/>
        <v>0%</v>
      </c>
      <c r="Y152" s="145"/>
      <c r="Z152" s="196">
        <f t="shared" si="58"/>
        <v>45424</v>
      </c>
      <c r="AA152" s="197">
        <f t="shared" si="58"/>
        <v>45424</v>
      </c>
      <c r="AB152" s="1"/>
      <c r="AC152" s="1"/>
      <c r="AD152" s="1"/>
      <c r="AE152" s="1"/>
      <c r="AF152" s="145"/>
      <c r="AG152" s="198">
        <f t="shared" si="59"/>
        <v>49</v>
      </c>
      <c r="AH152" s="145"/>
      <c r="AI152" s="145"/>
      <c r="AJ152" s="145"/>
      <c r="AK152" s="145"/>
      <c r="AL152" s="145"/>
      <c r="AM152" s="145"/>
      <c r="AN152" s="145"/>
    </row>
    <row r="153" spans="1:40" ht="20">
      <c r="A153" s="145"/>
      <c r="B153" s="152"/>
      <c r="C153" s="50">
        <f t="shared" si="55"/>
        <v>134</v>
      </c>
      <c r="D153" s="51">
        <v>1</v>
      </c>
      <c r="E153" s="187" t="str">
        <f t="shared" si="8"/>
        <v>5</v>
      </c>
      <c r="F153" s="188">
        <f t="shared" si="56"/>
        <v>45425</v>
      </c>
      <c r="G153" s="189" t="str">
        <f t="shared" si="57"/>
        <v>Mon</v>
      </c>
      <c r="H153" s="190"/>
      <c r="I153" s="200"/>
      <c r="J153" s="201">
        <v>245550</v>
      </c>
      <c r="K153" s="202"/>
      <c r="L153" s="59">
        <f t="shared" si="51"/>
        <v>246438.82698961938</v>
      </c>
      <c r="M153" s="60">
        <f t="shared" si="52"/>
        <v>-888.82698961938149</v>
      </c>
      <c r="N153" s="61">
        <f t="shared" si="11"/>
        <v>0.99639331593776481</v>
      </c>
      <c r="O153" s="194"/>
      <c r="P153" s="106">
        <f>IF(D153=0,0,SUM($L$141:L153))</f>
        <v>1971510.6159169548</v>
      </c>
      <c r="Q153" s="59">
        <f>IF(D153=0,0,SUM($J$141:J153))</f>
        <v>1963145</v>
      </c>
      <c r="R153" s="63">
        <f t="shared" si="53"/>
        <v>-8365.6159169548191</v>
      </c>
      <c r="S153" s="61">
        <f t="shared" si="13"/>
        <v>0.99575674822675808</v>
      </c>
      <c r="T153" s="80"/>
      <c r="U153" s="59">
        <f>IF(D153=0,0,SUM($L$20:L153))</f>
        <v>24298868.341176495</v>
      </c>
      <c r="V153" s="59">
        <f>IF(D153=0,0,SUM($J$20:J153))</f>
        <v>25084614</v>
      </c>
      <c r="W153" s="63">
        <f t="shared" si="54"/>
        <v>785745.65882350504</v>
      </c>
      <c r="X153" s="61">
        <f t="shared" si="15"/>
        <v>1.0323367182286425</v>
      </c>
      <c r="Y153" s="145"/>
      <c r="Z153" s="196">
        <f t="shared" si="58"/>
        <v>45425</v>
      </c>
      <c r="AA153" s="197">
        <f t="shared" si="58"/>
        <v>45425</v>
      </c>
      <c r="AB153" s="1"/>
      <c r="AC153" s="1"/>
      <c r="AD153" s="1"/>
      <c r="AE153" s="1"/>
      <c r="AF153" s="145"/>
      <c r="AG153" s="198">
        <f t="shared" si="59"/>
        <v>50</v>
      </c>
      <c r="AH153" s="145"/>
      <c r="AI153" s="145"/>
      <c r="AJ153" s="145"/>
      <c r="AK153" s="145"/>
      <c r="AL153" s="145"/>
      <c r="AM153" s="145"/>
      <c r="AN153" s="145"/>
    </row>
    <row r="154" spans="1:40" ht="20">
      <c r="A154" s="145"/>
      <c r="B154" s="152"/>
      <c r="C154" s="50">
        <f t="shared" si="55"/>
        <v>135</v>
      </c>
      <c r="D154" s="51">
        <v>1</v>
      </c>
      <c r="E154" s="187" t="str">
        <f t="shared" si="8"/>
        <v>5</v>
      </c>
      <c r="F154" s="188">
        <f t="shared" si="56"/>
        <v>45426</v>
      </c>
      <c r="G154" s="189" t="str">
        <f t="shared" si="57"/>
        <v>Tue</v>
      </c>
      <c r="H154" s="190"/>
      <c r="I154" s="200"/>
      <c r="J154" s="201">
        <v>224120</v>
      </c>
      <c r="K154" s="202"/>
      <c r="L154" s="59">
        <f t="shared" si="51"/>
        <v>246438.82698961938</v>
      </c>
      <c r="M154" s="60">
        <f t="shared" si="52"/>
        <v>-22318.826989619381</v>
      </c>
      <c r="N154" s="61">
        <f t="shared" si="11"/>
        <v>0.90943461603735232</v>
      </c>
      <c r="O154" s="194"/>
      <c r="P154" s="106">
        <f>IF(D154=0,0,SUM($L$141:L154))</f>
        <v>2217949.4429065743</v>
      </c>
      <c r="Q154" s="59">
        <f>IF(D154=0,0,SUM($J$141:J154))</f>
        <v>2187265</v>
      </c>
      <c r="R154" s="63">
        <f t="shared" si="53"/>
        <v>-30684.442906574346</v>
      </c>
      <c r="S154" s="61">
        <f t="shared" si="13"/>
        <v>0.98616540020571297</v>
      </c>
      <c r="T154" s="80"/>
      <c r="U154" s="59">
        <f>IF(D154=0,0,SUM($L$20:L154))</f>
        <v>24545307.168166116</v>
      </c>
      <c r="V154" s="59">
        <f>IF(D154=0,0,SUM($J$20:J154))</f>
        <v>25308734</v>
      </c>
      <c r="W154" s="63">
        <f t="shared" si="54"/>
        <v>763426.83183388412</v>
      </c>
      <c r="X154" s="61">
        <f t="shared" si="15"/>
        <v>1.0311027613793322</v>
      </c>
      <c r="Y154" s="145"/>
      <c r="Z154" s="196">
        <f t="shared" si="58"/>
        <v>45426</v>
      </c>
      <c r="AA154" s="197">
        <f t="shared" si="58"/>
        <v>45426</v>
      </c>
      <c r="AB154" s="1"/>
      <c r="AC154" s="1"/>
      <c r="AD154" s="1"/>
      <c r="AE154" s="1"/>
      <c r="AF154" s="145"/>
      <c r="AG154" s="198">
        <f t="shared" si="59"/>
        <v>51</v>
      </c>
      <c r="AH154" s="145"/>
      <c r="AI154" s="145"/>
      <c r="AJ154" s="145"/>
      <c r="AK154" s="145"/>
      <c r="AL154" s="145"/>
      <c r="AM154" s="145"/>
      <c r="AN154" s="145"/>
    </row>
    <row r="155" spans="1:40" ht="20">
      <c r="A155" s="145"/>
      <c r="B155" s="152"/>
      <c r="C155" s="50">
        <f t="shared" si="55"/>
        <v>136</v>
      </c>
      <c r="D155" s="51">
        <v>1</v>
      </c>
      <c r="E155" s="187" t="str">
        <f t="shared" si="8"/>
        <v>5</v>
      </c>
      <c r="F155" s="188">
        <f t="shared" si="56"/>
        <v>45427</v>
      </c>
      <c r="G155" s="189" t="str">
        <f t="shared" si="57"/>
        <v>Wed</v>
      </c>
      <c r="H155" s="190"/>
      <c r="I155" s="200"/>
      <c r="J155" s="201">
        <v>251740</v>
      </c>
      <c r="K155" s="202"/>
      <c r="L155" s="59">
        <f t="shared" si="51"/>
        <v>246438.82698961938</v>
      </c>
      <c r="M155" s="60">
        <f t="shared" si="52"/>
        <v>5301.1730103806185</v>
      </c>
      <c r="N155" s="61">
        <f t="shared" si="11"/>
        <v>1.0215111111959803</v>
      </c>
      <c r="O155" s="194"/>
      <c r="P155" s="106">
        <f>IF(D155=0,0,SUM($L$141:L155))</f>
        <v>2464388.2698961939</v>
      </c>
      <c r="Q155" s="59">
        <f>IF(D155=0,0,SUM($J$141:J155))</f>
        <v>2439005</v>
      </c>
      <c r="R155" s="63">
        <f t="shared" si="53"/>
        <v>-25383.269896193873</v>
      </c>
      <c r="S155" s="61">
        <f t="shared" si="13"/>
        <v>0.98969997130473963</v>
      </c>
      <c r="T155" s="80"/>
      <c r="U155" s="59">
        <f>IF(D155=0,0,SUM($L$20:L155))</f>
        <v>24791745.995155737</v>
      </c>
      <c r="V155" s="59">
        <f>IF(D155=0,0,SUM($J$20:J155))</f>
        <v>25560474</v>
      </c>
      <c r="W155" s="63">
        <f t="shared" si="54"/>
        <v>768728.0048442632</v>
      </c>
      <c r="X155" s="61">
        <f t="shared" si="15"/>
        <v>1.0310074169441099</v>
      </c>
      <c r="Y155" s="145"/>
      <c r="Z155" s="196">
        <f t="shared" si="58"/>
        <v>45427</v>
      </c>
      <c r="AA155" s="197">
        <f t="shared" si="58"/>
        <v>45427</v>
      </c>
      <c r="AB155" s="1"/>
      <c r="AC155" s="1"/>
      <c r="AD155" s="1"/>
      <c r="AE155" s="1"/>
      <c r="AF155" s="145"/>
      <c r="AG155" s="198">
        <f t="shared" si="59"/>
        <v>52</v>
      </c>
      <c r="AH155" s="145"/>
      <c r="AI155" s="145"/>
      <c r="AJ155" s="145"/>
      <c r="AK155" s="145"/>
      <c r="AL155" s="145"/>
      <c r="AM155" s="145"/>
      <c r="AN155" s="145"/>
    </row>
    <row r="156" spans="1:40" ht="20">
      <c r="A156" s="145"/>
      <c r="B156" s="152"/>
      <c r="C156" s="50">
        <f t="shared" si="55"/>
        <v>137</v>
      </c>
      <c r="D156" s="51">
        <v>1</v>
      </c>
      <c r="E156" s="187" t="str">
        <f t="shared" si="8"/>
        <v>5</v>
      </c>
      <c r="F156" s="188">
        <f t="shared" si="56"/>
        <v>45428</v>
      </c>
      <c r="G156" s="189" t="str">
        <f t="shared" si="57"/>
        <v>Thu</v>
      </c>
      <c r="H156" s="190"/>
      <c r="I156" s="200"/>
      <c r="J156" s="201">
        <v>239950</v>
      </c>
      <c r="K156" s="202"/>
      <c r="L156" s="59">
        <f t="shared" si="51"/>
        <v>246438.82698961938</v>
      </c>
      <c r="M156" s="60">
        <f t="shared" si="52"/>
        <v>-6488.8269896193815</v>
      </c>
      <c r="N156" s="61">
        <f t="shared" si="11"/>
        <v>0.97366962394325673</v>
      </c>
      <c r="O156" s="194"/>
      <c r="P156" s="106">
        <f>IF(D156=0,0,SUM($L$141:L156))</f>
        <v>2710827.0968858134</v>
      </c>
      <c r="Q156" s="59">
        <f>IF(D156=0,0,SUM($J$141:J156))</f>
        <v>2678955</v>
      </c>
      <c r="R156" s="63">
        <f t="shared" si="53"/>
        <v>-31872.0968858134</v>
      </c>
      <c r="S156" s="61">
        <f t="shared" si="13"/>
        <v>0.9882426669991502</v>
      </c>
      <c r="T156" s="80"/>
      <c r="U156" s="59">
        <f>IF(D156=0,0,SUM($L$20:L156))</f>
        <v>25038184.822145358</v>
      </c>
      <c r="V156" s="59">
        <f>IF(D156=0,0,SUM($J$20:J156))</f>
        <v>25800424</v>
      </c>
      <c r="W156" s="63">
        <f t="shared" si="54"/>
        <v>762239.17785464227</v>
      </c>
      <c r="X156" s="61">
        <f t="shared" si="15"/>
        <v>1.0304430685878023</v>
      </c>
      <c r="Y156" s="145"/>
      <c r="Z156" s="196">
        <f t="shared" si="58"/>
        <v>45428</v>
      </c>
      <c r="AA156" s="197">
        <f t="shared" si="58"/>
        <v>45428</v>
      </c>
      <c r="AB156" s="1"/>
      <c r="AC156" s="1"/>
      <c r="AD156" s="1"/>
      <c r="AE156" s="1"/>
      <c r="AF156" s="145"/>
      <c r="AG156" s="198">
        <f t="shared" si="59"/>
        <v>53</v>
      </c>
      <c r="AH156" s="145"/>
      <c r="AI156" s="145"/>
      <c r="AJ156" s="145"/>
      <c r="AK156" s="145"/>
      <c r="AL156" s="145"/>
      <c r="AM156" s="145"/>
      <c r="AN156" s="145"/>
    </row>
    <row r="157" spans="1:40" ht="20">
      <c r="A157" s="145"/>
      <c r="B157" s="152"/>
      <c r="C157" s="50">
        <f t="shared" si="55"/>
        <v>138</v>
      </c>
      <c r="D157" s="51">
        <v>1</v>
      </c>
      <c r="E157" s="187" t="str">
        <f t="shared" si="8"/>
        <v>5</v>
      </c>
      <c r="F157" s="188">
        <f t="shared" si="56"/>
        <v>45429</v>
      </c>
      <c r="G157" s="189" t="str">
        <f t="shared" si="57"/>
        <v>Fri</v>
      </c>
      <c r="H157" s="190"/>
      <c r="I157" s="200"/>
      <c r="J157" s="201">
        <v>301500</v>
      </c>
      <c r="K157" s="202"/>
      <c r="L157" s="59">
        <f t="shared" si="51"/>
        <v>246438.82698961938</v>
      </c>
      <c r="M157" s="60">
        <f t="shared" si="52"/>
        <v>55061.173010380619</v>
      </c>
      <c r="N157" s="61">
        <f t="shared" si="11"/>
        <v>1.2234273457757527</v>
      </c>
      <c r="O157" s="194"/>
      <c r="P157" s="106">
        <f>IF(D157=0,0,SUM($L$141:L157))</f>
        <v>2957265.9238754329</v>
      </c>
      <c r="Q157" s="59">
        <f>IF(D157=0,0,SUM($J$141:J157))</f>
        <v>2980455</v>
      </c>
      <c r="R157" s="63">
        <f t="shared" si="53"/>
        <v>23189.076124567073</v>
      </c>
      <c r="S157" s="61">
        <f t="shared" si="13"/>
        <v>1.0078413902305337</v>
      </c>
      <c r="T157" s="80"/>
      <c r="U157" s="59">
        <f>IF(D157=0,0,SUM($L$20:L157))</f>
        <v>25284623.649134979</v>
      </c>
      <c r="V157" s="59">
        <f>IF(D157=0,0,SUM($J$20:J157))</f>
        <v>26101924</v>
      </c>
      <c r="W157" s="63">
        <f t="shared" si="54"/>
        <v>817300.35086502135</v>
      </c>
      <c r="X157" s="61">
        <f t="shared" si="15"/>
        <v>1.0323240069619539</v>
      </c>
      <c r="Y157" s="145"/>
      <c r="Z157" s="196">
        <f t="shared" si="58"/>
        <v>45429</v>
      </c>
      <c r="AA157" s="197">
        <f t="shared" si="58"/>
        <v>45429</v>
      </c>
      <c r="AB157" s="1"/>
      <c r="AC157" s="1"/>
      <c r="AD157" s="1"/>
      <c r="AE157" s="1"/>
      <c r="AF157" s="145"/>
      <c r="AG157" s="198">
        <f t="shared" si="59"/>
        <v>54</v>
      </c>
      <c r="AH157" s="145"/>
      <c r="AI157" s="145"/>
      <c r="AJ157" s="145"/>
      <c r="AK157" s="145"/>
      <c r="AL157" s="145"/>
      <c r="AM157" s="145"/>
      <c r="AN157" s="145"/>
    </row>
    <row r="158" spans="1:40" ht="20">
      <c r="A158" s="145"/>
      <c r="B158" s="152"/>
      <c r="C158" s="50">
        <f t="shared" si="55"/>
        <v>139</v>
      </c>
      <c r="D158" s="51">
        <v>1</v>
      </c>
      <c r="E158" s="187" t="str">
        <f t="shared" si="8"/>
        <v>5</v>
      </c>
      <c r="F158" s="188">
        <f t="shared" si="56"/>
        <v>45430</v>
      </c>
      <c r="G158" s="189" t="str">
        <f t="shared" si="57"/>
        <v>Sat</v>
      </c>
      <c r="H158" s="190"/>
      <c r="I158" s="200"/>
      <c r="J158" s="201">
        <v>100250</v>
      </c>
      <c r="K158" s="202"/>
      <c r="L158" s="59">
        <f t="shared" si="51"/>
        <v>246438.82698961938</v>
      </c>
      <c r="M158" s="60">
        <f t="shared" si="52"/>
        <v>-146188.82698961938</v>
      </c>
      <c r="N158" s="61">
        <f t="shared" si="11"/>
        <v>0.40679466472311515</v>
      </c>
      <c r="O158" s="194"/>
      <c r="P158" s="106">
        <f>IF(D158=0,0,SUM($L$141:L158))</f>
        <v>3203704.7508650525</v>
      </c>
      <c r="Q158" s="59">
        <f>IF(D158=0,0,SUM($J$141:J158))</f>
        <v>3080705</v>
      </c>
      <c r="R158" s="63">
        <f t="shared" si="53"/>
        <v>-122999.75086505245</v>
      </c>
      <c r="S158" s="61">
        <f t="shared" si="13"/>
        <v>0.96160702672996301</v>
      </c>
      <c r="T158" s="81"/>
      <c r="U158" s="59">
        <f>IF(D158=0,0,SUM($L$20:L158))</f>
        <v>25531062.4761246</v>
      </c>
      <c r="V158" s="59">
        <f>IF(D158=0,0,SUM($J$20:J158))</f>
        <v>26202174</v>
      </c>
      <c r="W158" s="63">
        <f t="shared" si="54"/>
        <v>671111.52387540042</v>
      </c>
      <c r="X158" s="61">
        <f t="shared" si="15"/>
        <v>1.0262860789480654</v>
      </c>
      <c r="Y158" s="145"/>
      <c r="Z158" s="196">
        <f t="shared" si="58"/>
        <v>45430</v>
      </c>
      <c r="AA158" s="197">
        <f t="shared" si="58"/>
        <v>45430</v>
      </c>
      <c r="AB158" s="1"/>
      <c r="AC158" s="1"/>
      <c r="AD158" s="1"/>
      <c r="AE158" s="1"/>
      <c r="AF158" s="145"/>
      <c r="AG158" s="198">
        <f t="shared" si="59"/>
        <v>55</v>
      </c>
      <c r="AH158" s="145"/>
      <c r="AI158" s="145"/>
      <c r="AJ158" s="145"/>
      <c r="AK158" s="145"/>
      <c r="AL158" s="145"/>
      <c r="AM158" s="145"/>
      <c r="AN158" s="145"/>
    </row>
    <row r="159" spans="1:40" ht="20">
      <c r="A159" s="145"/>
      <c r="B159" s="152"/>
      <c r="C159" s="50">
        <f t="shared" si="55"/>
        <v>140</v>
      </c>
      <c r="D159" s="51">
        <v>0</v>
      </c>
      <c r="E159" s="187" t="str">
        <f t="shared" si="8"/>
        <v>5</v>
      </c>
      <c r="F159" s="188">
        <f t="shared" si="56"/>
        <v>45431</v>
      </c>
      <c r="G159" s="189" t="str">
        <f t="shared" si="57"/>
        <v>Sun</v>
      </c>
      <c r="H159" s="190" t="s">
        <v>58</v>
      </c>
      <c r="I159" s="200"/>
      <c r="J159" s="201">
        <v>0</v>
      </c>
      <c r="K159" s="202"/>
      <c r="L159" s="59">
        <f t="shared" si="51"/>
        <v>0</v>
      </c>
      <c r="M159" s="60">
        <f t="shared" si="52"/>
        <v>0</v>
      </c>
      <c r="N159" s="61" t="str">
        <f t="shared" si="11"/>
        <v>0%</v>
      </c>
      <c r="O159" s="194"/>
      <c r="P159" s="106">
        <f>IF(D159=0,0,SUM($L$141:L159))</f>
        <v>0</v>
      </c>
      <c r="Q159" s="59">
        <f>IF(D159=0,0,SUM($J$141:J159))</f>
        <v>0</v>
      </c>
      <c r="R159" s="63">
        <f t="shared" si="53"/>
        <v>0</v>
      </c>
      <c r="S159" s="61" t="str">
        <f t="shared" si="13"/>
        <v>0%</v>
      </c>
      <c r="T159" s="80"/>
      <c r="U159" s="59">
        <f>IF(D159=0,0,SUM($L$20:L159))</f>
        <v>0</v>
      </c>
      <c r="V159" s="59">
        <f>IF(D159=0,0,SUM($J$20:J159))</f>
        <v>0</v>
      </c>
      <c r="W159" s="63">
        <f t="shared" si="54"/>
        <v>0</v>
      </c>
      <c r="X159" s="61" t="str">
        <f t="shared" si="15"/>
        <v>0%</v>
      </c>
      <c r="Y159" s="145"/>
      <c r="Z159" s="196">
        <f t="shared" si="58"/>
        <v>45431</v>
      </c>
      <c r="AA159" s="197">
        <f t="shared" si="58"/>
        <v>45431</v>
      </c>
      <c r="AB159" s="1"/>
      <c r="AC159" s="1"/>
      <c r="AD159" s="1"/>
      <c r="AE159" s="1"/>
      <c r="AF159" s="145"/>
      <c r="AG159" s="198">
        <f t="shared" si="59"/>
        <v>56</v>
      </c>
      <c r="AH159" s="145"/>
      <c r="AI159" s="145"/>
      <c r="AJ159" s="145"/>
      <c r="AK159" s="145"/>
      <c r="AL159" s="145"/>
      <c r="AM159" s="145"/>
      <c r="AN159" s="145"/>
    </row>
    <row r="160" spans="1:40" ht="20">
      <c r="A160" s="145"/>
      <c r="B160" s="152"/>
      <c r="C160" s="50">
        <f t="shared" si="55"/>
        <v>141</v>
      </c>
      <c r="D160" s="51">
        <v>1</v>
      </c>
      <c r="E160" s="187" t="str">
        <f t="shared" si="8"/>
        <v>5</v>
      </c>
      <c r="F160" s="188">
        <f t="shared" si="56"/>
        <v>45432</v>
      </c>
      <c r="G160" s="189" t="str">
        <f t="shared" si="57"/>
        <v>Mon</v>
      </c>
      <c r="H160" s="190"/>
      <c r="I160" s="200"/>
      <c r="J160" s="201">
        <v>199520</v>
      </c>
      <c r="K160" s="202"/>
      <c r="L160" s="59">
        <f t="shared" si="51"/>
        <v>246438.82698961938</v>
      </c>
      <c r="M160" s="60">
        <f t="shared" si="52"/>
        <v>-46918.826989619381</v>
      </c>
      <c r="N160" s="61">
        <f t="shared" si="11"/>
        <v>0.80961268334719139</v>
      </c>
      <c r="O160" s="194"/>
      <c r="P160" s="106">
        <f>IF(D160=0,0,SUM($L$141:L160))</f>
        <v>3450143.577854672</v>
      </c>
      <c r="Q160" s="59">
        <f>IF(D160=0,0,SUM($J$141:J160))</f>
        <v>3280225</v>
      </c>
      <c r="R160" s="63">
        <f t="shared" si="53"/>
        <v>-169918.57785467198</v>
      </c>
      <c r="S160" s="61">
        <f t="shared" si="13"/>
        <v>0.95075028791690785</v>
      </c>
      <c r="T160" s="80"/>
      <c r="U160" s="59">
        <f>IF(D160=0,0,SUM($L$20:L160))</f>
        <v>25777501.30311422</v>
      </c>
      <c r="V160" s="59">
        <f>IF(D160=0,0,SUM($J$20:J160))</f>
        <v>26401694</v>
      </c>
      <c r="W160" s="63">
        <f t="shared" si="54"/>
        <v>624192.6968857795</v>
      </c>
      <c r="X160" s="61">
        <f t="shared" si="15"/>
        <v>1.0242146315713838</v>
      </c>
      <c r="Y160" s="145"/>
      <c r="Z160" s="196">
        <f t="shared" si="58"/>
        <v>45432</v>
      </c>
      <c r="AA160" s="197">
        <f t="shared" si="58"/>
        <v>45432</v>
      </c>
      <c r="AB160" s="1"/>
      <c r="AC160" s="1"/>
      <c r="AD160" s="1"/>
      <c r="AE160" s="1"/>
      <c r="AF160" s="145"/>
      <c r="AG160" s="198">
        <f t="shared" si="59"/>
        <v>57</v>
      </c>
      <c r="AH160" s="145"/>
      <c r="AI160" s="145"/>
      <c r="AJ160" s="145"/>
      <c r="AK160" s="145"/>
      <c r="AL160" s="145"/>
      <c r="AM160" s="145"/>
      <c r="AN160" s="145"/>
    </row>
    <row r="161" spans="1:40" ht="20">
      <c r="A161" s="145"/>
      <c r="B161" s="152"/>
      <c r="C161" s="50">
        <f t="shared" si="55"/>
        <v>142</v>
      </c>
      <c r="D161" s="51">
        <v>1</v>
      </c>
      <c r="E161" s="187" t="str">
        <f t="shared" si="8"/>
        <v>5</v>
      </c>
      <c r="F161" s="188">
        <f t="shared" si="56"/>
        <v>45433</v>
      </c>
      <c r="G161" s="189" t="str">
        <f t="shared" si="57"/>
        <v>Tue</v>
      </c>
      <c r="H161" s="190"/>
      <c r="I161" s="200"/>
      <c r="J161" s="201">
        <v>246350</v>
      </c>
      <c r="K161" s="202"/>
      <c r="L161" s="59">
        <f t="shared" si="51"/>
        <v>246438.82698961938</v>
      </c>
      <c r="M161" s="60">
        <f t="shared" si="52"/>
        <v>-88.826989619381493</v>
      </c>
      <c r="N161" s="61">
        <f t="shared" si="11"/>
        <v>0.999639557651266</v>
      </c>
      <c r="O161" s="194"/>
      <c r="P161" s="106">
        <f>IF(D161=0,0,SUM($L$141:L161))</f>
        <v>3696582.4048442915</v>
      </c>
      <c r="Q161" s="59">
        <f>IF(D161=0,0,SUM($J$141:J161))</f>
        <v>3526575</v>
      </c>
      <c r="R161" s="63">
        <f t="shared" si="53"/>
        <v>-170007.40484429151</v>
      </c>
      <c r="S161" s="61">
        <f t="shared" si="13"/>
        <v>0.95400957256586505</v>
      </c>
      <c r="T161" s="80"/>
      <c r="U161" s="59">
        <f>IF(D161=0,0,SUM($L$20:L161))</f>
        <v>26023940.130103841</v>
      </c>
      <c r="V161" s="59">
        <f>IF(D161=0,0,SUM($J$20:J161))</f>
        <v>26648044</v>
      </c>
      <c r="W161" s="63">
        <f t="shared" si="54"/>
        <v>624103.86989615858</v>
      </c>
      <c r="X161" s="61">
        <f t="shared" si="15"/>
        <v>1.0239819130683525</v>
      </c>
      <c r="Y161" s="145"/>
      <c r="Z161" s="196">
        <f t="shared" si="58"/>
        <v>45433</v>
      </c>
      <c r="AA161" s="197">
        <f t="shared" si="58"/>
        <v>45433</v>
      </c>
      <c r="AB161" s="1"/>
      <c r="AC161" s="1"/>
      <c r="AD161" s="1"/>
      <c r="AE161" s="1"/>
      <c r="AF161" s="145"/>
      <c r="AG161" s="198">
        <f t="shared" si="59"/>
        <v>58</v>
      </c>
      <c r="AH161" s="145"/>
      <c r="AI161" s="145"/>
      <c r="AJ161" s="145"/>
      <c r="AK161" s="145"/>
      <c r="AL161" s="145"/>
      <c r="AM161" s="145"/>
      <c r="AN161" s="145"/>
    </row>
    <row r="162" spans="1:40" ht="20">
      <c r="A162" s="145"/>
      <c r="B162" s="152"/>
      <c r="C162" s="50">
        <f t="shared" si="55"/>
        <v>143</v>
      </c>
      <c r="D162" s="51">
        <v>1</v>
      </c>
      <c r="E162" s="187" t="str">
        <f t="shared" si="8"/>
        <v>5</v>
      </c>
      <c r="F162" s="188">
        <f t="shared" si="56"/>
        <v>45434</v>
      </c>
      <c r="G162" s="189" t="str">
        <f t="shared" si="57"/>
        <v>Wed</v>
      </c>
      <c r="H162" s="190"/>
      <c r="I162" s="200"/>
      <c r="J162" s="201">
        <v>500550</v>
      </c>
      <c r="K162" s="202"/>
      <c r="L162" s="59">
        <f t="shared" si="51"/>
        <v>246438.82698961938</v>
      </c>
      <c r="M162" s="60">
        <f t="shared" si="52"/>
        <v>254111.17301038062</v>
      </c>
      <c r="N162" s="61">
        <f t="shared" si="11"/>
        <v>2.0311328621162623</v>
      </c>
      <c r="O162" s="194"/>
      <c r="P162" s="106">
        <f>IF(D162=0,0,SUM($L$141:L162))</f>
        <v>3943021.231833911</v>
      </c>
      <c r="Q162" s="59">
        <f>IF(D162=0,0,SUM($J$141:J162))</f>
        <v>4027125</v>
      </c>
      <c r="R162" s="63">
        <f t="shared" si="53"/>
        <v>84103.768166088965</v>
      </c>
      <c r="S162" s="61">
        <f t="shared" si="13"/>
        <v>1.0213297781627648</v>
      </c>
      <c r="T162" s="80"/>
      <c r="U162" s="59">
        <f>IF(D162=0,0,SUM($L$20:L162))</f>
        <v>26270378.957093462</v>
      </c>
      <c r="V162" s="59">
        <f>IF(D162=0,0,SUM($J$20:J162))</f>
        <v>27148594</v>
      </c>
      <c r="W162" s="63">
        <f t="shared" si="54"/>
        <v>878215.04290653765</v>
      </c>
      <c r="X162" s="61">
        <f t="shared" si="15"/>
        <v>1.0334298581813721</v>
      </c>
      <c r="Y162" s="145"/>
      <c r="Z162" s="196">
        <f t="shared" si="58"/>
        <v>45434</v>
      </c>
      <c r="AA162" s="197">
        <f t="shared" si="58"/>
        <v>45434</v>
      </c>
      <c r="AB162" s="1"/>
      <c r="AC162" s="1"/>
      <c r="AD162" s="1"/>
      <c r="AE162" s="1"/>
      <c r="AF162" s="145"/>
      <c r="AG162" s="198">
        <f t="shared" si="59"/>
        <v>59</v>
      </c>
      <c r="AH162" s="145"/>
      <c r="AI162" s="145"/>
      <c r="AJ162" s="145"/>
      <c r="AK162" s="145"/>
      <c r="AL162" s="145"/>
      <c r="AM162" s="145"/>
      <c r="AN162" s="145"/>
    </row>
    <row r="163" spans="1:40" ht="20">
      <c r="A163" s="145"/>
      <c r="B163" s="152"/>
      <c r="C163" s="50">
        <f t="shared" si="55"/>
        <v>144</v>
      </c>
      <c r="D163" s="51">
        <v>1</v>
      </c>
      <c r="E163" s="187" t="str">
        <f t="shared" si="8"/>
        <v>5</v>
      </c>
      <c r="F163" s="188">
        <f t="shared" si="56"/>
        <v>45435</v>
      </c>
      <c r="G163" s="189" t="str">
        <f t="shared" si="57"/>
        <v>Thu</v>
      </c>
      <c r="H163" s="190"/>
      <c r="I163" s="200"/>
      <c r="J163" s="201">
        <v>137000</v>
      </c>
      <c r="K163" s="202"/>
      <c r="L163" s="59">
        <f t="shared" si="51"/>
        <v>246438.82698961938</v>
      </c>
      <c r="M163" s="60">
        <f t="shared" si="52"/>
        <v>-109438.82698961938</v>
      </c>
      <c r="N163" s="61">
        <f t="shared" si="11"/>
        <v>0.55591889343707512</v>
      </c>
      <c r="O163" s="194"/>
      <c r="P163" s="106">
        <f>IF(D163=0,0,SUM($L$141:L163))</f>
        <v>4189460.0588235306</v>
      </c>
      <c r="Q163" s="59">
        <f>IF(D163=0,0,SUM($J$141:J163))</f>
        <v>4164125</v>
      </c>
      <c r="R163" s="63">
        <f t="shared" si="53"/>
        <v>-25335.058823530562</v>
      </c>
      <c r="S163" s="61">
        <f t="shared" si="13"/>
        <v>0.99395266729654774</v>
      </c>
      <c r="T163" s="80"/>
      <c r="U163" s="59">
        <f>IF(D163=0,0,SUM($L$20:L163))</f>
        <v>26516817.784083083</v>
      </c>
      <c r="V163" s="59">
        <f>IF(D163=0,0,SUM($J$20:J163))</f>
        <v>27285594</v>
      </c>
      <c r="W163" s="63">
        <f t="shared" si="54"/>
        <v>768776.21591691673</v>
      </c>
      <c r="X163" s="61">
        <f t="shared" si="15"/>
        <v>1.0289920239365367</v>
      </c>
      <c r="Y163" s="145"/>
      <c r="Z163" s="196">
        <f t="shared" si="58"/>
        <v>45435</v>
      </c>
      <c r="AA163" s="197">
        <f t="shared" si="58"/>
        <v>45435</v>
      </c>
      <c r="AB163" s="1"/>
      <c r="AC163" s="1"/>
      <c r="AD163" s="1"/>
      <c r="AE163" s="1"/>
      <c r="AF163" s="145"/>
      <c r="AG163" s="198">
        <f t="shared" si="59"/>
        <v>60</v>
      </c>
      <c r="AH163" s="145"/>
      <c r="AI163" s="145"/>
      <c r="AJ163" s="145"/>
      <c r="AK163" s="145"/>
      <c r="AL163" s="145"/>
      <c r="AM163" s="145"/>
      <c r="AN163" s="145"/>
    </row>
    <row r="164" spans="1:40" ht="20">
      <c r="A164" s="145"/>
      <c r="B164" s="152"/>
      <c r="C164" s="50">
        <f t="shared" si="55"/>
        <v>145</v>
      </c>
      <c r="D164" s="51">
        <v>1</v>
      </c>
      <c r="E164" s="187" t="str">
        <f t="shared" si="8"/>
        <v>5</v>
      </c>
      <c r="F164" s="188">
        <f t="shared" si="56"/>
        <v>45436</v>
      </c>
      <c r="G164" s="189" t="str">
        <f t="shared" si="57"/>
        <v>Fri</v>
      </c>
      <c r="H164" s="190"/>
      <c r="I164" s="200"/>
      <c r="J164" s="201">
        <v>368700</v>
      </c>
      <c r="K164" s="202"/>
      <c r="L164" s="59">
        <f t="shared" si="51"/>
        <v>246438.82698961938</v>
      </c>
      <c r="M164" s="60">
        <f t="shared" si="52"/>
        <v>122261.17301038062</v>
      </c>
      <c r="N164" s="61">
        <f t="shared" si="11"/>
        <v>1.496111649709851</v>
      </c>
      <c r="O164" s="194"/>
      <c r="P164" s="106">
        <f>IF(D164=0,0,SUM($L$141:L164))</f>
        <v>4435898.8858131496</v>
      </c>
      <c r="Q164" s="59">
        <f>IF(D164=0,0,SUM($J$141:J164))</f>
        <v>4532825</v>
      </c>
      <c r="R164" s="63">
        <f t="shared" si="53"/>
        <v>96926.114186850376</v>
      </c>
      <c r="S164" s="61">
        <f t="shared" si="13"/>
        <v>1.0218503885417314</v>
      </c>
      <c r="T164" s="80"/>
      <c r="U164" s="59">
        <f>IF(D164=0,0,SUM($L$20:L164))</f>
        <v>26763256.611072704</v>
      </c>
      <c r="V164" s="59">
        <f>IF(D164=0,0,SUM($J$20:J164))</f>
        <v>27654294</v>
      </c>
      <c r="W164" s="63">
        <f t="shared" si="54"/>
        <v>891037.3889272958</v>
      </c>
      <c r="X164" s="61">
        <f t="shared" si="15"/>
        <v>1.0332933096250569</v>
      </c>
      <c r="Y164" s="145"/>
      <c r="Z164" s="196">
        <f t="shared" si="58"/>
        <v>45436</v>
      </c>
      <c r="AA164" s="197">
        <f t="shared" si="58"/>
        <v>45436</v>
      </c>
      <c r="AB164" s="1"/>
      <c r="AC164" s="1"/>
      <c r="AD164" s="1"/>
      <c r="AE164" s="1"/>
      <c r="AF164" s="145"/>
      <c r="AG164" s="198">
        <f t="shared" si="59"/>
        <v>61</v>
      </c>
      <c r="AH164" s="145"/>
      <c r="AI164" s="145"/>
      <c r="AJ164" s="145"/>
      <c r="AK164" s="145"/>
      <c r="AL164" s="145"/>
      <c r="AM164" s="145"/>
      <c r="AN164" s="145"/>
    </row>
    <row r="165" spans="1:40" ht="20">
      <c r="A165" s="145"/>
      <c r="B165" s="152"/>
      <c r="C165" s="50">
        <f t="shared" si="55"/>
        <v>146</v>
      </c>
      <c r="D165" s="51">
        <v>1</v>
      </c>
      <c r="E165" s="187" t="str">
        <f t="shared" si="8"/>
        <v>5</v>
      </c>
      <c r="F165" s="188">
        <f t="shared" si="56"/>
        <v>45437</v>
      </c>
      <c r="G165" s="189" t="str">
        <f t="shared" si="57"/>
        <v>Sat</v>
      </c>
      <c r="H165" s="190"/>
      <c r="I165" s="200"/>
      <c r="J165" s="201">
        <v>191500</v>
      </c>
      <c r="K165" s="202"/>
      <c r="L165" s="59">
        <f t="shared" si="51"/>
        <v>246438.82698961938</v>
      </c>
      <c r="M165" s="60">
        <f t="shared" si="52"/>
        <v>-54938.826989619381</v>
      </c>
      <c r="N165" s="61">
        <f t="shared" si="11"/>
        <v>0.77706911016934221</v>
      </c>
      <c r="O165" s="194"/>
      <c r="P165" s="106">
        <f>IF(D165=0,0,SUM($L$141:L165))</f>
        <v>4682337.7128027687</v>
      </c>
      <c r="Q165" s="59">
        <f>IF(D165=0,0,SUM($J$141:J165))</f>
        <v>4724325</v>
      </c>
      <c r="R165" s="63">
        <f t="shared" si="53"/>
        <v>41987.287197231315</v>
      </c>
      <c r="S165" s="61">
        <f t="shared" si="13"/>
        <v>1.0089671633642372</v>
      </c>
      <c r="T165" s="81"/>
      <c r="U165" s="59">
        <f>IF(D165=0,0,SUM($L$20:L165))</f>
        <v>27009695.438062325</v>
      </c>
      <c r="V165" s="59">
        <f>IF(D165=0,0,SUM($J$20:J165))</f>
        <v>27845794</v>
      </c>
      <c r="W165" s="63">
        <f t="shared" si="54"/>
        <v>836098.56193767488</v>
      </c>
      <c r="X165" s="61">
        <f t="shared" si="15"/>
        <v>1.0309554975862274</v>
      </c>
      <c r="Y165" s="145"/>
      <c r="Z165" s="196">
        <f t="shared" ref="Z165:AA180" si="60">Z164+1</f>
        <v>45437</v>
      </c>
      <c r="AA165" s="197">
        <f t="shared" si="60"/>
        <v>45437</v>
      </c>
      <c r="AB165" s="1"/>
      <c r="AC165" s="1"/>
      <c r="AD165" s="1"/>
      <c r="AE165" s="1"/>
      <c r="AF165" s="145"/>
      <c r="AG165" s="198">
        <f t="shared" si="59"/>
        <v>62</v>
      </c>
      <c r="AH165" s="145"/>
      <c r="AI165" s="145"/>
      <c r="AJ165" s="145"/>
      <c r="AK165" s="145"/>
      <c r="AL165" s="145"/>
      <c r="AM165" s="145"/>
      <c r="AN165" s="145"/>
    </row>
    <row r="166" spans="1:40" ht="20">
      <c r="A166" s="145"/>
      <c r="B166" s="152"/>
      <c r="C166" s="50">
        <f t="shared" si="55"/>
        <v>147</v>
      </c>
      <c r="D166" s="51">
        <v>0</v>
      </c>
      <c r="E166" s="187" t="str">
        <f t="shared" si="8"/>
        <v>5</v>
      </c>
      <c r="F166" s="188">
        <f t="shared" si="56"/>
        <v>45438</v>
      </c>
      <c r="G166" s="189" t="str">
        <f t="shared" si="57"/>
        <v>Sun</v>
      </c>
      <c r="H166" s="190" t="s">
        <v>58</v>
      </c>
      <c r="I166" s="200"/>
      <c r="J166" s="201">
        <v>0</v>
      </c>
      <c r="K166" s="202"/>
      <c r="L166" s="59">
        <f t="shared" si="51"/>
        <v>0</v>
      </c>
      <c r="M166" s="60">
        <f t="shared" si="52"/>
        <v>0</v>
      </c>
      <c r="N166" s="61" t="str">
        <f t="shared" si="11"/>
        <v>0%</v>
      </c>
      <c r="O166" s="194"/>
      <c r="P166" s="106">
        <f>IF(D166=0,0,SUM($L$141:L166))</f>
        <v>0</v>
      </c>
      <c r="Q166" s="59">
        <f>IF(D166=0,0,SUM($J$141:J166))</f>
        <v>0</v>
      </c>
      <c r="R166" s="63">
        <f t="shared" si="53"/>
        <v>0</v>
      </c>
      <c r="S166" s="61" t="str">
        <f t="shared" si="13"/>
        <v>0%</v>
      </c>
      <c r="T166" s="80"/>
      <c r="U166" s="59">
        <f>IF(D166=0,0,SUM($L$20:L166))</f>
        <v>0</v>
      </c>
      <c r="V166" s="59">
        <f>IF(D166=0,0,SUM($J$20:J166))</f>
        <v>0</v>
      </c>
      <c r="W166" s="63">
        <f t="shared" si="54"/>
        <v>0</v>
      </c>
      <c r="X166" s="61" t="str">
        <f t="shared" si="15"/>
        <v>0%</v>
      </c>
      <c r="Y166" s="145"/>
      <c r="Z166" s="196">
        <f t="shared" si="60"/>
        <v>45438</v>
      </c>
      <c r="AA166" s="197">
        <f t="shared" si="60"/>
        <v>45438</v>
      </c>
      <c r="AB166" s="1"/>
      <c r="AC166" s="1"/>
      <c r="AD166" s="1"/>
      <c r="AE166" s="1"/>
      <c r="AF166" s="145"/>
      <c r="AG166" s="198">
        <f t="shared" si="59"/>
        <v>63</v>
      </c>
      <c r="AH166" s="145"/>
      <c r="AI166" s="145"/>
      <c r="AJ166" s="145"/>
      <c r="AK166" s="145"/>
      <c r="AL166" s="145"/>
      <c r="AM166" s="145"/>
      <c r="AN166" s="145"/>
    </row>
    <row r="167" spans="1:40" ht="20">
      <c r="A167" s="145"/>
      <c r="B167" s="152"/>
      <c r="C167" s="50">
        <f t="shared" si="55"/>
        <v>148</v>
      </c>
      <c r="D167" s="51">
        <v>1</v>
      </c>
      <c r="E167" s="187" t="str">
        <f t="shared" si="8"/>
        <v>5</v>
      </c>
      <c r="F167" s="188">
        <f t="shared" si="56"/>
        <v>45439</v>
      </c>
      <c r="G167" s="189" t="str">
        <f t="shared" si="57"/>
        <v>Mon</v>
      </c>
      <c r="H167" s="190"/>
      <c r="I167" s="200"/>
      <c r="J167" s="201">
        <v>270760</v>
      </c>
      <c r="K167" s="202"/>
      <c r="L167" s="59">
        <f t="shared" si="51"/>
        <v>246438.82698961938</v>
      </c>
      <c r="M167" s="60">
        <f t="shared" si="52"/>
        <v>24321.173010380619</v>
      </c>
      <c r="N167" s="61">
        <f t="shared" si="11"/>
        <v>1.0986905079344704</v>
      </c>
      <c r="O167" s="194"/>
      <c r="P167" s="106">
        <f>IF(D167=0,0,SUM($L$141:L167))</f>
        <v>4928776.5397923877</v>
      </c>
      <c r="Q167" s="59">
        <f>IF(D167=0,0,SUM($J$141:J167))</f>
        <v>4995085</v>
      </c>
      <c r="R167" s="63">
        <f t="shared" si="53"/>
        <v>66308.460207612254</v>
      </c>
      <c r="S167" s="61">
        <f t="shared" si="13"/>
        <v>1.0134533305927489</v>
      </c>
      <c r="T167" s="80"/>
      <c r="U167" s="59">
        <f>IF(D167=0,0,SUM($L$20:L167))</f>
        <v>27256134.265051946</v>
      </c>
      <c r="V167" s="59">
        <f>IF(D167=0,0,SUM($J$20:J167))</f>
        <v>28116554</v>
      </c>
      <c r="W167" s="63">
        <f t="shared" si="54"/>
        <v>860419.73494805396</v>
      </c>
      <c r="X167" s="61">
        <f t="shared" si="15"/>
        <v>1.0315679298678571</v>
      </c>
      <c r="Y167" s="145"/>
      <c r="Z167" s="196">
        <f t="shared" si="60"/>
        <v>45439</v>
      </c>
      <c r="AA167" s="197">
        <f t="shared" si="60"/>
        <v>45439</v>
      </c>
      <c r="AB167" s="1"/>
      <c r="AC167" s="1"/>
      <c r="AD167" s="1"/>
      <c r="AE167" s="1"/>
      <c r="AF167" s="145"/>
      <c r="AG167" s="198">
        <f t="shared" si="59"/>
        <v>64</v>
      </c>
      <c r="AH167" s="145"/>
      <c r="AI167" s="145"/>
      <c r="AJ167" s="145"/>
      <c r="AK167" s="145"/>
      <c r="AL167" s="145"/>
      <c r="AM167" s="145"/>
      <c r="AN167" s="145"/>
    </row>
    <row r="168" spans="1:40" ht="20">
      <c r="A168" s="145"/>
      <c r="B168" s="152"/>
      <c r="C168" s="50">
        <f t="shared" si="55"/>
        <v>149</v>
      </c>
      <c r="D168" s="51">
        <v>1</v>
      </c>
      <c r="E168" s="187" t="str">
        <f t="shared" si="8"/>
        <v>5</v>
      </c>
      <c r="F168" s="188">
        <f t="shared" si="56"/>
        <v>45440</v>
      </c>
      <c r="G168" s="189" t="str">
        <f t="shared" si="57"/>
        <v>Tue</v>
      </c>
      <c r="H168" s="190"/>
      <c r="I168" s="200"/>
      <c r="J168" s="201">
        <v>228795</v>
      </c>
      <c r="K168" s="202"/>
      <c r="L168" s="59">
        <f t="shared" si="51"/>
        <v>246438.82698961938</v>
      </c>
      <c r="M168" s="60">
        <f t="shared" si="52"/>
        <v>-17643.826989619381</v>
      </c>
      <c r="N168" s="61">
        <f t="shared" si="11"/>
        <v>0.92840484105062482</v>
      </c>
      <c r="O168" s="194"/>
      <c r="P168" s="106">
        <f>IF(D168=0,0,SUM($L$141:L168))</f>
        <v>5175215.3667820068</v>
      </c>
      <c r="Q168" s="59">
        <f>IF(D168=0,0,SUM($J$141:J168))</f>
        <v>5223880</v>
      </c>
      <c r="R168" s="63">
        <f t="shared" si="53"/>
        <v>48664.633217993192</v>
      </c>
      <c r="S168" s="61">
        <f t="shared" si="13"/>
        <v>1.0094034025193146</v>
      </c>
      <c r="T168" s="80"/>
      <c r="U168" s="59">
        <f>IF(D168=0,0,SUM($L$20:L168))</f>
        <v>27502573.092041567</v>
      </c>
      <c r="V168" s="59">
        <f>IF(D168=0,0,SUM($J$20:J168))</f>
        <v>28345349</v>
      </c>
      <c r="W168" s="63">
        <f t="shared" si="54"/>
        <v>842775.90795843303</v>
      </c>
      <c r="X168" s="61">
        <f t="shared" si="15"/>
        <v>1.0306435294304266</v>
      </c>
      <c r="Y168" s="145"/>
      <c r="Z168" s="196">
        <f t="shared" si="60"/>
        <v>45440</v>
      </c>
      <c r="AA168" s="197">
        <f t="shared" si="60"/>
        <v>45440</v>
      </c>
      <c r="AB168" s="1"/>
      <c r="AC168" s="1"/>
      <c r="AD168" s="1"/>
      <c r="AE168" s="1"/>
      <c r="AF168" s="145"/>
      <c r="AG168" s="198">
        <f t="shared" si="59"/>
        <v>65</v>
      </c>
      <c r="AH168" s="145"/>
      <c r="AI168" s="145"/>
      <c r="AJ168" s="145"/>
      <c r="AK168" s="145"/>
      <c r="AL168" s="145"/>
      <c r="AM168" s="145"/>
      <c r="AN168" s="145"/>
    </row>
    <row r="169" spans="1:40" ht="20">
      <c r="A169" s="145"/>
      <c r="B169" s="152"/>
      <c r="C169" s="50">
        <f t="shared" si="55"/>
        <v>150</v>
      </c>
      <c r="D169" s="51">
        <v>1</v>
      </c>
      <c r="E169" s="187" t="str">
        <f t="shared" si="8"/>
        <v>5</v>
      </c>
      <c r="F169" s="188">
        <f t="shared" si="56"/>
        <v>45441</v>
      </c>
      <c r="G169" s="189" t="str">
        <f t="shared" si="57"/>
        <v>Wed</v>
      </c>
      <c r="H169" s="190"/>
      <c r="I169" s="200"/>
      <c r="J169" s="201">
        <v>310490</v>
      </c>
      <c r="K169" s="202"/>
      <c r="L169" s="59">
        <f t="shared" si="51"/>
        <v>246438.82698961938</v>
      </c>
      <c r="M169" s="60">
        <f t="shared" si="52"/>
        <v>64051.173010380619</v>
      </c>
      <c r="N169" s="61">
        <f t="shared" si="11"/>
        <v>1.2599069870312223</v>
      </c>
      <c r="O169" s="194"/>
      <c r="P169" s="106">
        <f>IF(D169=0,0,SUM($L$141:L169))</f>
        <v>5421654.1937716259</v>
      </c>
      <c r="Q169" s="59">
        <f>IF(D169=0,0,SUM($J$141:J169))</f>
        <v>5534370</v>
      </c>
      <c r="R169" s="63">
        <f t="shared" si="53"/>
        <v>112715.80622837413</v>
      </c>
      <c r="S169" s="61">
        <f t="shared" si="13"/>
        <v>1.0207899290880376</v>
      </c>
      <c r="T169" s="80"/>
      <c r="U169" s="59">
        <f>IF(D169=0,0,SUM($L$20:L169))</f>
        <v>27749011.919031188</v>
      </c>
      <c r="V169" s="59">
        <f>IF(D169=0,0,SUM($J$20:J169))</f>
        <v>28655839</v>
      </c>
      <c r="W169" s="63">
        <f t="shared" si="54"/>
        <v>906827.08096881211</v>
      </c>
      <c r="X169" s="61">
        <f t="shared" si="15"/>
        <v>1.0326796169757266</v>
      </c>
      <c r="Y169" s="145"/>
      <c r="Z169" s="196">
        <f t="shared" si="60"/>
        <v>45441</v>
      </c>
      <c r="AA169" s="197">
        <f t="shared" si="60"/>
        <v>45441</v>
      </c>
      <c r="AB169" s="1"/>
      <c r="AC169" s="1"/>
      <c r="AD169" s="1"/>
      <c r="AE169" s="1"/>
      <c r="AF169" s="145"/>
      <c r="AG169" s="198">
        <f t="shared" si="59"/>
        <v>66</v>
      </c>
      <c r="AH169" s="145"/>
      <c r="AI169" s="145"/>
      <c r="AJ169" s="145"/>
      <c r="AK169" s="145"/>
      <c r="AL169" s="145"/>
      <c r="AM169" s="145"/>
      <c r="AN169" s="145"/>
    </row>
    <row r="170" spans="1:40" ht="20">
      <c r="A170" s="145"/>
      <c r="B170" s="152"/>
      <c r="C170" s="50">
        <f t="shared" si="55"/>
        <v>151</v>
      </c>
      <c r="D170" s="51">
        <v>1</v>
      </c>
      <c r="E170" s="187" t="str">
        <f t="shared" si="8"/>
        <v>5</v>
      </c>
      <c r="F170" s="188">
        <f t="shared" si="56"/>
        <v>45442</v>
      </c>
      <c r="G170" s="189" t="str">
        <f t="shared" si="57"/>
        <v>Thu</v>
      </c>
      <c r="H170" s="190"/>
      <c r="I170" s="200"/>
      <c r="J170" s="201">
        <v>329440</v>
      </c>
      <c r="K170" s="202"/>
      <c r="L170" s="59">
        <f t="shared" si="51"/>
        <v>246438.82698961938</v>
      </c>
      <c r="M170" s="60">
        <f t="shared" si="52"/>
        <v>83001.173010380619</v>
      </c>
      <c r="N170" s="61">
        <f t="shared" si="11"/>
        <v>1.3368023376197811</v>
      </c>
      <c r="O170" s="194"/>
      <c r="P170" s="106">
        <f>IF(D170=0,0,SUM($L$141:L170))</f>
        <v>5668093.0207612449</v>
      </c>
      <c r="Q170" s="59">
        <f>IF(D170=0,0,SUM($J$141:J170))</f>
        <v>5863810</v>
      </c>
      <c r="R170" s="63">
        <f t="shared" si="53"/>
        <v>195716.97923875507</v>
      </c>
      <c r="S170" s="61">
        <f t="shared" si="13"/>
        <v>1.0345295990242005</v>
      </c>
      <c r="T170" s="80"/>
      <c r="U170" s="59">
        <f>IF(D170=0,0,SUM($L$20:L170))</f>
        <v>27995450.746020809</v>
      </c>
      <c r="V170" s="59">
        <f>IF(D170=0,0,SUM($J$20:J170))</f>
        <v>28985279</v>
      </c>
      <c r="W170" s="63">
        <f t="shared" si="54"/>
        <v>989828.25397919118</v>
      </c>
      <c r="X170" s="61">
        <f t="shared" si="15"/>
        <v>1.0353567536011143</v>
      </c>
      <c r="Y170" s="145"/>
      <c r="Z170" s="196">
        <f t="shared" si="60"/>
        <v>45442</v>
      </c>
      <c r="AA170" s="197">
        <f t="shared" si="60"/>
        <v>45442</v>
      </c>
      <c r="AB170" s="1"/>
      <c r="AC170" s="1"/>
      <c r="AD170" s="1"/>
      <c r="AE170" s="1"/>
      <c r="AF170" s="145"/>
      <c r="AG170" s="198">
        <f t="shared" si="59"/>
        <v>67</v>
      </c>
      <c r="AH170" s="145"/>
      <c r="AI170" s="145"/>
      <c r="AJ170" s="145"/>
      <c r="AK170" s="145"/>
      <c r="AL170" s="145"/>
      <c r="AM170" s="145"/>
      <c r="AN170" s="145"/>
    </row>
    <row r="171" spans="1:40" ht="21" thickBot="1">
      <c r="A171" s="145"/>
      <c r="B171" s="152"/>
      <c r="C171" s="100">
        <f t="shared" si="55"/>
        <v>152</v>
      </c>
      <c r="D171" s="85">
        <v>1</v>
      </c>
      <c r="E171" s="203" t="str">
        <f t="shared" si="8"/>
        <v>5</v>
      </c>
      <c r="F171" s="204">
        <f t="shared" si="56"/>
        <v>45443</v>
      </c>
      <c r="G171" s="205" t="str">
        <f t="shared" si="57"/>
        <v>Fri</v>
      </c>
      <c r="H171" s="206"/>
      <c r="I171" s="207"/>
      <c r="J171" s="208">
        <v>301200</v>
      </c>
      <c r="K171" s="202"/>
      <c r="L171" s="103">
        <f t="shared" si="51"/>
        <v>246438.82698961938</v>
      </c>
      <c r="M171" s="91">
        <f t="shared" si="52"/>
        <v>54761.173010380619</v>
      </c>
      <c r="N171" s="108">
        <f t="shared" si="11"/>
        <v>1.2222100051331899</v>
      </c>
      <c r="O171" s="209"/>
      <c r="P171" s="210">
        <f>IF(D171=0,0,SUM($L$141:L171))</f>
        <v>5914531.847750864</v>
      </c>
      <c r="Q171" s="103">
        <f>IF(D171=0,0,SUM($J$141:J171))</f>
        <v>6165010</v>
      </c>
      <c r="R171" s="105">
        <f t="shared" si="53"/>
        <v>250478.15224913601</v>
      </c>
      <c r="S171" s="108">
        <f t="shared" si="13"/>
        <v>1.0423496159454084</v>
      </c>
      <c r="T171" s="211"/>
      <c r="U171" s="103">
        <f>IF(D171=0,0,SUM($L$20:L171))</f>
        <v>28241889.57301043</v>
      </c>
      <c r="V171" s="103">
        <f>IF(D171=0,0,SUM($J$20:J171))</f>
        <v>29286479</v>
      </c>
      <c r="W171" s="105">
        <f t="shared" si="54"/>
        <v>1044589.4269895703</v>
      </c>
      <c r="X171" s="108">
        <f t="shared" si="15"/>
        <v>1.036987235726176</v>
      </c>
      <c r="Y171" s="145"/>
      <c r="Z171" s="196">
        <f t="shared" si="60"/>
        <v>45443</v>
      </c>
      <c r="AA171" s="197">
        <f t="shared" si="60"/>
        <v>45443</v>
      </c>
      <c r="AB171" s="1"/>
      <c r="AC171" s="1"/>
      <c r="AD171" s="1"/>
      <c r="AE171" s="1"/>
      <c r="AF171" s="145"/>
      <c r="AG171" s="198">
        <f t="shared" si="59"/>
        <v>68</v>
      </c>
      <c r="AH171" s="145"/>
      <c r="AI171" s="145"/>
      <c r="AJ171" s="145"/>
      <c r="AK171" s="145"/>
      <c r="AL171" s="145"/>
      <c r="AM171" s="145"/>
      <c r="AN171" s="145"/>
    </row>
    <row r="172" spans="1:40" ht="21" thickTop="1">
      <c r="A172" s="145"/>
      <c r="B172" s="152"/>
      <c r="C172" s="50">
        <f t="shared" si="55"/>
        <v>153</v>
      </c>
      <c r="D172" s="96">
        <v>1</v>
      </c>
      <c r="E172" s="187" t="str">
        <f t="shared" si="8"/>
        <v>6</v>
      </c>
      <c r="F172" s="188">
        <f t="shared" si="56"/>
        <v>45444</v>
      </c>
      <c r="G172" s="189" t="str">
        <f t="shared" si="57"/>
        <v>Sat</v>
      </c>
      <c r="H172" s="190"/>
      <c r="I172" s="200"/>
      <c r="J172" s="201">
        <v>118060</v>
      </c>
      <c r="K172" s="202"/>
      <c r="L172" s="59">
        <f>IF(D172=0,0,$K$11)</f>
        <v>221794.94429065744</v>
      </c>
      <c r="M172" s="63">
        <f t="shared" si="52"/>
        <v>-103734.94429065744</v>
      </c>
      <c r="N172" s="97">
        <f t="shared" si="11"/>
        <v>0.53229346763326102</v>
      </c>
      <c r="O172" s="194"/>
      <c r="P172" s="107">
        <f>IF(D172=0,0,$L$172)</f>
        <v>221794.94429065744</v>
      </c>
      <c r="Q172" s="59">
        <f>IF(D172=0,0,$J$172)</f>
        <v>118060</v>
      </c>
      <c r="R172" s="63">
        <f t="shared" si="53"/>
        <v>-103734.94429065744</v>
      </c>
      <c r="S172" s="97">
        <f t="shared" si="13"/>
        <v>0.53229346763326102</v>
      </c>
      <c r="T172" s="81"/>
      <c r="U172" s="59">
        <f>IF(D172=0,0,SUM($L$20:L172))</f>
        <v>28463684.517301086</v>
      </c>
      <c r="V172" s="59">
        <f>IF(D172=0,0,SUM($J$20:J172))</f>
        <v>29404539</v>
      </c>
      <c r="W172" s="63">
        <f t="shared" si="54"/>
        <v>940854.48269891366</v>
      </c>
      <c r="X172" s="97">
        <f t="shared" si="15"/>
        <v>1.0330545570137637</v>
      </c>
      <c r="Y172" s="145"/>
      <c r="Z172" s="196">
        <f t="shared" si="60"/>
        <v>45444</v>
      </c>
      <c r="AA172" s="197">
        <f t="shared" si="60"/>
        <v>45444</v>
      </c>
      <c r="AB172" s="1"/>
      <c r="AC172" s="1"/>
      <c r="AD172" s="1"/>
      <c r="AE172" s="1"/>
      <c r="AF172" s="145"/>
      <c r="AG172" s="198">
        <f t="shared" si="59"/>
        <v>69</v>
      </c>
      <c r="AH172" s="145"/>
      <c r="AI172" s="145"/>
      <c r="AJ172" s="145"/>
      <c r="AK172" s="145"/>
      <c r="AL172" s="145"/>
      <c r="AM172" s="145"/>
      <c r="AN172" s="145"/>
    </row>
    <row r="173" spans="1:40" ht="20">
      <c r="A173" s="145"/>
      <c r="B173" s="152"/>
      <c r="C173" s="50">
        <f t="shared" si="55"/>
        <v>154</v>
      </c>
      <c r="D173" s="51">
        <v>0</v>
      </c>
      <c r="E173" s="187" t="str">
        <f t="shared" si="8"/>
        <v>6</v>
      </c>
      <c r="F173" s="188">
        <f t="shared" si="56"/>
        <v>45445</v>
      </c>
      <c r="G173" s="189" t="str">
        <f t="shared" si="57"/>
        <v>Sun</v>
      </c>
      <c r="H173" s="190" t="s">
        <v>58</v>
      </c>
      <c r="I173" s="200"/>
      <c r="J173" s="201">
        <v>0</v>
      </c>
      <c r="K173" s="202"/>
      <c r="L173" s="59">
        <f t="shared" ref="L173:L201" si="61">IF(D173=0,0,$K$11)</f>
        <v>0</v>
      </c>
      <c r="M173" s="60">
        <f t="shared" si="52"/>
        <v>0</v>
      </c>
      <c r="N173" s="61" t="str">
        <f t="shared" si="11"/>
        <v>0%</v>
      </c>
      <c r="O173" s="194"/>
      <c r="P173" s="106">
        <f>IF(D173=0,0,SUM($L$172:L173))</f>
        <v>0</v>
      </c>
      <c r="Q173" s="59">
        <f>IF(D173=0,0,SUM($J$172:J173))</f>
        <v>0</v>
      </c>
      <c r="R173" s="63">
        <f t="shared" si="53"/>
        <v>0</v>
      </c>
      <c r="S173" s="61" t="str">
        <f t="shared" si="13"/>
        <v>0%</v>
      </c>
      <c r="T173" s="80"/>
      <c r="U173" s="59">
        <f>IF(D173=0,0,SUM($L$20:L173))</f>
        <v>0</v>
      </c>
      <c r="V173" s="59">
        <f>IF(D173=0,0,SUM($J$20:J173))</f>
        <v>0</v>
      </c>
      <c r="W173" s="63">
        <f t="shared" si="54"/>
        <v>0</v>
      </c>
      <c r="X173" s="61" t="str">
        <f t="shared" si="15"/>
        <v>0%</v>
      </c>
      <c r="Y173" s="145"/>
      <c r="Z173" s="196">
        <f t="shared" si="60"/>
        <v>45445</v>
      </c>
      <c r="AA173" s="197">
        <f t="shared" si="60"/>
        <v>45445</v>
      </c>
      <c r="AB173" s="1"/>
      <c r="AC173" s="1"/>
      <c r="AD173" s="1"/>
      <c r="AE173" s="1"/>
      <c r="AF173" s="145"/>
      <c r="AG173" s="198">
        <f t="shared" si="59"/>
        <v>70</v>
      </c>
      <c r="AH173" s="145"/>
      <c r="AI173" s="145"/>
      <c r="AJ173" s="145"/>
      <c r="AK173" s="145"/>
      <c r="AL173" s="145"/>
      <c r="AM173" s="145"/>
      <c r="AN173" s="145"/>
    </row>
    <row r="174" spans="1:40" ht="20">
      <c r="A174" s="145"/>
      <c r="B174" s="152"/>
      <c r="C174" s="50">
        <f t="shared" si="55"/>
        <v>155</v>
      </c>
      <c r="D174" s="51">
        <v>1</v>
      </c>
      <c r="E174" s="187" t="str">
        <f t="shared" si="8"/>
        <v>6</v>
      </c>
      <c r="F174" s="188">
        <f t="shared" si="56"/>
        <v>45446</v>
      </c>
      <c r="G174" s="189" t="str">
        <f t="shared" si="57"/>
        <v>Mon</v>
      </c>
      <c r="H174" s="190"/>
      <c r="I174" s="200"/>
      <c r="J174" s="201">
        <v>211700</v>
      </c>
      <c r="K174" s="202"/>
      <c r="L174" s="59">
        <f t="shared" si="61"/>
        <v>221794.94429065744</v>
      </c>
      <c r="M174" s="60">
        <f t="shared" si="52"/>
        <v>-10094.94429065744</v>
      </c>
      <c r="N174" s="61">
        <f t="shared" si="11"/>
        <v>0.95448523715027411</v>
      </c>
      <c r="O174" s="194"/>
      <c r="P174" s="106">
        <f>IF(D174=0,0,SUM($L$172:L174))</f>
        <v>443589.88858131488</v>
      </c>
      <c r="Q174" s="59">
        <f>IF(D174=0,0,SUM($J$172:J174))</f>
        <v>329760</v>
      </c>
      <c r="R174" s="63">
        <f t="shared" si="53"/>
        <v>-113829.88858131488</v>
      </c>
      <c r="S174" s="61">
        <f t="shared" si="13"/>
        <v>0.74338935239176762</v>
      </c>
      <c r="T174" s="80"/>
      <c r="U174" s="59">
        <f>IF(D174=0,0,SUM($L$20:L174))</f>
        <v>28685479.461591743</v>
      </c>
      <c r="V174" s="59">
        <f>IF(D174=0,0,SUM($J$20:J174))</f>
        <v>29616239</v>
      </c>
      <c r="W174" s="63">
        <f t="shared" si="54"/>
        <v>930759.53840825707</v>
      </c>
      <c r="X174" s="61">
        <f t="shared" si="15"/>
        <v>1.0324470622725512</v>
      </c>
      <c r="Y174" s="145"/>
      <c r="Z174" s="196">
        <f t="shared" si="60"/>
        <v>45446</v>
      </c>
      <c r="AA174" s="197">
        <f t="shared" si="60"/>
        <v>45446</v>
      </c>
      <c r="AB174" s="1"/>
      <c r="AC174" s="1"/>
      <c r="AD174" s="1"/>
      <c r="AE174" s="1"/>
      <c r="AF174" s="145"/>
      <c r="AG174" s="198">
        <f t="shared" si="59"/>
        <v>71</v>
      </c>
      <c r="AH174" s="145"/>
      <c r="AI174" s="145"/>
      <c r="AJ174" s="145"/>
      <c r="AK174" s="145"/>
      <c r="AL174" s="145"/>
      <c r="AM174" s="145"/>
      <c r="AN174" s="145"/>
    </row>
    <row r="175" spans="1:40" ht="20">
      <c r="A175" s="145"/>
      <c r="B175" s="152"/>
      <c r="C175" s="50">
        <f t="shared" si="55"/>
        <v>156</v>
      </c>
      <c r="D175" s="51">
        <v>1</v>
      </c>
      <c r="E175" s="187" t="str">
        <f t="shared" si="8"/>
        <v>6</v>
      </c>
      <c r="F175" s="188">
        <f t="shared" si="56"/>
        <v>45447</v>
      </c>
      <c r="G175" s="189" t="str">
        <f t="shared" si="57"/>
        <v>Tue</v>
      </c>
      <c r="H175" s="190"/>
      <c r="I175" s="200"/>
      <c r="J175" s="201">
        <v>219100</v>
      </c>
      <c r="K175" s="202"/>
      <c r="L175" s="59">
        <f t="shared" si="61"/>
        <v>221794.94429065744</v>
      </c>
      <c r="M175" s="60">
        <f t="shared" si="52"/>
        <v>-2694.9442906574404</v>
      </c>
      <c r="N175" s="61">
        <f t="shared" si="11"/>
        <v>0.98784938809459166</v>
      </c>
      <c r="O175" s="194"/>
      <c r="P175" s="106">
        <f>IF(D175=0,0,SUM($L$172:L175))</f>
        <v>665384.83287197235</v>
      </c>
      <c r="Q175" s="59">
        <f>IF(D175=0,0,SUM($J$172:J175))</f>
        <v>548860</v>
      </c>
      <c r="R175" s="63">
        <f t="shared" si="53"/>
        <v>-116524.83287197235</v>
      </c>
      <c r="S175" s="61">
        <f t="shared" si="13"/>
        <v>0.82487603095937556</v>
      </c>
      <c r="T175" s="80"/>
      <c r="U175" s="59">
        <f>IF(D175=0,0,SUM($L$20:L175))</f>
        <v>28907274.4058824</v>
      </c>
      <c r="V175" s="59">
        <f>IF(D175=0,0,SUM($J$20:J175))</f>
        <v>29835339</v>
      </c>
      <c r="W175" s="63">
        <f t="shared" si="54"/>
        <v>928064.59411760047</v>
      </c>
      <c r="X175" s="61">
        <f t="shared" si="15"/>
        <v>1.0321048806292421</v>
      </c>
      <c r="Y175" s="145"/>
      <c r="Z175" s="196">
        <f t="shared" si="60"/>
        <v>45447</v>
      </c>
      <c r="AA175" s="197">
        <f t="shared" si="60"/>
        <v>45447</v>
      </c>
      <c r="AB175" s="1"/>
      <c r="AC175" s="1"/>
      <c r="AD175" s="1"/>
      <c r="AE175" s="1"/>
      <c r="AF175" s="145"/>
      <c r="AG175" s="198">
        <f t="shared" si="59"/>
        <v>72</v>
      </c>
      <c r="AH175" s="145"/>
      <c r="AI175" s="145"/>
      <c r="AJ175" s="145"/>
      <c r="AK175" s="145"/>
      <c r="AL175" s="145"/>
      <c r="AM175" s="145"/>
      <c r="AN175" s="145"/>
    </row>
    <row r="176" spans="1:40" ht="20">
      <c r="A176" s="145"/>
      <c r="B176" s="152"/>
      <c r="C176" s="50">
        <f t="shared" si="55"/>
        <v>157</v>
      </c>
      <c r="D176" s="51">
        <v>1</v>
      </c>
      <c r="E176" s="187" t="str">
        <f t="shared" si="8"/>
        <v>6</v>
      </c>
      <c r="F176" s="188">
        <f t="shared" si="56"/>
        <v>45448</v>
      </c>
      <c r="G176" s="189" t="str">
        <f t="shared" si="57"/>
        <v>Wed</v>
      </c>
      <c r="H176" s="190"/>
      <c r="I176" s="200"/>
      <c r="J176" s="201">
        <v>230880</v>
      </c>
      <c r="K176" s="202"/>
      <c r="L176" s="59">
        <f t="shared" si="61"/>
        <v>221794.94429065744</v>
      </c>
      <c r="M176" s="60">
        <f t="shared" si="52"/>
        <v>9085.0557093425596</v>
      </c>
      <c r="N176" s="61">
        <f t="shared" si="11"/>
        <v>1.040961509462708</v>
      </c>
      <c r="O176" s="194"/>
      <c r="P176" s="106">
        <f>IF(D176=0,0,SUM($L$172:L176))</f>
        <v>887179.77716262976</v>
      </c>
      <c r="Q176" s="59">
        <f>IF(D176=0,0,SUM($J$172:J176))</f>
        <v>779740</v>
      </c>
      <c r="R176" s="63">
        <f t="shared" si="53"/>
        <v>-107439.77716262976</v>
      </c>
      <c r="S176" s="61">
        <f t="shared" si="13"/>
        <v>0.87889740058520871</v>
      </c>
      <c r="T176" s="80"/>
      <c r="U176" s="59">
        <f>IF(D176=0,0,SUM($L$20:L176))</f>
        <v>29129069.350173056</v>
      </c>
      <c r="V176" s="59">
        <f>IF(D176=0,0,SUM($J$20:J176))</f>
        <v>30066219</v>
      </c>
      <c r="W176" s="63">
        <f t="shared" si="54"/>
        <v>937149.64982694387</v>
      </c>
      <c r="X176" s="61">
        <f t="shared" si="15"/>
        <v>1.0321723168893955</v>
      </c>
      <c r="Y176" s="145"/>
      <c r="Z176" s="196">
        <f t="shared" si="60"/>
        <v>45448</v>
      </c>
      <c r="AA176" s="197">
        <f t="shared" si="60"/>
        <v>45448</v>
      </c>
      <c r="AB176" s="1"/>
      <c r="AC176" s="1"/>
      <c r="AD176" s="1"/>
      <c r="AE176" s="1"/>
      <c r="AF176" s="145"/>
      <c r="AG176" s="198">
        <f t="shared" si="59"/>
        <v>73</v>
      </c>
      <c r="AH176" s="145"/>
      <c r="AI176" s="145"/>
      <c r="AJ176" s="145"/>
      <c r="AK176" s="145"/>
      <c r="AL176" s="145"/>
      <c r="AM176" s="145"/>
      <c r="AN176" s="145"/>
    </row>
    <row r="177" spans="1:40" ht="20">
      <c r="A177" s="145"/>
      <c r="B177" s="152"/>
      <c r="C177" s="50">
        <f t="shared" si="55"/>
        <v>158</v>
      </c>
      <c r="D177" s="51">
        <v>1</v>
      </c>
      <c r="E177" s="187" t="str">
        <f t="shared" si="8"/>
        <v>6</v>
      </c>
      <c r="F177" s="188">
        <f t="shared" si="56"/>
        <v>45449</v>
      </c>
      <c r="G177" s="189" t="str">
        <f t="shared" si="57"/>
        <v>Thu</v>
      </c>
      <c r="H177" s="190"/>
      <c r="I177" s="200"/>
      <c r="J177" s="201">
        <v>291780</v>
      </c>
      <c r="K177" s="202"/>
      <c r="L177" s="59">
        <f t="shared" si="61"/>
        <v>221794.94429065744</v>
      </c>
      <c r="M177" s="60">
        <f t="shared" si="52"/>
        <v>69985.05570934256</v>
      </c>
      <c r="N177" s="61">
        <f t="shared" si="11"/>
        <v>1.3155394543963486</v>
      </c>
      <c r="O177" s="194"/>
      <c r="P177" s="106">
        <f>IF(D177=0,0,SUM($L$172:L177))</f>
        <v>1108974.7214532872</v>
      </c>
      <c r="Q177" s="59">
        <f>IF(D177=0,0,SUM($J$172:J177))</f>
        <v>1071520</v>
      </c>
      <c r="R177" s="63">
        <f t="shared" si="53"/>
        <v>-37454.721453287173</v>
      </c>
      <c r="S177" s="61">
        <f t="shared" si="13"/>
        <v>0.96622581134743668</v>
      </c>
      <c r="T177" s="80"/>
      <c r="U177" s="59">
        <f>IF(D177=0,0,SUM($L$20:L177))</f>
        <v>29350864.294463713</v>
      </c>
      <c r="V177" s="59">
        <f>IF(D177=0,0,SUM($J$20:J177))</f>
        <v>30357999</v>
      </c>
      <c r="W177" s="63">
        <f t="shared" si="54"/>
        <v>1007134.7055362873</v>
      </c>
      <c r="X177" s="61">
        <f t="shared" si="15"/>
        <v>1.03431363027106</v>
      </c>
      <c r="Y177" s="145"/>
      <c r="Z177" s="196">
        <f t="shared" si="60"/>
        <v>45449</v>
      </c>
      <c r="AA177" s="197">
        <f t="shared" si="60"/>
        <v>45449</v>
      </c>
      <c r="AB177" s="1"/>
      <c r="AC177" s="1"/>
      <c r="AD177" s="1"/>
      <c r="AE177" s="1"/>
      <c r="AF177" s="145"/>
      <c r="AG177" s="198">
        <f t="shared" si="59"/>
        <v>74</v>
      </c>
      <c r="AH177" s="145"/>
      <c r="AI177" s="145"/>
      <c r="AJ177" s="145"/>
      <c r="AK177" s="145"/>
      <c r="AL177" s="145"/>
      <c r="AM177" s="145"/>
      <c r="AN177" s="145"/>
    </row>
    <row r="178" spans="1:40" ht="20">
      <c r="A178" s="145"/>
      <c r="B178" s="152"/>
      <c r="C178" s="50">
        <f t="shared" si="55"/>
        <v>159</v>
      </c>
      <c r="D178" s="51">
        <v>1</v>
      </c>
      <c r="E178" s="187" t="str">
        <f t="shared" si="8"/>
        <v>6</v>
      </c>
      <c r="F178" s="188">
        <f t="shared" si="56"/>
        <v>45450</v>
      </c>
      <c r="G178" s="189" t="str">
        <f t="shared" si="57"/>
        <v>Fri</v>
      </c>
      <c r="H178" s="190"/>
      <c r="I178" s="200"/>
      <c r="J178" s="201">
        <v>328700</v>
      </c>
      <c r="K178" s="202"/>
      <c r="L178" s="59">
        <f t="shared" si="61"/>
        <v>221794.94429065744</v>
      </c>
      <c r="M178" s="60">
        <f t="shared" si="52"/>
        <v>106905.05570934256</v>
      </c>
      <c r="N178" s="61">
        <f t="shared" si="11"/>
        <v>1.4819995155942141</v>
      </c>
      <c r="O178" s="194"/>
      <c r="P178" s="106">
        <f>IF(D178=0,0,SUM($L$172:L178))</f>
        <v>1330769.6657439447</v>
      </c>
      <c r="Q178" s="59">
        <f>IF(D178=0,0,SUM($J$172:J178))</f>
        <v>1400220</v>
      </c>
      <c r="R178" s="63">
        <f t="shared" si="53"/>
        <v>69450.334256055299</v>
      </c>
      <c r="S178" s="61">
        <f t="shared" si="13"/>
        <v>1.0521880953885661</v>
      </c>
      <c r="T178" s="80"/>
      <c r="U178" s="59">
        <f>IF(D178=0,0,SUM($L$20:L178))</f>
        <v>29572659.238754369</v>
      </c>
      <c r="V178" s="59">
        <f>IF(D178=0,0,SUM($J$20:J178))</f>
        <v>30686699</v>
      </c>
      <c r="W178" s="63">
        <f t="shared" si="54"/>
        <v>1114039.7612456307</v>
      </c>
      <c r="X178" s="61">
        <f t="shared" si="15"/>
        <v>1.0376712744109837</v>
      </c>
      <c r="Y178" s="145"/>
      <c r="Z178" s="196">
        <f t="shared" si="60"/>
        <v>45450</v>
      </c>
      <c r="AA178" s="197">
        <f t="shared" si="60"/>
        <v>45450</v>
      </c>
      <c r="AB178" s="1"/>
      <c r="AC178" s="1"/>
      <c r="AD178" s="1"/>
      <c r="AE178" s="1"/>
      <c r="AF178" s="145"/>
      <c r="AG178" s="198">
        <f t="shared" si="59"/>
        <v>75</v>
      </c>
      <c r="AH178" s="145"/>
      <c r="AI178" s="145"/>
      <c r="AJ178" s="145"/>
      <c r="AK178" s="145"/>
      <c r="AL178" s="145"/>
      <c r="AM178" s="145"/>
      <c r="AN178" s="145"/>
    </row>
    <row r="179" spans="1:40" ht="20">
      <c r="A179" s="145"/>
      <c r="B179" s="152"/>
      <c r="C179" s="50">
        <f t="shared" si="55"/>
        <v>160</v>
      </c>
      <c r="D179" s="51">
        <v>1</v>
      </c>
      <c r="E179" s="187" t="str">
        <f t="shared" si="8"/>
        <v>6</v>
      </c>
      <c r="F179" s="188">
        <f t="shared" si="56"/>
        <v>45451</v>
      </c>
      <c r="G179" s="189" t="str">
        <f t="shared" si="57"/>
        <v>Sat</v>
      </c>
      <c r="H179" s="190"/>
      <c r="I179" s="200"/>
      <c r="J179" s="201">
        <v>102350</v>
      </c>
      <c r="K179" s="202"/>
      <c r="L179" s="59">
        <f t="shared" si="61"/>
        <v>221794.94429065744</v>
      </c>
      <c r="M179" s="60">
        <f t="shared" si="52"/>
        <v>-119444.94429065744</v>
      </c>
      <c r="N179" s="61">
        <f t="shared" si="11"/>
        <v>0.46146227691228414</v>
      </c>
      <c r="O179" s="194"/>
      <c r="P179" s="106">
        <f>IF(D179=0,0,SUM($L$172:L179))</f>
        <v>1552564.6100346022</v>
      </c>
      <c r="Q179" s="59">
        <f>IF(D179=0,0,SUM($J$172:J179))</f>
        <v>1502570</v>
      </c>
      <c r="R179" s="63">
        <f t="shared" si="53"/>
        <v>-49994.610034602229</v>
      </c>
      <c r="S179" s="61">
        <f t="shared" si="13"/>
        <v>0.96779869274909724</v>
      </c>
      <c r="T179" s="81"/>
      <c r="U179" s="59">
        <f>IF(D179=0,0,SUM($L$20:L179))</f>
        <v>29794454.183045026</v>
      </c>
      <c r="V179" s="59">
        <f>IF(D179=0,0,SUM($J$20:J179))</f>
        <v>30789049</v>
      </c>
      <c r="W179" s="63">
        <f t="shared" si="54"/>
        <v>994594.81695497409</v>
      </c>
      <c r="X179" s="61">
        <f t="shared" si="15"/>
        <v>1.0333818774072714</v>
      </c>
      <c r="Y179" s="145"/>
      <c r="Z179" s="196">
        <f t="shared" si="60"/>
        <v>45451</v>
      </c>
      <c r="AA179" s="197">
        <f t="shared" si="60"/>
        <v>45451</v>
      </c>
      <c r="AB179" s="1"/>
      <c r="AC179" s="1"/>
      <c r="AD179" s="1"/>
      <c r="AE179" s="1"/>
      <c r="AF179" s="145"/>
      <c r="AG179" s="198">
        <f t="shared" si="59"/>
        <v>76</v>
      </c>
      <c r="AH179" s="145"/>
      <c r="AI179" s="145"/>
      <c r="AJ179" s="145"/>
      <c r="AK179" s="145"/>
      <c r="AL179" s="145"/>
      <c r="AM179" s="145"/>
      <c r="AN179" s="145"/>
    </row>
    <row r="180" spans="1:40" ht="20">
      <c r="A180" s="145"/>
      <c r="B180" s="152"/>
      <c r="C180" s="50">
        <f t="shared" si="55"/>
        <v>161</v>
      </c>
      <c r="D180" s="51">
        <v>0</v>
      </c>
      <c r="E180" s="187" t="str">
        <f t="shared" si="8"/>
        <v>6</v>
      </c>
      <c r="F180" s="188">
        <f t="shared" si="56"/>
        <v>45452</v>
      </c>
      <c r="G180" s="189" t="str">
        <f t="shared" si="57"/>
        <v>Sun</v>
      </c>
      <c r="H180" s="190" t="s">
        <v>58</v>
      </c>
      <c r="I180" s="200"/>
      <c r="J180" s="201">
        <v>0</v>
      </c>
      <c r="K180" s="202"/>
      <c r="L180" s="59">
        <f t="shared" si="61"/>
        <v>0</v>
      </c>
      <c r="M180" s="60">
        <f t="shared" si="52"/>
        <v>0</v>
      </c>
      <c r="N180" s="61" t="str">
        <f t="shared" si="11"/>
        <v>0%</v>
      </c>
      <c r="O180" s="194"/>
      <c r="P180" s="106">
        <f>IF(D180=0,0,SUM($L$172:L180))</f>
        <v>0</v>
      </c>
      <c r="Q180" s="59">
        <f>IF(D180=0,0,SUM($J$172:J180))</f>
        <v>0</v>
      </c>
      <c r="R180" s="63">
        <f t="shared" si="53"/>
        <v>0</v>
      </c>
      <c r="S180" s="61" t="str">
        <f t="shared" si="13"/>
        <v>0%</v>
      </c>
      <c r="T180" s="80"/>
      <c r="U180" s="59">
        <f>IF(D180=0,0,SUM($L$20:L180))</f>
        <v>0</v>
      </c>
      <c r="V180" s="59">
        <f>IF(D180=0,0,SUM($J$20:J180))</f>
        <v>0</v>
      </c>
      <c r="W180" s="63">
        <f t="shared" si="54"/>
        <v>0</v>
      </c>
      <c r="X180" s="61" t="str">
        <f t="shared" si="15"/>
        <v>0%</v>
      </c>
      <c r="Y180" s="145"/>
      <c r="Z180" s="196">
        <f t="shared" si="60"/>
        <v>45452</v>
      </c>
      <c r="AA180" s="197">
        <f t="shared" si="60"/>
        <v>45452</v>
      </c>
      <c r="AB180" s="1"/>
      <c r="AC180" s="1"/>
      <c r="AD180" s="1"/>
      <c r="AE180" s="1"/>
      <c r="AF180" s="145"/>
      <c r="AG180" s="198">
        <f t="shared" si="59"/>
        <v>77</v>
      </c>
      <c r="AH180" s="145"/>
      <c r="AI180" s="145"/>
      <c r="AJ180" s="145"/>
      <c r="AK180" s="145"/>
      <c r="AL180" s="145"/>
      <c r="AM180" s="145"/>
      <c r="AN180" s="145"/>
    </row>
    <row r="181" spans="1:40" ht="20">
      <c r="A181" s="145"/>
      <c r="B181" s="152"/>
      <c r="C181" s="50">
        <f t="shared" si="55"/>
        <v>162</v>
      </c>
      <c r="D181" s="51">
        <v>1</v>
      </c>
      <c r="E181" s="187" t="str">
        <f t="shared" si="8"/>
        <v>6</v>
      </c>
      <c r="F181" s="188">
        <f t="shared" si="56"/>
        <v>45453</v>
      </c>
      <c r="G181" s="189" t="str">
        <f t="shared" si="57"/>
        <v>Mon</v>
      </c>
      <c r="H181" s="190"/>
      <c r="I181" s="200"/>
      <c r="J181" s="201">
        <v>100700</v>
      </c>
      <c r="K181" s="202"/>
      <c r="L181" s="59">
        <f t="shared" si="61"/>
        <v>221794.94429065744</v>
      </c>
      <c r="M181" s="60">
        <f t="shared" si="52"/>
        <v>-121094.94429065744</v>
      </c>
      <c r="N181" s="61">
        <f t="shared" si="11"/>
        <v>0.45402297298551064</v>
      </c>
      <c r="O181" s="194"/>
      <c r="P181" s="106">
        <f>IF(D181=0,0,SUM($L$172:L181))</f>
        <v>1774359.5543252598</v>
      </c>
      <c r="Q181" s="59">
        <f>IF(D181=0,0,SUM($J$172:J181))</f>
        <v>1603270</v>
      </c>
      <c r="R181" s="63">
        <f t="shared" si="53"/>
        <v>-171089.55432525976</v>
      </c>
      <c r="S181" s="61">
        <f t="shared" si="13"/>
        <v>0.90357672777864884</v>
      </c>
      <c r="T181" s="80"/>
      <c r="U181" s="59">
        <f>IF(D181=0,0,SUM($L$20:L181))</f>
        <v>30016249.127335683</v>
      </c>
      <c r="V181" s="59">
        <f>IF(D181=0,0,SUM($J$20:J181))</f>
        <v>30889749</v>
      </c>
      <c r="W181" s="63">
        <f t="shared" si="54"/>
        <v>873499.87266431749</v>
      </c>
      <c r="X181" s="61">
        <f t="shared" si="15"/>
        <v>1.0291009002810023</v>
      </c>
      <c r="Y181" s="145"/>
      <c r="Z181" s="196">
        <f t="shared" ref="Z181:AA196" si="62">Z180+1</f>
        <v>45453</v>
      </c>
      <c r="AA181" s="197">
        <f t="shared" si="62"/>
        <v>45453</v>
      </c>
      <c r="AB181" s="1"/>
      <c r="AC181" s="1"/>
      <c r="AD181" s="1"/>
      <c r="AE181" s="1"/>
      <c r="AF181" s="145"/>
      <c r="AG181" s="198">
        <f t="shared" si="59"/>
        <v>78</v>
      </c>
      <c r="AH181" s="145"/>
      <c r="AI181" s="145"/>
      <c r="AJ181" s="145"/>
      <c r="AK181" s="145"/>
      <c r="AL181" s="145"/>
      <c r="AM181" s="145"/>
      <c r="AN181" s="145"/>
    </row>
    <row r="182" spans="1:40" ht="20">
      <c r="A182" s="145"/>
      <c r="B182" s="152"/>
      <c r="C182" s="50">
        <f t="shared" si="55"/>
        <v>163</v>
      </c>
      <c r="D182" s="51">
        <v>1</v>
      </c>
      <c r="E182" s="187" t="str">
        <f t="shared" si="8"/>
        <v>6</v>
      </c>
      <c r="F182" s="188">
        <f t="shared" si="56"/>
        <v>45454</v>
      </c>
      <c r="G182" s="189" t="str">
        <f t="shared" si="57"/>
        <v>Tue</v>
      </c>
      <c r="H182" s="190"/>
      <c r="I182" s="200"/>
      <c r="J182" s="201">
        <v>164750</v>
      </c>
      <c r="K182" s="202"/>
      <c r="L182" s="59">
        <f t="shared" si="61"/>
        <v>221794.94429065744</v>
      </c>
      <c r="M182" s="60">
        <f t="shared" si="52"/>
        <v>-57044.94429065744</v>
      </c>
      <c r="N182" s="61">
        <f t="shared" si="11"/>
        <v>0.74280322541571875</v>
      </c>
      <c r="O182" s="194"/>
      <c r="P182" s="106">
        <f>IF(D182=0,0,SUM($L$172:L182))</f>
        <v>1996154.4986159173</v>
      </c>
      <c r="Q182" s="59">
        <f>IF(D182=0,0,SUM($J$172:J182))</f>
        <v>1768020</v>
      </c>
      <c r="R182" s="63">
        <f t="shared" si="53"/>
        <v>-228134.49861591728</v>
      </c>
      <c r="S182" s="61">
        <f t="shared" si="13"/>
        <v>0.88571300529387886</v>
      </c>
      <c r="T182" s="80"/>
      <c r="U182" s="59">
        <f>IF(D182=0,0,SUM($L$20:L182))</f>
        <v>30238044.071626339</v>
      </c>
      <c r="V182" s="59">
        <f>IF(D182=0,0,SUM($J$20:J182))</f>
        <v>31054499</v>
      </c>
      <c r="W182" s="63">
        <f t="shared" si="54"/>
        <v>816454.92837366089</v>
      </c>
      <c r="X182" s="61">
        <f t="shared" si="15"/>
        <v>1.0270009173357801</v>
      </c>
      <c r="Y182" s="145"/>
      <c r="Z182" s="196">
        <f t="shared" si="62"/>
        <v>45454</v>
      </c>
      <c r="AA182" s="197">
        <f t="shared" si="62"/>
        <v>45454</v>
      </c>
      <c r="AB182" s="1"/>
      <c r="AC182" s="1"/>
      <c r="AD182" s="1"/>
      <c r="AE182" s="1"/>
      <c r="AF182" s="145"/>
      <c r="AG182" s="198">
        <f t="shared" si="59"/>
        <v>79</v>
      </c>
      <c r="AH182" s="145"/>
      <c r="AI182" s="145"/>
      <c r="AJ182" s="145"/>
      <c r="AK182" s="145"/>
      <c r="AL182" s="145"/>
      <c r="AM182" s="145"/>
      <c r="AN182" s="145"/>
    </row>
    <row r="183" spans="1:40" ht="20">
      <c r="A183" s="145"/>
      <c r="B183" s="152"/>
      <c r="C183" s="50">
        <f t="shared" si="55"/>
        <v>164</v>
      </c>
      <c r="D183" s="51">
        <v>1</v>
      </c>
      <c r="E183" s="187" t="str">
        <f t="shared" si="8"/>
        <v>6</v>
      </c>
      <c r="F183" s="188">
        <f t="shared" si="56"/>
        <v>45455</v>
      </c>
      <c r="G183" s="189" t="str">
        <f t="shared" si="57"/>
        <v>Wed</v>
      </c>
      <c r="H183" s="190"/>
      <c r="I183" s="200"/>
      <c r="J183" s="201">
        <v>363500</v>
      </c>
      <c r="K183" s="202"/>
      <c r="L183" s="59">
        <f t="shared" si="61"/>
        <v>221794.94429065744</v>
      </c>
      <c r="M183" s="60">
        <f t="shared" si="52"/>
        <v>141705.05570934256</v>
      </c>
      <c r="N183" s="61">
        <f t="shared" si="11"/>
        <v>1.6389011984134372</v>
      </c>
      <c r="O183" s="194"/>
      <c r="P183" s="106">
        <f>IF(D183=0,0,SUM($L$172:L183))</f>
        <v>2217949.4429065748</v>
      </c>
      <c r="Q183" s="59">
        <f>IF(D183=0,0,SUM($J$172:J183))</f>
        <v>2131520</v>
      </c>
      <c r="R183" s="63">
        <f t="shared" si="53"/>
        <v>-86429.442906574812</v>
      </c>
      <c r="S183" s="61">
        <f t="shared" si="13"/>
        <v>0.96103182460583458</v>
      </c>
      <c r="T183" s="80"/>
      <c r="U183" s="59">
        <f>IF(D183=0,0,SUM($L$20:L183))</f>
        <v>30459839.015916996</v>
      </c>
      <c r="V183" s="59">
        <f>IF(D183=0,0,SUM($J$20:J183))</f>
        <v>31417999</v>
      </c>
      <c r="W183" s="63">
        <f t="shared" si="54"/>
        <v>958159.9840830043</v>
      </c>
      <c r="X183" s="61">
        <f t="shared" si="15"/>
        <v>1.0314565019067341</v>
      </c>
      <c r="Y183" s="145"/>
      <c r="Z183" s="196">
        <f t="shared" si="62"/>
        <v>45455</v>
      </c>
      <c r="AA183" s="197">
        <f t="shared" si="62"/>
        <v>45455</v>
      </c>
      <c r="AB183" s="1"/>
      <c r="AC183" s="1"/>
      <c r="AD183" s="1"/>
      <c r="AE183" s="1"/>
      <c r="AF183" s="145"/>
      <c r="AG183" s="198">
        <f t="shared" si="59"/>
        <v>80</v>
      </c>
      <c r="AH183" s="145"/>
      <c r="AI183" s="145"/>
      <c r="AJ183" s="145"/>
      <c r="AK183" s="145"/>
      <c r="AL183" s="145"/>
      <c r="AM183" s="145"/>
      <c r="AN183" s="145"/>
    </row>
    <row r="184" spans="1:40" ht="20">
      <c r="A184" s="145"/>
      <c r="B184" s="152"/>
      <c r="C184" s="50">
        <f t="shared" si="55"/>
        <v>165</v>
      </c>
      <c r="D184" s="51">
        <v>1</v>
      </c>
      <c r="E184" s="187" t="str">
        <f t="shared" si="8"/>
        <v>6</v>
      </c>
      <c r="F184" s="188">
        <f t="shared" si="56"/>
        <v>45456</v>
      </c>
      <c r="G184" s="189" t="str">
        <f t="shared" si="57"/>
        <v>Thu</v>
      </c>
      <c r="H184" s="190"/>
      <c r="I184" s="200"/>
      <c r="J184" s="201">
        <v>336300</v>
      </c>
      <c r="K184" s="202"/>
      <c r="L184" s="59">
        <f t="shared" si="61"/>
        <v>221794.94429065744</v>
      </c>
      <c r="M184" s="60">
        <f t="shared" si="52"/>
        <v>114505.05570934256</v>
      </c>
      <c r="N184" s="61">
        <f t="shared" si="11"/>
        <v>1.5162654003478375</v>
      </c>
      <c r="O184" s="194"/>
      <c r="P184" s="106">
        <f>IF(D184=0,0,SUM($L$172:L184))</f>
        <v>2439744.3871972323</v>
      </c>
      <c r="Q184" s="59">
        <f>IF(D184=0,0,SUM($J$172:J184))</f>
        <v>2467820</v>
      </c>
      <c r="R184" s="63">
        <f t="shared" si="53"/>
        <v>28075.61280276766</v>
      </c>
      <c r="S184" s="61">
        <f t="shared" si="13"/>
        <v>1.0115076042187439</v>
      </c>
      <c r="T184" s="80"/>
      <c r="U184" s="59">
        <f>IF(D184=0,0,SUM($L$20:L184))</f>
        <v>30681633.960207652</v>
      </c>
      <c r="V184" s="59">
        <f>IF(D184=0,0,SUM($J$20:J184))</f>
        <v>31754299</v>
      </c>
      <c r="W184" s="63">
        <f t="shared" si="54"/>
        <v>1072665.0397923477</v>
      </c>
      <c r="X184" s="61">
        <f t="shared" si="15"/>
        <v>1.0349611445460674</v>
      </c>
      <c r="Y184" s="145"/>
      <c r="Z184" s="196">
        <f t="shared" si="62"/>
        <v>45456</v>
      </c>
      <c r="AA184" s="197">
        <f t="shared" si="62"/>
        <v>45456</v>
      </c>
      <c r="AB184" s="1"/>
      <c r="AC184" s="1"/>
      <c r="AD184" s="1"/>
      <c r="AE184" s="1"/>
      <c r="AF184" s="145"/>
      <c r="AG184" s="198">
        <f t="shared" si="59"/>
        <v>81</v>
      </c>
      <c r="AH184" s="145"/>
      <c r="AI184" s="145"/>
      <c r="AJ184" s="145"/>
      <c r="AK184" s="145"/>
      <c r="AL184" s="145"/>
      <c r="AM184" s="145"/>
      <c r="AN184" s="145"/>
    </row>
    <row r="185" spans="1:40" ht="20">
      <c r="A185" s="145"/>
      <c r="B185" s="152"/>
      <c r="C185" s="50">
        <f t="shared" si="55"/>
        <v>166</v>
      </c>
      <c r="D185" s="51">
        <v>1</v>
      </c>
      <c r="E185" s="187" t="str">
        <f t="shared" si="8"/>
        <v>6</v>
      </c>
      <c r="F185" s="188">
        <f t="shared" si="56"/>
        <v>45457</v>
      </c>
      <c r="G185" s="189" t="str">
        <f t="shared" si="57"/>
        <v>Fri</v>
      </c>
      <c r="H185" s="190"/>
      <c r="I185" s="200"/>
      <c r="J185" s="201">
        <v>362500</v>
      </c>
      <c r="K185" s="202"/>
      <c r="L185" s="59">
        <f t="shared" si="61"/>
        <v>221794.94429065744</v>
      </c>
      <c r="M185" s="60">
        <f t="shared" si="52"/>
        <v>140705.05570934256</v>
      </c>
      <c r="N185" s="61">
        <f t="shared" si="11"/>
        <v>1.6343925293669077</v>
      </c>
      <c r="O185" s="194"/>
      <c r="P185" s="106">
        <f>IF(D185=0,0,SUM($L$172:L185))</f>
        <v>2661539.3314878899</v>
      </c>
      <c r="Q185" s="59">
        <f>IF(D185=0,0,SUM($J$172:J185))</f>
        <v>2830320</v>
      </c>
      <c r="R185" s="63">
        <f t="shared" si="53"/>
        <v>168780.66851211013</v>
      </c>
      <c r="S185" s="61">
        <f t="shared" si="13"/>
        <v>1.0634146813144243</v>
      </c>
      <c r="T185" s="80"/>
      <c r="U185" s="59">
        <f>IF(D185=0,0,SUM($L$20:L185))</f>
        <v>30903428.904498309</v>
      </c>
      <c r="V185" s="59">
        <f>IF(D185=0,0,SUM($J$20:J185))</f>
        <v>32116799</v>
      </c>
      <c r="W185" s="63">
        <f t="shared" si="54"/>
        <v>1213370.0955016911</v>
      </c>
      <c r="X185" s="61">
        <f t="shared" si="15"/>
        <v>1.0392632836715758</v>
      </c>
      <c r="Y185" s="145"/>
      <c r="Z185" s="196">
        <f t="shared" si="62"/>
        <v>45457</v>
      </c>
      <c r="AA185" s="197">
        <f t="shared" si="62"/>
        <v>45457</v>
      </c>
      <c r="AB185" s="1"/>
      <c r="AC185" s="1"/>
      <c r="AD185" s="1"/>
      <c r="AE185" s="1"/>
      <c r="AF185" s="145"/>
      <c r="AG185" s="198">
        <f t="shared" si="59"/>
        <v>82</v>
      </c>
      <c r="AH185" s="145"/>
      <c r="AI185" s="145"/>
      <c r="AJ185" s="145"/>
      <c r="AK185" s="145"/>
      <c r="AL185" s="145"/>
      <c r="AM185" s="145"/>
      <c r="AN185" s="145"/>
    </row>
    <row r="186" spans="1:40" ht="20">
      <c r="A186" s="145"/>
      <c r="B186" s="152"/>
      <c r="C186" s="50">
        <f t="shared" si="55"/>
        <v>167</v>
      </c>
      <c r="D186" s="51">
        <v>1</v>
      </c>
      <c r="E186" s="187" t="str">
        <f t="shared" si="8"/>
        <v>6</v>
      </c>
      <c r="F186" s="188">
        <f t="shared" si="56"/>
        <v>45458</v>
      </c>
      <c r="G186" s="189" t="str">
        <f t="shared" si="57"/>
        <v>Sat</v>
      </c>
      <c r="H186" s="190"/>
      <c r="I186" s="200"/>
      <c r="J186" s="201">
        <v>161770</v>
      </c>
      <c r="K186" s="202"/>
      <c r="L186" s="59">
        <f t="shared" si="61"/>
        <v>221794.94429065744</v>
      </c>
      <c r="M186" s="60">
        <f t="shared" si="52"/>
        <v>-60024.94429065744</v>
      </c>
      <c r="N186" s="61">
        <f t="shared" si="11"/>
        <v>0.7293673916570611</v>
      </c>
      <c r="O186" s="194"/>
      <c r="P186" s="106">
        <f>IF(D186=0,0,SUM($L$172:L186))</f>
        <v>2883334.2757785474</v>
      </c>
      <c r="Q186" s="59">
        <f>IF(D186=0,0,SUM($J$172:J186))</f>
        <v>2992090</v>
      </c>
      <c r="R186" s="63">
        <f t="shared" si="53"/>
        <v>108755.7242214526</v>
      </c>
      <c r="S186" s="61">
        <f t="shared" si="13"/>
        <v>1.0377187359561655</v>
      </c>
      <c r="T186" s="81"/>
      <c r="U186" s="59">
        <f>IF(D186=0,0,SUM($L$20:L186))</f>
        <v>31125223.848788965</v>
      </c>
      <c r="V186" s="59">
        <f>IF(D186=0,0,SUM($J$20:J186))</f>
        <v>32278569</v>
      </c>
      <c r="W186" s="63">
        <f t="shared" si="54"/>
        <v>1153345.1512110345</v>
      </c>
      <c r="X186" s="61">
        <f t="shared" si="15"/>
        <v>1.0370549994054392</v>
      </c>
      <c r="Y186" s="145"/>
      <c r="Z186" s="196">
        <f t="shared" si="62"/>
        <v>45458</v>
      </c>
      <c r="AA186" s="197">
        <f t="shared" si="62"/>
        <v>45458</v>
      </c>
      <c r="AB186" s="1"/>
      <c r="AC186" s="1"/>
      <c r="AD186" s="1"/>
      <c r="AE186" s="1"/>
      <c r="AF186" s="145"/>
      <c r="AG186" s="198">
        <f t="shared" si="59"/>
        <v>83</v>
      </c>
      <c r="AH186" s="145"/>
      <c r="AI186" s="145"/>
      <c r="AJ186" s="145"/>
      <c r="AK186" s="145"/>
      <c r="AL186" s="145"/>
      <c r="AM186" s="145"/>
      <c r="AN186" s="145"/>
    </row>
    <row r="187" spans="1:40" ht="20">
      <c r="A187" s="145"/>
      <c r="B187" s="152"/>
      <c r="C187" s="50">
        <f t="shared" si="55"/>
        <v>168</v>
      </c>
      <c r="D187" s="51">
        <v>0</v>
      </c>
      <c r="E187" s="187" t="str">
        <f t="shared" si="8"/>
        <v>6</v>
      </c>
      <c r="F187" s="188">
        <f t="shared" si="56"/>
        <v>45459</v>
      </c>
      <c r="G187" s="189" t="str">
        <f t="shared" si="57"/>
        <v>Sun</v>
      </c>
      <c r="H187" s="190" t="s">
        <v>58</v>
      </c>
      <c r="I187" s="200"/>
      <c r="J187" s="201">
        <v>0</v>
      </c>
      <c r="K187" s="202"/>
      <c r="L187" s="59">
        <f t="shared" si="61"/>
        <v>0</v>
      </c>
      <c r="M187" s="60">
        <f t="shared" si="52"/>
        <v>0</v>
      </c>
      <c r="N187" s="61" t="str">
        <f t="shared" si="11"/>
        <v>0%</v>
      </c>
      <c r="O187" s="194"/>
      <c r="P187" s="106">
        <f>IF(D187=0,0,SUM($L$172:L187))</f>
        <v>0</v>
      </c>
      <c r="Q187" s="59">
        <f>IF(D187=0,0,SUM($J$172:J187))</f>
        <v>0</v>
      </c>
      <c r="R187" s="63">
        <f t="shared" si="53"/>
        <v>0</v>
      </c>
      <c r="S187" s="61" t="str">
        <f t="shared" si="13"/>
        <v>0%</v>
      </c>
      <c r="T187" s="80"/>
      <c r="U187" s="59">
        <f>IF(D187=0,0,SUM($L$20:L187))</f>
        <v>0</v>
      </c>
      <c r="V187" s="59">
        <f>IF(D187=0,0,SUM($J$20:J187))</f>
        <v>0</v>
      </c>
      <c r="W187" s="63">
        <f t="shared" si="54"/>
        <v>0</v>
      </c>
      <c r="X187" s="61" t="str">
        <f t="shared" si="15"/>
        <v>0%</v>
      </c>
      <c r="Y187" s="145"/>
      <c r="Z187" s="196">
        <f t="shared" si="62"/>
        <v>45459</v>
      </c>
      <c r="AA187" s="197">
        <f t="shared" si="62"/>
        <v>45459</v>
      </c>
      <c r="AB187" s="1"/>
      <c r="AC187" s="1"/>
      <c r="AD187" s="1"/>
      <c r="AE187" s="1"/>
      <c r="AF187" s="145"/>
      <c r="AG187" s="198">
        <f t="shared" si="59"/>
        <v>84</v>
      </c>
      <c r="AH187" s="145"/>
      <c r="AI187" s="145"/>
      <c r="AJ187" s="145"/>
      <c r="AK187" s="145"/>
      <c r="AL187" s="145"/>
      <c r="AM187" s="145"/>
      <c r="AN187" s="145"/>
    </row>
    <row r="188" spans="1:40" ht="20">
      <c r="A188" s="145"/>
      <c r="B188" s="152"/>
      <c r="C188" s="50">
        <f t="shared" si="55"/>
        <v>169</v>
      </c>
      <c r="D188" s="51">
        <v>1</v>
      </c>
      <c r="E188" s="187" t="str">
        <f t="shared" si="8"/>
        <v>6</v>
      </c>
      <c r="F188" s="188">
        <f t="shared" si="56"/>
        <v>45460</v>
      </c>
      <c r="G188" s="189" t="str">
        <f t="shared" si="57"/>
        <v>Mon</v>
      </c>
      <c r="H188" s="190"/>
      <c r="I188" s="200"/>
      <c r="J188" s="201">
        <v>208260</v>
      </c>
      <c r="K188" s="202"/>
      <c r="L188" s="59">
        <f t="shared" si="61"/>
        <v>221794.94429065744</v>
      </c>
      <c r="M188" s="60">
        <f t="shared" si="52"/>
        <v>-13534.94429065744</v>
      </c>
      <c r="N188" s="61">
        <f t="shared" si="11"/>
        <v>0.93897541563021292</v>
      </c>
      <c r="O188" s="194"/>
      <c r="P188" s="106">
        <f>IF(D188=0,0,SUM($L$172:L188))</f>
        <v>3105129.2200692049</v>
      </c>
      <c r="Q188" s="59">
        <f>IF(D188=0,0,SUM($J$172:J188))</f>
        <v>3200350</v>
      </c>
      <c r="R188" s="63">
        <f t="shared" si="53"/>
        <v>95220.779930795077</v>
      </c>
      <c r="S188" s="61">
        <f t="shared" si="13"/>
        <v>1.0306656416471689</v>
      </c>
      <c r="T188" s="80"/>
      <c r="U188" s="59">
        <f>IF(D188=0,0,SUM($L$20:L188))</f>
        <v>31347018.793079622</v>
      </c>
      <c r="V188" s="59">
        <f>IF(D188=0,0,SUM($J$20:J188))</f>
        <v>32486829</v>
      </c>
      <c r="W188" s="63">
        <f t="shared" si="54"/>
        <v>1139810.2069203779</v>
      </c>
      <c r="X188" s="61">
        <f t="shared" si="15"/>
        <v>1.0363610400862748</v>
      </c>
      <c r="Y188" s="145"/>
      <c r="Z188" s="196">
        <f t="shared" si="62"/>
        <v>45460</v>
      </c>
      <c r="AA188" s="197">
        <f t="shared" si="62"/>
        <v>45460</v>
      </c>
      <c r="AB188" s="1"/>
      <c r="AC188" s="1"/>
      <c r="AD188" s="1"/>
      <c r="AE188" s="1"/>
      <c r="AF188" s="145"/>
      <c r="AG188" s="198">
        <f t="shared" si="59"/>
        <v>85</v>
      </c>
      <c r="AH188" s="145"/>
      <c r="AI188" s="145"/>
      <c r="AJ188" s="145"/>
      <c r="AK188" s="145"/>
      <c r="AL188" s="145"/>
      <c r="AM188" s="145"/>
      <c r="AN188" s="145"/>
    </row>
    <row r="189" spans="1:40" ht="20">
      <c r="A189" s="145"/>
      <c r="B189" s="152"/>
      <c r="C189" s="50">
        <f t="shared" si="55"/>
        <v>170</v>
      </c>
      <c r="D189" s="51">
        <v>1</v>
      </c>
      <c r="E189" s="187" t="str">
        <f t="shared" si="8"/>
        <v>6</v>
      </c>
      <c r="F189" s="188">
        <f t="shared" si="56"/>
        <v>45461</v>
      </c>
      <c r="G189" s="189" t="str">
        <f t="shared" si="57"/>
        <v>Tue</v>
      </c>
      <c r="H189" s="190"/>
      <c r="I189" s="200"/>
      <c r="J189" s="201">
        <v>332500</v>
      </c>
      <c r="K189" s="202"/>
      <c r="L189" s="59">
        <f t="shared" si="61"/>
        <v>221794.94429065744</v>
      </c>
      <c r="M189" s="60">
        <f t="shared" si="52"/>
        <v>110705.05570934256</v>
      </c>
      <c r="N189" s="61">
        <f t="shared" si="11"/>
        <v>1.4991324579710257</v>
      </c>
      <c r="O189" s="194"/>
      <c r="P189" s="106">
        <f>IF(D189=0,0,SUM($L$172:L189))</f>
        <v>3326924.1643598625</v>
      </c>
      <c r="Q189" s="59">
        <f>IF(D189=0,0,SUM($J$172:J189))</f>
        <v>3532850</v>
      </c>
      <c r="R189" s="63">
        <f t="shared" si="53"/>
        <v>205925.83564013755</v>
      </c>
      <c r="S189" s="61">
        <f t="shared" si="13"/>
        <v>1.0618967627354259</v>
      </c>
      <c r="T189" s="80"/>
      <c r="U189" s="59">
        <f>IF(D189=0,0,SUM($L$20:L189))</f>
        <v>31568813.737370279</v>
      </c>
      <c r="V189" s="59">
        <f>IF(D189=0,0,SUM($J$20:J189))</f>
        <v>32819329</v>
      </c>
      <c r="W189" s="63">
        <f t="shared" si="54"/>
        <v>1250515.2626297213</v>
      </c>
      <c r="X189" s="61">
        <f t="shared" si="15"/>
        <v>1.0396123615234043</v>
      </c>
      <c r="Y189" s="145"/>
      <c r="Z189" s="196">
        <f t="shared" si="62"/>
        <v>45461</v>
      </c>
      <c r="AA189" s="197">
        <f t="shared" si="62"/>
        <v>45461</v>
      </c>
      <c r="AB189" s="1"/>
      <c r="AC189" s="1"/>
      <c r="AD189" s="1"/>
      <c r="AE189" s="1"/>
      <c r="AF189" s="145"/>
      <c r="AG189" s="198">
        <f t="shared" si="59"/>
        <v>86</v>
      </c>
      <c r="AH189" s="145"/>
      <c r="AI189" s="145"/>
      <c r="AJ189" s="145"/>
      <c r="AK189" s="145"/>
      <c r="AL189" s="145"/>
      <c r="AM189" s="145"/>
      <c r="AN189" s="145"/>
    </row>
    <row r="190" spans="1:40" ht="20">
      <c r="A190" s="145"/>
      <c r="B190" s="152"/>
      <c r="C190" s="50">
        <f t="shared" si="55"/>
        <v>171</v>
      </c>
      <c r="D190" s="51">
        <v>1</v>
      </c>
      <c r="E190" s="187" t="str">
        <f t="shared" si="8"/>
        <v>6</v>
      </c>
      <c r="F190" s="188">
        <f t="shared" si="56"/>
        <v>45462</v>
      </c>
      <c r="G190" s="189" t="str">
        <f t="shared" si="57"/>
        <v>Wed</v>
      </c>
      <c r="H190" s="190"/>
      <c r="I190" s="200"/>
      <c r="J190" s="201">
        <v>255900</v>
      </c>
      <c r="K190" s="202"/>
      <c r="L190" s="59">
        <f t="shared" si="61"/>
        <v>221794.94429065744</v>
      </c>
      <c r="M190" s="60">
        <f t="shared" si="52"/>
        <v>34105.05570934256</v>
      </c>
      <c r="N190" s="61">
        <f t="shared" si="11"/>
        <v>1.1537684090068736</v>
      </c>
      <c r="O190" s="194"/>
      <c r="P190" s="106">
        <f>IF(D190=0,0,SUM($L$172:L190))</f>
        <v>3548719.10865052</v>
      </c>
      <c r="Q190" s="59">
        <f>IF(D190=0,0,SUM($J$172:J190))</f>
        <v>3788750</v>
      </c>
      <c r="R190" s="63">
        <f t="shared" si="53"/>
        <v>240030.89134948002</v>
      </c>
      <c r="S190" s="61">
        <f t="shared" si="13"/>
        <v>1.0676387406273913</v>
      </c>
      <c r="T190" s="80"/>
      <c r="U190" s="59">
        <f>IF(D190=0,0,SUM($L$20:L190))</f>
        <v>31790608.681660935</v>
      </c>
      <c r="V190" s="59">
        <f>IF(D190=0,0,SUM($J$20:J190))</f>
        <v>33075229</v>
      </c>
      <c r="W190" s="63">
        <f t="shared" si="54"/>
        <v>1284620.3183390647</v>
      </c>
      <c r="X190" s="61">
        <f t="shared" si="15"/>
        <v>1.0404087990639865</v>
      </c>
      <c r="Y190" s="145"/>
      <c r="Z190" s="196">
        <f t="shared" si="62"/>
        <v>45462</v>
      </c>
      <c r="AA190" s="197">
        <f t="shared" si="62"/>
        <v>45462</v>
      </c>
      <c r="AB190" s="1"/>
      <c r="AC190" s="1"/>
      <c r="AD190" s="1"/>
      <c r="AE190" s="1"/>
      <c r="AF190" s="145"/>
      <c r="AG190" s="198">
        <f t="shared" si="59"/>
        <v>87</v>
      </c>
      <c r="AH190" s="145"/>
      <c r="AI190" s="145"/>
      <c r="AJ190" s="145"/>
      <c r="AK190" s="145"/>
      <c r="AL190" s="145"/>
      <c r="AM190" s="145"/>
      <c r="AN190" s="145"/>
    </row>
    <row r="191" spans="1:40" ht="20">
      <c r="A191" s="145"/>
      <c r="B191" s="152"/>
      <c r="C191" s="50">
        <f t="shared" si="55"/>
        <v>172</v>
      </c>
      <c r="D191" s="51">
        <v>1</v>
      </c>
      <c r="E191" s="187" t="str">
        <f t="shared" si="8"/>
        <v>6</v>
      </c>
      <c r="F191" s="188">
        <f t="shared" si="56"/>
        <v>45463</v>
      </c>
      <c r="G191" s="189" t="str">
        <f t="shared" si="57"/>
        <v>Thu</v>
      </c>
      <c r="H191" s="190"/>
      <c r="I191" s="200"/>
      <c r="J191" s="201">
        <v>273000</v>
      </c>
      <c r="K191" s="202"/>
      <c r="L191" s="59">
        <f t="shared" si="61"/>
        <v>221794.94429065744</v>
      </c>
      <c r="M191" s="60">
        <f t="shared" si="52"/>
        <v>51205.05570934256</v>
      </c>
      <c r="N191" s="61">
        <f t="shared" si="11"/>
        <v>1.2308666497025265</v>
      </c>
      <c r="O191" s="194"/>
      <c r="P191" s="106">
        <f>IF(D191=0,0,SUM($L$172:L191))</f>
        <v>3770514.0529411775</v>
      </c>
      <c r="Q191" s="59">
        <f>IF(D191=0,0,SUM($J$172:J191))</f>
        <v>4061750</v>
      </c>
      <c r="R191" s="63">
        <f t="shared" si="53"/>
        <v>291235.94705882249</v>
      </c>
      <c r="S191" s="61">
        <f t="shared" si="13"/>
        <v>1.0772403823376935</v>
      </c>
      <c r="T191" s="80"/>
      <c r="U191" s="59">
        <f>IF(D191=0,0,SUM($L$20:L191))</f>
        <v>32012403.625951592</v>
      </c>
      <c r="V191" s="59">
        <f>IF(D191=0,0,SUM($J$20:J191))</f>
        <v>33348229</v>
      </c>
      <c r="W191" s="63">
        <f t="shared" si="54"/>
        <v>1335825.3740484081</v>
      </c>
      <c r="X191" s="61">
        <f t="shared" si="15"/>
        <v>1.0417283684679488</v>
      </c>
      <c r="Y191" s="145"/>
      <c r="Z191" s="196">
        <f t="shared" si="62"/>
        <v>45463</v>
      </c>
      <c r="AA191" s="197">
        <f t="shared" si="62"/>
        <v>45463</v>
      </c>
      <c r="AB191" s="1"/>
      <c r="AC191" s="1"/>
      <c r="AD191" s="1"/>
      <c r="AE191" s="1"/>
      <c r="AF191" s="145"/>
      <c r="AG191" s="198">
        <f t="shared" si="59"/>
        <v>88</v>
      </c>
      <c r="AH191" s="145"/>
      <c r="AI191" s="145"/>
      <c r="AJ191" s="145"/>
      <c r="AK191" s="145"/>
      <c r="AL191" s="145"/>
      <c r="AM191" s="145"/>
      <c r="AN191" s="145"/>
    </row>
    <row r="192" spans="1:40" ht="20">
      <c r="A192" s="145"/>
      <c r="B192" s="152"/>
      <c r="C192" s="50">
        <f t="shared" si="55"/>
        <v>173</v>
      </c>
      <c r="D192" s="51">
        <v>1</v>
      </c>
      <c r="E192" s="187" t="str">
        <f t="shared" si="8"/>
        <v>6</v>
      </c>
      <c r="F192" s="188">
        <f t="shared" si="56"/>
        <v>45464</v>
      </c>
      <c r="G192" s="189" t="str">
        <f t="shared" si="57"/>
        <v>Fri</v>
      </c>
      <c r="H192" s="190"/>
      <c r="I192" s="200"/>
      <c r="J192" s="201">
        <v>374650</v>
      </c>
      <c r="K192" s="202"/>
      <c r="L192" s="59">
        <f t="shared" si="61"/>
        <v>221794.94429065744</v>
      </c>
      <c r="M192" s="60">
        <f t="shared" si="52"/>
        <v>152855.05570934256</v>
      </c>
      <c r="N192" s="61">
        <f t="shared" si="11"/>
        <v>1.6891728582822398</v>
      </c>
      <c r="O192" s="194"/>
      <c r="P192" s="106">
        <f>IF(D192=0,0,SUM($L$172:L192))</f>
        <v>3992308.997231835</v>
      </c>
      <c r="Q192" s="59">
        <f>IF(D192=0,0,SUM($J$172:J192))</f>
        <v>4436400</v>
      </c>
      <c r="R192" s="63">
        <f t="shared" si="53"/>
        <v>444091.00276816497</v>
      </c>
      <c r="S192" s="61">
        <f t="shared" si="13"/>
        <v>1.1112366310012793</v>
      </c>
      <c r="T192" s="80"/>
      <c r="U192" s="59">
        <f>IF(D192=0,0,SUM($L$20:L192))</f>
        <v>32234198.570242248</v>
      </c>
      <c r="V192" s="59">
        <f>IF(D192=0,0,SUM($J$20:J192))</f>
        <v>33722879</v>
      </c>
      <c r="W192" s="63">
        <f t="shared" si="54"/>
        <v>1488680.4297577515</v>
      </c>
      <c r="X192" s="61">
        <f t="shared" si="15"/>
        <v>1.0461832617464875</v>
      </c>
      <c r="Y192" s="145"/>
      <c r="Z192" s="196">
        <f t="shared" si="62"/>
        <v>45464</v>
      </c>
      <c r="AA192" s="197">
        <f t="shared" si="62"/>
        <v>45464</v>
      </c>
      <c r="AB192" s="1"/>
      <c r="AC192" s="1"/>
      <c r="AD192" s="1"/>
      <c r="AE192" s="1"/>
      <c r="AF192" s="145"/>
      <c r="AG192" s="198">
        <f t="shared" si="59"/>
        <v>89</v>
      </c>
      <c r="AH192" s="145"/>
      <c r="AI192" s="145"/>
      <c r="AJ192" s="145"/>
      <c r="AK192" s="145"/>
      <c r="AL192" s="145"/>
      <c r="AM192" s="145"/>
      <c r="AN192" s="145"/>
    </row>
    <row r="193" spans="1:40" ht="20">
      <c r="A193" s="145"/>
      <c r="B193" s="152"/>
      <c r="C193" s="50">
        <f t="shared" si="55"/>
        <v>174</v>
      </c>
      <c r="D193" s="51">
        <v>1</v>
      </c>
      <c r="E193" s="187" t="str">
        <f t="shared" si="8"/>
        <v>6</v>
      </c>
      <c r="F193" s="188">
        <f t="shared" si="56"/>
        <v>45465</v>
      </c>
      <c r="G193" s="189" t="str">
        <f t="shared" si="57"/>
        <v>Sat</v>
      </c>
      <c r="H193" s="190"/>
      <c r="I193" s="200"/>
      <c r="J193" s="201">
        <v>153300</v>
      </c>
      <c r="K193" s="202"/>
      <c r="L193" s="59">
        <f t="shared" si="61"/>
        <v>221794.94429065744</v>
      </c>
      <c r="M193" s="60">
        <f t="shared" si="52"/>
        <v>-68494.94429065744</v>
      </c>
      <c r="N193" s="61">
        <f t="shared" si="11"/>
        <v>0.69117896483295715</v>
      </c>
      <c r="O193" s="194"/>
      <c r="P193" s="106">
        <f>IF(D193=0,0,SUM($L$172:L193))</f>
        <v>4214103.9415224921</v>
      </c>
      <c r="Q193" s="59">
        <f>IF(D193=0,0,SUM($J$172:J193))</f>
        <v>4589700</v>
      </c>
      <c r="R193" s="63">
        <f t="shared" si="53"/>
        <v>375596.0584775079</v>
      </c>
      <c r="S193" s="61">
        <f t="shared" si="13"/>
        <v>1.0891283327818939</v>
      </c>
      <c r="T193" s="81"/>
      <c r="U193" s="59">
        <f>IF(D193=0,0,SUM($L$20:L193))</f>
        <v>32455993.514532905</v>
      </c>
      <c r="V193" s="59">
        <f>IF(D193=0,0,SUM($J$20:J193))</f>
        <v>33876179</v>
      </c>
      <c r="W193" s="63">
        <f t="shared" si="54"/>
        <v>1420185.4854670949</v>
      </c>
      <c r="X193" s="61">
        <f t="shared" si="15"/>
        <v>1.0437572642732744</v>
      </c>
      <c r="Y193" s="145"/>
      <c r="Z193" s="196">
        <f t="shared" si="62"/>
        <v>45465</v>
      </c>
      <c r="AA193" s="197">
        <f t="shared" si="62"/>
        <v>45465</v>
      </c>
      <c r="AB193" s="1"/>
      <c r="AC193" s="1"/>
      <c r="AD193" s="1"/>
      <c r="AE193" s="1"/>
      <c r="AF193" s="145"/>
      <c r="AG193" s="198">
        <f t="shared" si="59"/>
        <v>90</v>
      </c>
      <c r="AH193" s="145"/>
      <c r="AI193" s="145"/>
      <c r="AJ193" s="145"/>
      <c r="AK193" s="145"/>
      <c r="AL193" s="145"/>
      <c r="AM193" s="145"/>
      <c r="AN193" s="145"/>
    </row>
    <row r="194" spans="1:40" ht="20">
      <c r="A194" s="145"/>
      <c r="B194" s="152"/>
      <c r="C194" s="50">
        <f t="shared" si="55"/>
        <v>175</v>
      </c>
      <c r="D194" s="51">
        <v>0</v>
      </c>
      <c r="E194" s="187" t="str">
        <f t="shared" si="8"/>
        <v>6</v>
      </c>
      <c r="F194" s="188">
        <f t="shared" si="56"/>
        <v>45466</v>
      </c>
      <c r="G194" s="189" t="str">
        <f t="shared" si="57"/>
        <v>Sun</v>
      </c>
      <c r="H194" s="190" t="s">
        <v>58</v>
      </c>
      <c r="I194" s="200"/>
      <c r="J194" s="201">
        <v>0</v>
      </c>
      <c r="K194" s="202"/>
      <c r="L194" s="59">
        <f t="shared" si="61"/>
        <v>0</v>
      </c>
      <c r="M194" s="60">
        <f t="shared" si="52"/>
        <v>0</v>
      </c>
      <c r="N194" s="61" t="str">
        <f t="shared" si="11"/>
        <v>0%</v>
      </c>
      <c r="O194" s="194"/>
      <c r="P194" s="106">
        <f>IF(D194=0,0,SUM($L$172:L194))</f>
        <v>0</v>
      </c>
      <c r="Q194" s="59">
        <f>IF(D194=0,0,SUM($J$172:J194))</f>
        <v>0</v>
      </c>
      <c r="R194" s="63">
        <f t="shared" si="53"/>
        <v>0</v>
      </c>
      <c r="S194" s="61" t="str">
        <f t="shared" si="13"/>
        <v>0%</v>
      </c>
      <c r="T194" s="80"/>
      <c r="U194" s="59">
        <f>IF(D194=0,0,SUM($L$20:L194))</f>
        <v>0</v>
      </c>
      <c r="V194" s="59">
        <f>IF(D194=0,0,SUM($J$20:J194))</f>
        <v>0</v>
      </c>
      <c r="W194" s="63">
        <f t="shared" si="54"/>
        <v>0</v>
      </c>
      <c r="X194" s="61" t="str">
        <f t="shared" si="15"/>
        <v>0%</v>
      </c>
      <c r="Y194" s="145"/>
      <c r="Z194" s="196">
        <f t="shared" si="62"/>
        <v>45466</v>
      </c>
      <c r="AA194" s="197">
        <f t="shared" si="62"/>
        <v>45466</v>
      </c>
      <c r="AB194" s="1"/>
      <c r="AC194" s="1"/>
      <c r="AD194" s="1"/>
      <c r="AE194" s="1"/>
      <c r="AF194" s="145"/>
      <c r="AG194" s="198">
        <f t="shared" si="59"/>
        <v>91</v>
      </c>
      <c r="AH194" s="145"/>
      <c r="AI194" s="145"/>
      <c r="AJ194" s="145"/>
      <c r="AK194" s="145"/>
      <c r="AL194" s="145"/>
      <c r="AM194" s="145"/>
      <c r="AN194" s="145"/>
    </row>
    <row r="195" spans="1:40" ht="20">
      <c r="A195" s="145"/>
      <c r="B195" s="152"/>
      <c r="C195" s="50">
        <f t="shared" si="55"/>
        <v>176</v>
      </c>
      <c r="D195" s="51">
        <v>1</v>
      </c>
      <c r="E195" s="187" t="str">
        <f t="shared" si="8"/>
        <v>6</v>
      </c>
      <c r="F195" s="188">
        <f t="shared" si="56"/>
        <v>45467</v>
      </c>
      <c r="G195" s="189" t="str">
        <f t="shared" si="57"/>
        <v>Mon</v>
      </c>
      <c r="H195" s="190"/>
      <c r="I195" s="200"/>
      <c r="J195" s="201">
        <v>248360</v>
      </c>
      <c r="K195" s="202"/>
      <c r="L195" s="59">
        <f t="shared" si="61"/>
        <v>221794.94429065744</v>
      </c>
      <c r="M195" s="60">
        <f t="shared" si="52"/>
        <v>26565.05570934256</v>
      </c>
      <c r="N195" s="61">
        <f t="shared" si="11"/>
        <v>1.1197730443960419</v>
      </c>
      <c r="O195" s="194"/>
      <c r="P195" s="106">
        <f>IF(D195=0,0,SUM($L$172:L195))</f>
        <v>4435898.8858131496</v>
      </c>
      <c r="Q195" s="59">
        <f>IF(D195=0,0,SUM($J$172:J195))</f>
        <v>4838060</v>
      </c>
      <c r="R195" s="63">
        <f t="shared" si="53"/>
        <v>402161.11418685038</v>
      </c>
      <c r="S195" s="61">
        <f t="shared" si="13"/>
        <v>1.0906605683626014</v>
      </c>
      <c r="T195" s="80"/>
      <c r="U195" s="59">
        <f>IF(D195=0,0,SUM($L$20:L195))</f>
        <v>32677788.458823562</v>
      </c>
      <c r="V195" s="59">
        <f>IF(D195=0,0,SUM($J$20:J195))</f>
        <v>34124539</v>
      </c>
      <c r="W195" s="63">
        <f t="shared" si="54"/>
        <v>1446750.5411764383</v>
      </c>
      <c r="X195" s="61">
        <f t="shared" si="15"/>
        <v>1.0442732084822524</v>
      </c>
      <c r="Y195" s="145"/>
      <c r="Z195" s="196">
        <f t="shared" si="62"/>
        <v>45467</v>
      </c>
      <c r="AA195" s="197">
        <f t="shared" si="62"/>
        <v>45467</v>
      </c>
      <c r="AB195" s="1"/>
      <c r="AC195" s="1"/>
      <c r="AD195" s="1"/>
      <c r="AE195" s="1"/>
      <c r="AF195" s="145"/>
      <c r="AG195" s="198">
        <f t="shared" si="59"/>
        <v>92</v>
      </c>
      <c r="AH195" s="145"/>
      <c r="AI195" s="145"/>
      <c r="AJ195" s="145"/>
      <c r="AK195" s="145"/>
      <c r="AL195" s="145"/>
      <c r="AM195" s="145"/>
      <c r="AN195" s="145"/>
    </row>
    <row r="196" spans="1:40" ht="20">
      <c r="A196" s="145"/>
      <c r="B196" s="152"/>
      <c r="C196" s="50">
        <f t="shared" si="55"/>
        <v>177</v>
      </c>
      <c r="D196" s="51">
        <v>1</v>
      </c>
      <c r="E196" s="187" t="str">
        <f t="shared" si="8"/>
        <v>6</v>
      </c>
      <c r="F196" s="188">
        <f t="shared" si="56"/>
        <v>45468</v>
      </c>
      <c r="G196" s="189" t="str">
        <f t="shared" si="57"/>
        <v>Tue</v>
      </c>
      <c r="H196" s="190"/>
      <c r="I196" s="200"/>
      <c r="J196" s="201">
        <v>102500</v>
      </c>
      <c r="K196" s="202"/>
      <c r="L196" s="59">
        <f t="shared" si="61"/>
        <v>221794.94429065744</v>
      </c>
      <c r="M196" s="60">
        <f t="shared" si="52"/>
        <v>-119294.94429065744</v>
      </c>
      <c r="N196" s="61">
        <f t="shared" si="11"/>
        <v>0.46213857726926355</v>
      </c>
      <c r="O196" s="194"/>
      <c r="P196" s="106">
        <f>IF(D196=0,0,SUM($L$172:L196))</f>
        <v>4657693.8301038072</v>
      </c>
      <c r="Q196" s="59">
        <f>IF(D196=0,0,SUM($J$172:J196))</f>
        <v>4940560</v>
      </c>
      <c r="R196" s="63">
        <f t="shared" si="53"/>
        <v>282866.16989619285</v>
      </c>
      <c r="S196" s="61">
        <f t="shared" si="13"/>
        <v>1.0607309497391091</v>
      </c>
      <c r="T196" s="80"/>
      <c r="U196" s="59">
        <f>IF(D196=0,0,SUM($L$20:L196))</f>
        <v>32899583.403114218</v>
      </c>
      <c r="V196" s="59">
        <f>IF(D196=0,0,SUM($J$20:J196))</f>
        <v>34227039</v>
      </c>
      <c r="W196" s="63">
        <f t="shared" si="54"/>
        <v>1327455.5968857817</v>
      </c>
      <c r="X196" s="61">
        <f t="shared" si="15"/>
        <v>1.0403487053504794</v>
      </c>
      <c r="Y196" s="145"/>
      <c r="Z196" s="196">
        <f t="shared" si="62"/>
        <v>45468</v>
      </c>
      <c r="AA196" s="197">
        <f t="shared" si="62"/>
        <v>45468</v>
      </c>
      <c r="AB196" s="1"/>
      <c r="AC196" s="1"/>
      <c r="AD196" s="1"/>
      <c r="AE196" s="1"/>
      <c r="AF196" s="145"/>
      <c r="AG196" s="198">
        <f t="shared" si="59"/>
        <v>93</v>
      </c>
      <c r="AH196" s="145"/>
      <c r="AI196" s="145"/>
      <c r="AJ196" s="145"/>
      <c r="AK196" s="145"/>
      <c r="AL196" s="145"/>
      <c r="AM196" s="145"/>
      <c r="AN196" s="145"/>
    </row>
    <row r="197" spans="1:40" ht="20">
      <c r="A197" s="145"/>
      <c r="B197" s="152"/>
      <c r="C197" s="50">
        <f t="shared" si="55"/>
        <v>178</v>
      </c>
      <c r="D197" s="51">
        <v>1</v>
      </c>
      <c r="E197" s="187" t="str">
        <f t="shared" si="8"/>
        <v>6</v>
      </c>
      <c r="F197" s="188">
        <f t="shared" si="56"/>
        <v>45469</v>
      </c>
      <c r="G197" s="189" t="str">
        <f t="shared" si="57"/>
        <v>Wed</v>
      </c>
      <c r="H197" s="190"/>
      <c r="I197" s="200"/>
      <c r="J197" s="201">
        <v>383350</v>
      </c>
      <c r="K197" s="202"/>
      <c r="L197" s="59">
        <f t="shared" si="61"/>
        <v>221794.94429065744</v>
      </c>
      <c r="M197" s="60">
        <f t="shared" si="52"/>
        <v>161555.05570934256</v>
      </c>
      <c r="N197" s="61">
        <f t="shared" si="11"/>
        <v>1.7283982789870458</v>
      </c>
      <c r="O197" s="194"/>
      <c r="P197" s="106">
        <f>IF(D197=0,0,SUM($L$172:L197))</f>
        <v>4879488.7743944647</v>
      </c>
      <c r="Q197" s="59">
        <f>IF(D197=0,0,SUM($J$172:J197))</f>
        <v>5323910</v>
      </c>
      <c r="R197" s="63">
        <f t="shared" si="53"/>
        <v>444421.22560553532</v>
      </c>
      <c r="S197" s="61">
        <f t="shared" si="13"/>
        <v>1.0910794647049245</v>
      </c>
      <c r="T197" s="80"/>
      <c r="U197" s="59">
        <f>IF(D197=0,0,SUM($L$20:L197))</f>
        <v>33121378.347404875</v>
      </c>
      <c r="V197" s="59">
        <f>IF(D197=0,0,SUM($J$20:J197))</f>
        <v>34610389</v>
      </c>
      <c r="W197" s="63">
        <f t="shared" si="54"/>
        <v>1489010.6525951251</v>
      </c>
      <c r="X197" s="61">
        <f t="shared" si="15"/>
        <v>1.0449561801739387</v>
      </c>
      <c r="Y197" s="145"/>
      <c r="Z197" s="196">
        <f t="shared" ref="Z197:AA212" si="63">Z196+1</f>
        <v>45469</v>
      </c>
      <c r="AA197" s="197">
        <f t="shared" si="63"/>
        <v>45469</v>
      </c>
      <c r="AB197" s="1"/>
      <c r="AC197" s="1"/>
      <c r="AD197" s="1"/>
      <c r="AE197" s="1"/>
      <c r="AF197" s="145"/>
      <c r="AG197" s="198">
        <f t="shared" si="59"/>
        <v>94</v>
      </c>
      <c r="AH197" s="145"/>
      <c r="AI197" s="145"/>
      <c r="AJ197" s="145"/>
      <c r="AK197" s="145"/>
      <c r="AL197" s="145"/>
      <c r="AM197" s="145"/>
      <c r="AN197" s="145"/>
    </row>
    <row r="198" spans="1:40" ht="20">
      <c r="A198" s="145"/>
      <c r="B198" s="152"/>
      <c r="C198" s="50">
        <f t="shared" si="55"/>
        <v>179</v>
      </c>
      <c r="D198" s="51">
        <v>1</v>
      </c>
      <c r="E198" s="187" t="str">
        <f t="shared" si="8"/>
        <v>6</v>
      </c>
      <c r="F198" s="188">
        <f t="shared" si="56"/>
        <v>45470</v>
      </c>
      <c r="G198" s="189" t="str">
        <f t="shared" si="57"/>
        <v>Thu</v>
      </c>
      <c r="H198" s="190"/>
      <c r="I198" s="200"/>
      <c r="J198" s="201">
        <v>216800</v>
      </c>
      <c r="K198" s="202"/>
      <c r="L198" s="59">
        <f t="shared" si="61"/>
        <v>221794.94429065744</v>
      </c>
      <c r="M198" s="60">
        <f t="shared" si="52"/>
        <v>-4994.9442906574404</v>
      </c>
      <c r="N198" s="61">
        <f t="shared" si="11"/>
        <v>0.97747944928757402</v>
      </c>
      <c r="O198" s="194"/>
      <c r="P198" s="106">
        <f>IF(D198=0,0,SUM($L$172:L198))</f>
        <v>5101283.7186851222</v>
      </c>
      <c r="Q198" s="59">
        <f>IF(D198=0,0,SUM($J$172:J198))</f>
        <v>5540710</v>
      </c>
      <c r="R198" s="63">
        <f t="shared" si="53"/>
        <v>439426.28131487779</v>
      </c>
      <c r="S198" s="61">
        <f t="shared" si="13"/>
        <v>1.0861403335998221</v>
      </c>
      <c r="T198" s="80"/>
      <c r="U198" s="59">
        <f>IF(D198=0,0,SUM($L$20:L198))</f>
        <v>33343173.291695531</v>
      </c>
      <c r="V198" s="59">
        <f>IF(D198=0,0,SUM($J$20:J198))</f>
        <v>34827189</v>
      </c>
      <c r="W198" s="63">
        <f t="shared" si="54"/>
        <v>1484015.7083044685</v>
      </c>
      <c r="X198" s="61">
        <f t="shared" si="15"/>
        <v>1.0445073327401049</v>
      </c>
      <c r="Y198" s="145"/>
      <c r="Z198" s="196">
        <f t="shared" si="63"/>
        <v>45470</v>
      </c>
      <c r="AA198" s="197">
        <f t="shared" si="63"/>
        <v>45470</v>
      </c>
      <c r="AB198" s="1"/>
      <c r="AC198" s="1"/>
      <c r="AD198" s="1"/>
      <c r="AE198" s="1"/>
      <c r="AF198" s="145"/>
      <c r="AG198" s="198">
        <f t="shared" si="59"/>
        <v>95</v>
      </c>
      <c r="AH198" s="145"/>
      <c r="AI198" s="145"/>
      <c r="AJ198" s="145"/>
      <c r="AK198" s="145"/>
      <c r="AL198" s="145"/>
      <c r="AM198" s="145"/>
      <c r="AN198" s="145"/>
    </row>
    <row r="199" spans="1:40" ht="20">
      <c r="A199" s="145"/>
      <c r="B199" s="152"/>
      <c r="C199" s="50">
        <f t="shared" si="55"/>
        <v>180</v>
      </c>
      <c r="D199" s="51">
        <v>1</v>
      </c>
      <c r="E199" s="187" t="str">
        <f t="shared" si="8"/>
        <v>6</v>
      </c>
      <c r="F199" s="188">
        <f t="shared" si="56"/>
        <v>45471</v>
      </c>
      <c r="G199" s="189" t="str">
        <f t="shared" si="57"/>
        <v>Fri</v>
      </c>
      <c r="H199" s="190"/>
      <c r="I199" s="200"/>
      <c r="J199" s="201">
        <v>225140</v>
      </c>
      <c r="K199" s="202"/>
      <c r="L199" s="59">
        <f t="shared" si="61"/>
        <v>221794.94429065744</v>
      </c>
      <c r="M199" s="60">
        <f t="shared" si="52"/>
        <v>3345.0557093425596</v>
      </c>
      <c r="N199" s="61">
        <f t="shared" si="11"/>
        <v>1.0150817491356292</v>
      </c>
      <c r="O199" s="194"/>
      <c r="P199" s="106">
        <f>IF(D199=0,0,SUM($L$172:L199))</f>
        <v>5323078.6629757797</v>
      </c>
      <c r="Q199" s="59">
        <f>IF(D199=0,0,SUM($J$172:J199))</f>
        <v>5765850</v>
      </c>
      <c r="R199" s="63">
        <f t="shared" si="53"/>
        <v>442771.33702422027</v>
      </c>
      <c r="S199" s="61">
        <f t="shared" si="13"/>
        <v>1.0831795592471474</v>
      </c>
      <c r="T199" s="80"/>
      <c r="U199" s="59">
        <f>IF(D199=0,0,SUM($L$20:L199))</f>
        <v>33564968.235986188</v>
      </c>
      <c r="V199" s="59">
        <f>IF(D199=0,0,SUM($J$20:J199))</f>
        <v>35052329</v>
      </c>
      <c r="W199" s="63">
        <f t="shared" si="54"/>
        <v>1487360.7640138119</v>
      </c>
      <c r="X199" s="61">
        <f t="shared" si="15"/>
        <v>1.0443128905576964</v>
      </c>
      <c r="Y199" s="145"/>
      <c r="Z199" s="196">
        <f t="shared" si="63"/>
        <v>45471</v>
      </c>
      <c r="AA199" s="197">
        <f t="shared" si="63"/>
        <v>45471</v>
      </c>
      <c r="AB199" s="1"/>
      <c r="AC199" s="1"/>
      <c r="AD199" s="1"/>
      <c r="AE199" s="1"/>
      <c r="AF199" s="145"/>
      <c r="AG199" s="198">
        <f t="shared" si="59"/>
        <v>96</v>
      </c>
      <c r="AH199" s="145"/>
      <c r="AI199" s="145"/>
      <c r="AJ199" s="145"/>
      <c r="AK199" s="145"/>
      <c r="AL199" s="145"/>
      <c r="AM199" s="145"/>
      <c r="AN199" s="145"/>
    </row>
    <row r="200" spans="1:40" ht="20">
      <c r="A200" s="145"/>
      <c r="B200" s="152"/>
      <c r="C200" s="50">
        <f t="shared" si="55"/>
        <v>181</v>
      </c>
      <c r="D200" s="51">
        <v>1</v>
      </c>
      <c r="E200" s="187" t="str">
        <f t="shared" si="8"/>
        <v>6</v>
      </c>
      <c r="F200" s="188">
        <f t="shared" si="56"/>
        <v>45472</v>
      </c>
      <c r="G200" s="189" t="str">
        <f t="shared" si="57"/>
        <v>Sat</v>
      </c>
      <c r="H200" s="190"/>
      <c r="I200" s="200"/>
      <c r="J200" s="201">
        <v>142100</v>
      </c>
      <c r="K200" s="202"/>
      <c r="L200" s="59">
        <f t="shared" si="61"/>
        <v>221794.94429065744</v>
      </c>
      <c r="M200" s="60">
        <f t="shared" si="52"/>
        <v>-79694.94429065744</v>
      </c>
      <c r="N200" s="61">
        <f t="shared" si="11"/>
        <v>0.64068187151182787</v>
      </c>
      <c r="O200" s="194"/>
      <c r="P200" s="106">
        <f>IF(D200=0,0,SUM($L$172:L200))</f>
        <v>5544873.6072664373</v>
      </c>
      <c r="Q200" s="59">
        <f>IF(D200=0,0,SUM($J$172:J200))</f>
        <v>5907950</v>
      </c>
      <c r="R200" s="63">
        <f t="shared" si="53"/>
        <v>363076.39273356274</v>
      </c>
      <c r="S200" s="61">
        <f t="shared" si="13"/>
        <v>1.0654796517377347</v>
      </c>
      <c r="T200" s="81"/>
      <c r="U200" s="59">
        <f>IF(D200=0,0,SUM($L$20:L200))</f>
        <v>33786763.180276848</v>
      </c>
      <c r="V200" s="59">
        <f>IF(D200=0,0,SUM($J$20:J200))</f>
        <v>35194429</v>
      </c>
      <c r="W200" s="63">
        <f t="shared" si="54"/>
        <v>1407665.8197231516</v>
      </c>
      <c r="X200" s="61">
        <f t="shared" si="15"/>
        <v>1.0416632339775265</v>
      </c>
      <c r="Y200" s="145"/>
      <c r="Z200" s="196">
        <f t="shared" si="63"/>
        <v>45472</v>
      </c>
      <c r="AA200" s="197">
        <f t="shared" si="63"/>
        <v>45472</v>
      </c>
      <c r="AB200" s="1"/>
      <c r="AC200" s="1"/>
      <c r="AD200" s="1"/>
      <c r="AE200" s="1"/>
      <c r="AF200" s="145"/>
      <c r="AG200" s="198">
        <f t="shared" si="59"/>
        <v>97</v>
      </c>
      <c r="AH200" s="145"/>
      <c r="AI200" s="145"/>
      <c r="AJ200" s="145"/>
      <c r="AK200" s="145"/>
      <c r="AL200" s="145"/>
      <c r="AM200" s="145"/>
      <c r="AN200" s="145"/>
    </row>
    <row r="201" spans="1:40" ht="21" thickBot="1">
      <c r="A201" s="145"/>
      <c r="B201" s="152"/>
      <c r="C201" s="100">
        <f t="shared" si="55"/>
        <v>182</v>
      </c>
      <c r="D201" s="85">
        <v>0</v>
      </c>
      <c r="E201" s="203" t="str">
        <f t="shared" si="8"/>
        <v>6</v>
      </c>
      <c r="F201" s="204">
        <f t="shared" si="56"/>
        <v>45473</v>
      </c>
      <c r="G201" s="205" t="str">
        <f t="shared" si="57"/>
        <v>Sun</v>
      </c>
      <c r="H201" s="206" t="s">
        <v>58</v>
      </c>
      <c r="I201" s="207"/>
      <c r="J201" s="208">
        <v>0</v>
      </c>
      <c r="K201" s="202"/>
      <c r="L201" s="103">
        <f t="shared" si="61"/>
        <v>0</v>
      </c>
      <c r="M201" s="91">
        <f t="shared" si="52"/>
        <v>0</v>
      </c>
      <c r="N201" s="108" t="str">
        <f t="shared" si="11"/>
        <v>0%</v>
      </c>
      <c r="O201" s="209"/>
      <c r="P201" s="210">
        <f>IF(D201=0,0,SUM($L$172:L201))</f>
        <v>0</v>
      </c>
      <c r="Q201" s="103">
        <f>IF(D201=0,0,SUM($J$172:J201))</f>
        <v>0</v>
      </c>
      <c r="R201" s="105">
        <f t="shared" si="53"/>
        <v>0</v>
      </c>
      <c r="S201" s="108" t="str">
        <f t="shared" si="13"/>
        <v>0%</v>
      </c>
      <c r="T201" s="211"/>
      <c r="U201" s="103">
        <f>IF(D201=0,0,SUM($L$20:L201))</f>
        <v>0</v>
      </c>
      <c r="V201" s="103">
        <f>IF(D201=0,0,SUM($J$20:J201))</f>
        <v>0</v>
      </c>
      <c r="W201" s="105">
        <f t="shared" si="54"/>
        <v>0</v>
      </c>
      <c r="X201" s="108" t="str">
        <f t="shared" si="15"/>
        <v>0%</v>
      </c>
      <c r="Y201" s="145"/>
      <c r="Z201" s="196">
        <f t="shared" si="63"/>
        <v>45473</v>
      </c>
      <c r="AA201" s="197">
        <f t="shared" si="63"/>
        <v>45473</v>
      </c>
      <c r="AB201" s="1"/>
      <c r="AC201" s="1"/>
      <c r="AD201" s="1"/>
      <c r="AE201" s="1"/>
      <c r="AF201" s="145"/>
      <c r="AG201" s="198">
        <f t="shared" si="59"/>
        <v>98</v>
      </c>
      <c r="AH201" s="145"/>
      <c r="AI201" s="145"/>
      <c r="AJ201" s="145"/>
      <c r="AK201" s="145"/>
      <c r="AL201" s="145"/>
      <c r="AM201" s="145"/>
      <c r="AN201" s="145"/>
    </row>
    <row r="202" spans="1:40" ht="21" thickTop="1">
      <c r="A202" s="145"/>
      <c r="B202" s="152"/>
      <c r="C202" s="50">
        <f t="shared" si="55"/>
        <v>183</v>
      </c>
      <c r="D202" s="96">
        <v>1</v>
      </c>
      <c r="E202" s="187" t="str">
        <f t="shared" si="8"/>
        <v>7</v>
      </c>
      <c r="F202" s="188">
        <f t="shared" si="56"/>
        <v>45474</v>
      </c>
      <c r="G202" s="189" t="str">
        <f t="shared" si="57"/>
        <v>Mon</v>
      </c>
      <c r="H202" s="190"/>
      <c r="I202" s="200"/>
      <c r="J202" s="201">
        <v>225950</v>
      </c>
      <c r="K202" s="202"/>
      <c r="L202" s="59">
        <f>IF(D202=0,0,$K$12)</f>
        <v>234116.88564013841</v>
      </c>
      <c r="M202" s="63">
        <f t="shared" si="52"/>
        <v>-8166.885640138411</v>
      </c>
      <c r="N202" s="97">
        <f t="shared" si="11"/>
        <v>0.96511620416524868</v>
      </c>
      <c r="O202" s="194"/>
      <c r="P202" s="107">
        <f>IF(D202=0,0,$L$202)</f>
        <v>234116.88564013841</v>
      </c>
      <c r="Q202" s="59">
        <f>IF(D202=0,0,$J$202)</f>
        <v>225950</v>
      </c>
      <c r="R202" s="63">
        <f t="shared" si="53"/>
        <v>-8166.885640138411</v>
      </c>
      <c r="S202" s="97">
        <f t="shared" si="13"/>
        <v>0.96511620416524868</v>
      </c>
      <c r="T202" s="80"/>
      <c r="U202" s="59">
        <f>IF(D202=0,0,SUM($L$20:L202))</f>
        <v>34020880.065916985</v>
      </c>
      <c r="V202" s="59">
        <f>IF(D202=0,0,SUM($J$20:J202))</f>
        <v>35420379</v>
      </c>
      <c r="W202" s="63">
        <f t="shared" si="54"/>
        <v>1399498.9340830147</v>
      </c>
      <c r="X202" s="97">
        <f t="shared" si="15"/>
        <v>1.0411364706430704</v>
      </c>
      <c r="Y202" s="145"/>
      <c r="Z202" s="196">
        <f t="shared" si="63"/>
        <v>45474</v>
      </c>
      <c r="AA202" s="197">
        <f t="shared" si="63"/>
        <v>45474</v>
      </c>
      <c r="AB202" s="1"/>
      <c r="AC202" s="1"/>
      <c r="AD202" s="1"/>
      <c r="AE202" s="1"/>
      <c r="AF202" s="145"/>
      <c r="AG202" s="198">
        <f t="shared" si="59"/>
        <v>99</v>
      </c>
      <c r="AH202" s="145"/>
      <c r="AI202" s="145"/>
      <c r="AJ202" s="145"/>
      <c r="AK202" s="145"/>
      <c r="AL202" s="145"/>
      <c r="AM202" s="145"/>
      <c r="AN202" s="145"/>
    </row>
    <row r="203" spans="1:40" ht="20">
      <c r="A203" s="145"/>
      <c r="B203" s="152"/>
      <c r="C203" s="50">
        <f t="shared" si="55"/>
        <v>184</v>
      </c>
      <c r="D203" s="51">
        <v>1</v>
      </c>
      <c r="E203" s="187" t="str">
        <f t="shared" si="8"/>
        <v>7</v>
      </c>
      <c r="F203" s="188">
        <f t="shared" si="56"/>
        <v>45475</v>
      </c>
      <c r="G203" s="189" t="str">
        <f t="shared" si="57"/>
        <v>Tue</v>
      </c>
      <c r="H203" s="190"/>
      <c r="I203" s="200"/>
      <c r="J203" s="201">
        <v>195520</v>
      </c>
      <c r="K203" s="202"/>
      <c r="L203" s="59">
        <f t="shared" ref="L203:L232" si="64">IF(D203=0,0,$K$12)</f>
        <v>234116.88564013841</v>
      </c>
      <c r="M203" s="60">
        <f t="shared" si="52"/>
        <v>-38596.885640138411</v>
      </c>
      <c r="N203" s="61">
        <f t="shared" si="11"/>
        <v>0.83513839450493221</v>
      </c>
      <c r="O203" s="194"/>
      <c r="P203" s="106">
        <f>IF(D203=0,0,SUM($L$202:L203))</f>
        <v>468233.77128027682</v>
      </c>
      <c r="Q203" s="59">
        <f>IF(D203=0,0,SUM($J$202:J203))</f>
        <v>421470</v>
      </c>
      <c r="R203" s="63">
        <f t="shared" si="53"/>
        <v>-46763.771280276822</v>
      </c>
      <c r="S203" s="61">
        <f t="shared" si="13"/>
        <v>0.90012729933509039</v>
      </c>
      <c r="T203" s="80"/>
      <c r="U203" s="59">
        <f>IF(D203=0,0,SUM($L$20:L203))</f>
        <v>34254996.951557122</v>
      </c>
      <c r="V203" s="59">
        <f>IF(D203=0,0,SUM($J$20:J203))</f>
        <v>35615899</v>
      </c>
      <c r="W203" s="63">
        <f t="shared" si="54"/>
        <v>1360902.0484428778</v>
      </c>
      <c r="X203" s="61">
        <f t="shared" si="15"/>
        <v>1.0397285701227019</v>
      </c>
      <c r="Y203" s="145"/>
      <c r="Z203" s="196">
        <f t="shared" si="63"/>
        <v>45475</v>
      </c>
      <c r="AA203" s="197">
        <f t="shared" si="63"/>
        <v>45475</v>
      </c>
      <c r="AB203" s="1"/>
      <c r="AC203" s="1"/>
      <c r="AD203" s="1"/>
      <c r="AE203" s="1"/>
      <c r="AF203" s="145"/>
      <c r="AG203" s="198">
        <f t="shared" si="59"/>
        <v>100</v>
      </c>
      <c r="AH203" s="145"/>
      <c r="AI203" s="145"/>
      <c r="AJ203" s="145"/>
      <c r="AK203" s="145"/>
      <c r="AL203" s="145"/>
      <c r="AM203" s="145"/>
      <c r="AN203" s="145"/>
    </row>
    <row r="204" spans="1:40" ht="20">
      <c r="A204" s="145"/>
      <c r="B204" s="152"/>
      <c r="C204" s="50">
        <f t="shared" si="55"/>
        <v>185</v>
      </c>
      <c r="D204" s="51">
        <v>1</v>
      </c>
      <c r="E204" s="187" t="str">
        <f t="shared" si="8"/>
        <v>7</v>
      </c>
      <c r="F204" s="188">
        <f t="shared" si="56"/>
        <v>45476</v>
      </c>
      <c r="G204" s="189" t="str">
        <f t="shared" si="57"/>
        <v>Wed</v>
      </c>
      <c r="H204" s="190"/>
      <c r="I204" s="200"/>
      <c r="J204" s="201">
        <v>220150</v>
      </c>
      <c r="K204" s="202"/>
      <c r="L204" s="59">
        <f t="shared" si="64"/>
        <v>234116.88564013841</v>
      </c>
      <c r="M204" s="60">
        <f t="shared" si="52"/>
        <v>-13966.885640138411</v>
      </c>
      <c r="N204" s="61">
        <f t="shared" si="11"/>
        <v>0.94034225424642393</v>
      </c>
      <c r="O204" s="194"/>
      <c r="P204" s="106">
        <f>IF(D204=0,0,SUM($L$202:L204))</f>
        <v>702350.65692041523</v>
      </c>
      <c r="Q204" s="59">
        <f>IF(D204=0,0,SUM($J$202:J204))</f>
        <v>641620</v>
      </c>
      <c r="R204" s="63">
        <f t="shared" si="53"/>
        <v>-60730.656920415233</v>
      </c>
      <c r="S204" s="61">
        <f t="shared" si="13"/>
        <v>0.9135322843055349</v>
      </c>
      <c r="T204" s="80"/>
      <c r="U204" s="59">
        <f>IF(D204=0,0,SUM($L$20:L204))</f>
        <v>34489113.837197259</v>
      </c>
      <c r="V204" s="59">
        <f>IF(D204=0,0,SUM($J$20:J204))</f>
        <v>35836049</v>
      </c>
      <c r="W204" s="63">
        <f t="shared" si="54"/>
        <v>1346935.1628027409</v>
      </c>
      <c r="X204" s="61">
        <f t="shared" si="15"/>
        <v>1.0390539220335098</v>
      </c>
      <c r="Y204" s="145"/>
      <c r="Z204" s="196">
        <f t="shared" si="63"/>
        <v>45476</v>
      </c>
      <c r="AA204" s="197">
        <f t="shared" si="63"/>
        <v>45476</v>
      </c>
      <c r="AB204" s="1"/>
      <c r="AC204" s="1"/>
      <c r="AD204" s="1"/>
      <c r="AE204" s="1"/>
      <c r="AF204" s="145"/>
      <c r="AG204" s="198">
        <f t="shared" si="59"/>
        <v>101</v>
      </c>
      <c r="AH204" s="145"/>
      <c r="AI204" s="145"/>
      <c r="AJ204" s="145"/>
      <c r="AK204" s="145"/>
      <c r="AL204" s="145"/>
      <c r="AM204" s="145"/>
      <c r="AN204" s="145"/>
    </row>
    <row r="205" spans="1:40" ht="20">
      <c r="A205" s="145"/>
      <c r="B205" s="152"/>
      <c r="C205" s="50">
        <f t="shared" si="55"/>
        <v>186</v>
      </c>
      <c r="D205" s="51">
        <v>1</v>
      </c>
      <c r="E205" s="187" t="str">
        <f t="shared" si="8"/>
        <v>7</v>
      </c>
      <c r="F205" s="188">
        <f t="shared" si="56"/>
        <v>45477</v>
      </c>
      <c r="G205" s="189" t="str">
        <f t="shared" si="57"/>
        <v>Thu</v>
      </c>
      <c r="H205" s="190"/>
      <c r="I205" s="200"/>
      <c r="J205" s="201">
        <v>265500</v>
      </c>
      <c r="K205" s="202"/>
      <c r="L205" s="59">
        <f t="shared" si="64"/>
        <v>234116.88564013841</v>
      </c>
      <c r="M205" s="60">
        <f t="shared" si="52"/>
        <v>31383.114359861589</v>
      </c>
      <c r="N205" s="61">
        <f t="shared" si="11"/>
        <v>1.1340489143875792</v>
      </c>
      <c r="O205" s="194"/>
      <c r="P205" s="106">
        <f>IF(D205=0,0,SUM($L$202:L205))</f>
        <v>936467.54256055364</v>
      </c>
      <c r="Q205" s="59">
        <f>IF(D205=0,0,SUM($J$202:J205))</f>
        <v>907120</v>
      </c>
      <c r="R205" s="63">
        <f t="shared" si="53"/>
        <v>-29347.542560553644</v>
      </c>
      <c r="S205" s="61">
        <f t="shared" si="13"/>
        <v>0.96866144182604597</v>
      </c>
      <c r="T205" s="80"/>
      <c r="U205" s="59">
        <f>IF(D205=0,0,SUM($L$20:L205))</f>
        <v>34723230.722837396</v>
      </c>
      <c r="V205" s="59">
        <f>IF(D205=0,0,SUM($J$20:J205))</f>
        <v>36101549</v>
      </c>
      <c r="W205" s="63">
        <f t="shared" si="54"/>
        <v>1378318.277162604</v>
      </c>
      <c r="X205" s="61">
        <f t="shared" si="15"/>
        <v>1.0396944134652795</v>
      </c>
      <c r="Y205" s="145"/>
      <c r="Z205" s="196">
        <f t="shared" si="63"/>
        <v>45477</v>
      </c>
      <c r="AA205" s="197">
        <f t="shared" si="63"/>
        <v>45477</v>
      </c>
      <c r="AB205" s="1"/>
      <c r="AC205" s="1"/>
      <c r="AD205" s="1"/>
      <c r="AE205" s="1"/>
      <c r="AF205" s="145"/>
      <c r="AG205" s="198">
        <f t="shared" si="59"/>
        <v>102</v>
      </c>
      <c r="AH205" s="145"/>
      <c r="AI205" s="145"/>
      <c r="AJ205" s="145"/>
      <c r="AK205" s="145"/>
      <c r="AL205" s="145"/>
      <c r="AM205" s="145"/>
      <c r="AN205" s="145"/>
    </row>
    <row r="206" spans="1:40" ht="20">
      <c r="A206" s="145"/>
      <c r="B206" s="152"/>
      <c r="C206" s="50">
        <f t="shared" si="55"/>
        <v>187</v>
      </c>
      <c r="D206" s="51">
        <v>1</v>
      </c>
      <c r="E206" s="187" t="str">
        <f t="shared" si="8"/>
        <v>7</v>
      </c>
      <c r="F206" s="188">
        <f t="shared" si="56"/>
        <v>45478</v>
      </c>
      <c r="G206" s="189" t="str">
        <f t="shared" si="57"/>
        <v>Fri</v>
      </c>
      <c r="H206" s="190"/>
      <c r="I206" s="200"/>
      <c r="J206" s="201">
        <v>425150</v>
      </c>
      <c r="K206" s="202"/>
      <c r="L206" s="59">
        <f t="shared" si="64"/>
        <v>234116.88564013841</v>
      </c>
      <c r="M206" s="60">
        <f t="shared" si="52"/>
        <v>191033.11435986159</v>
      </c>
      <c r="N206" s="61">
        <f t="shared" si="11"/>
        <v>1.8159732427566075</v>
      </c>
      <c r="O206" s="194"/>
      <c r="P206" s="106">
        <f>IF(D206=0,0,SUM($L$202:L206))</f>
        <v>1170584.4282006919</v>
      </c>
      <c r="Q206" s="59">
        <f>IF(D206=0,0,SUM($J$202:J206))</f>
        <v>1332270</v>
      </c>
      <c r="R206" s="63">
        <f t="shared" si="53"/>
        <v>161685.57179930806</v>
      </c>
      <c r="S206" s="61">
        <f t="shared" si="13"/>
        <v>1.1381238020121585</v>
      </c>
      <c r="T206" s="80"/>
      <c r="U206" s="59">
        <f>IF(D206=0,0,SUM($L$20:L206))</f>
        <v>34957347.608477533</v>
      </c>
      <c r="V206" s="59">
        <f>IF(D206=0,0,SUM($J$20:J206))</f>
        <v>36526699</v>
      </c>
      <c r="W206" s="63">
        <f t="shared" si="54"/>
        <v>1569351.3915224671</v>
      </c>
      <c r="X206" s="61">
        <f t="shared" si="15"/>
        <v>1.0448933199709318</v>
      </c>
      <c r="Y206" s="145"/>
      <c r="Z206" s="196">
        <f t="shared" si="63"/>
        <v>45478</v>
      </c>
      <c r="AA206" s="197">
        <f t="shared" si="63"/>
        <v>45478</v>
      </c>
      <c r="AB206" s="1"/>
      <c r="AC206" s="1"/>
      <c r="AD206" s="1"/>
      <c r="AE206" s="1"/>
      <c r="AF206" s="145"/>
      <c r="AG206" s="198">
        <f t="shared" si="59"/>
        <v>103</v>
      </c>
      <c r="AH206" s="145"/>
      <c r="AI206" s="145"/>
      <c r="AJ206" s="145"/>
      <c r="AK206" s="145"/>
      <c r="AL206" s="145"/>
      <c r="AM206" s="145"/>
      <c r="AN206" s="145"/>
    </row>
    <row r="207" spans="1:40" ht="20">
      <c r="A207" s="145"/>
      <c r="B207" s="152"/>
      <c r="C207" s="50">
        <f t="shared" si="55"/>
        <v>188</v>
      </c>
      <c r="D207" s="51">
        <v>1</v>
      </c>
      <c r="E207" s="187" t="str">
        <f t="shared" si="8"/>
        <v>7</v>
      </c>
      <c r="F207" s="188">
        <f t="shared" si="56"/>
        <v>45479</v>
      </c>
      <c r="G207" s="189" t="str">
        <f t="shared" si="57"/>
        <v>Sat</v>
      </c>
      <c r="H207" s="190"/>
      <c r="I207" s="200"/>
      <c r="J207" s="201">
        <v>219710</v>
      </c>
      <c r="K207" s="202"/>
      <c r="L207" s="59">
        <f t="shared" si="64"/>
        <v>234116.88564013841</v>
      </c>
      <c r="M207" s="60">
        <f t="shared" si="52"/>
        <v>-14406.885640138411</v>
      </c>
      <c r="N207" s="61">
        <f t="shared" si="11"/>
        <v>0.93846285114913386</v>
      </c>
      <c r="O207" s="194"/>
      <c r="P207" s="106">
        <f>IF(D207=0,0,SUM($L$202:L207))</f>
        <v>1404701.3138408302</v>
      </c>
      <c r="Q207" s="59">
        <f>IF(D207=0,0,SUM($J$202:J207))</f>
        <v>1551980</v>
      </c>
      <c r="R207" s="63">
        <f t="shared" si="53"/>
        <v>147278.68615916977</v>
      </c>
      <c r="S207" s="61">
        <f t="shared" si="13"/>
        <v>1.1048469768683211</v>
      </c>
      <c r="T207" s="81"/>
      <c r="U207" s="59">
        <f>IF(D207=0,0,SUM($L$20:L207))</f>
        <v>35191464.49411767</v>
      </c>
      <c r="V207" s="59">
        <f>IF(D207=0,0,SUM($J$20:J207))</f>
        <v>36746409</v>
      </c>
      <c r="W207" s="63">
        <f t="shared" si="54"/>
        <v>1554944.5058823302</v>
      </c>
      <c r="X207" s="61">
        <f t="shared" si="15"/>
        <v>1.0441852741349325</v>
      </c>
      <c r="Y207" s="145"/>
      <c r="Z207" s="196">
        <f t="shared" si="63"/>
        <v>45479</v>
      </c>
      <c r="AA207" s="197">
        <f t="shared" si="63"/>
        <v>45479</v>
      </c>
      <c r="AB207" s="1"/>
      <c r="AC207" s="1"/>
      <c r="AD207" s="1"/>
      <c r="AE207" s="1"/>
      <c r="AF207" s="145"/>
      <c r="AG207" s="198">
        <f t="shared" si="59"/>
        <v>104</v>
      </c>
      <c r="AH207" s="145"/>
      <c r="AI207" s="145"/>
      <c r="AJ207" s="145"/>
      <c r="AK207" s="145"/>
      <c r="AL207" s="145"/>
      <c r="AM207" s="145"/>
      <c r="AN207" s="145"/>
    </row>
    <row r="208" spans="1:40" ht="20">
      <c r="A208" s="145"/>
      <c r="B208" s="152"/>
      <c r="C208" s="50">
        <f t="shared" si="55"/>
        <v>189</v>
      </c>
      <c r="D208" s="51">
        <v>0</v>
      </c>
      <c r="E208" s="187" t="str">
        <f t="shared" si="8"/>
        <v>7</v>
      </c>
      <c r="F208" s="188">
        <f t="shared" si="56"/>
        <v>45480</v>
      </c>
      <c r="G208" s="189" t="str">
        <f t="shared" si="57"/>
        <v>Sun</v>
      </c>
      <c r="H208" s="190" t="s">
        <v>58</v>
      </c>
      <c r="I208" s="200"/>
      <c r="J208" s="201">
        <v>0</v>
      </c>
      <c r="K208" s="202"/>
      <c r="L208" s="59">
        <f t="shared" si="64"/>
        <v>0</v>
      </c>
      <c r="M208" s="60">
        <f t="shared" si="52"/>
        <v>0</v>
      </c>
      <c r="N208" s="61" t="str">
        <f t="shared" si="11"/>
        <v>0%</v>
      </c>
      <c r="O208" s="194"/>
      <c r="P208" s="106">
        <f>IF(D208=0,0,SUM($L$202:L208))</f>
        <v>0</v>
      </c>
      <c r="Q208" s="59">
        <f>IF(D208=0,0,SUM($J$202:J208))</f>
        <v>0</v>
      </c>
      <c r="R208" s="63">
        <f t="shared" si="53"/>
        <v>0</v>
      </c>
      <c r="S208" s="61" t="str">
        <f t="shared" si="13"/>
        <v>0%</v>
      </c>
      <c r="T208" s="80"/>
      <c r="U208" s="59">
        <f>IF(D208=0,0,SUM($L$20:L208))</f>
        <v>0</v>
      </c>
      <c r="V208" s="59">
        <f>IF(D208=0,0,SUM($J$20:J208))</f>
        <v>0</v>
      </c>
      <c r="W208" s="63">
        <f t="shared" si="54"/>
        <v>0</v>
      </c>
      <c r="X208" s="61" t="str">
        <f t="shared" si="15"/>
        <v>0%</v>
      </c>
      <c r="Y208" s="145"/>
      <c r="Z208" s="196">
        <f t="shared" si="63"/>
        <v>45480</v>
      </c>
      <c r="AA208" s="197">
        <f t="shared" si="63"/>
        <v>45480</v>
      </c>
      <c r="AB208" s="1"/>
      <c r="AC208" s="1"/>
      <c r="AD208" s="1"/>
      <c r="AE208" s="1"/>
      <c r="AF208" s="145"/>
      <c r="AG208" s="198">
        <f t="shared" si="59"/>
        <v>105</v>
      </c>
      <c r="AH208" s="145"/>
      <c r="AI208" s="145"/>
      <c r="AJ208" s="145"/>
      <c r="AK208" s="145"/>
      <c r="AL208" s="145"/>
      <c r="AM208" s="145"/>
      <c r="AN208" s="145"/>
    </row>
    <row r="209" spans="1:40" ht="20">
      <c r="A209" s="145"/>
      <c r="B209" s="152"/>
      <c r="C209" s="50">
        <f t="shared" si="55"/>
        <v>190</v>
      </c>
      <c r="D209" s="51">
        <v>1</v>
      </c>
      <c r="E209" s="187" t="str">
        <f t="shared" si="8"/>
        <v>7</v>
      </c>
      <c r="F209" s="188">
        <f t="shared" si="56"/>
        <v>45481</v>
      </c>
      <c r="G209" s="189" t="str">
        <f t="shared" si="57"/>
        <v>Mon</v>
      </c>
      <c r="H209" s="190"/>
      <c r="I209" s="200"/>
      <c r="J209" s="201">
        <v>267650</v>
      </c>
      <c r="K209" s="202"/>
      <c r="L209" s="59">
        <f t="shared" si="64"/>
        <v>234116.88564013841</v>
      </c>
      <c r="M209" s="60">
        <f t="shared" si="52"/>
        <v>33533.114359861589</v>
      </c>
      <c r="N209" s="61">
        <f t="shared" si="11"/>
        <v>1.1432323613402471</v>
      </c>
      <c r="O209" s="194"/>
      <c r="P209" s="106">
        <f>IF(D209=0,0,SUM($L$202:L209))</f>
        <v>1638818.1994809685</v>
      </c>
      <c r="Q209" s="59">
        <f>IF(D209=0,0,SUM($J$202:J209))</f>
        <v>1819630</v>
      </c>
      <c r="R209" s="63">
        <f t="shared" si="53"/>
        <v>180811.80051903147</v>
      </c>
      <c r="S209" s="61">
        <f t="shared" si="13"/>
        <v>1.1103306032214535</v>
      </c>
      <c r="T209" s="80"/>
      <c r="U209" s="59">
        <f>IF(D209=0,0,SUM($L$20:L209))</f>
        <v>35425581.379757807</v>
      </c>
      <c r="V209" s="59">
        <f>IF(D209=0,0,SUM($J$20:J209))</f>
        <v>37014059</v>
      </c>
      <c r="W209" s="63">
        <f t="shared" si="54"/>
        <v>1588477.6202421933</v>
      </c>
      <c r="X209" s="61">
        <f t="shared" si="15"/>
        <v>1.0448398461895068</v>
      </c>
      <c r="Y209" s="145"/>
      <c r="Z209" s="196">
        <f t="shared" si="63"/>
        <v>45481</v>
      </c>
      <c r="AA209" s="197">
        <f t="shared" si="63"/>
        <v>45481</v>
      </c>
      <c r="AB209" s="1"/>
      <c r="AC209" s="1"/>
      <c r="AD209" s="1"/>
      <c r="AE209" s="1"/>
      <c r="AF209" s="145"/>
      <c r="AG209" s="198">
        <f t="shared" si="59"/>
        <v>106</v>
      </c>
      <c r="AH209" s="145"/>
      <c r="AI209" s="145"/>
      <c r="AJ209" s="145"/>
      <c r="AK209" s="145"/>
      <c r="AL209" s="145"/>
      <c r="AM209" s="145"/>
      <c r="AN209" s="145"/>
    </row>
    <row r="210" spans="1:40" ht="20">
      <c r="A210" s="145"/>
      <c r="B210" s="152"/>
      <c r="C210" s="50">
        <f t="shared" si="55"/>
        <v>191</v>
      </c>
      <c r="D210" s="51">
        <v>1</v>
      </c>
      <c r="E210" s="187" t="str">
        <f t="shared" si="8"/>
        <v>7</v>
      </c>
      <c r="F210" s="188">
        <f t="shared" si="56"/>
        <v>45482</v>
      </c>
      <c r="G210" s="189" t="str">
        <f t="shared" si="57"/>
        <v>Tue</v>
      </c>
      <c r="H210" s="190"/>
      <c r="I210" s="200"/>
      <c r="J210" s="201">
        <v>185750</v>
      </c>
      <c r="K210" s="202"/>
      <c r="L210" s="59">
        <f t="shared" si="64"/>
        <v>234116.88564013841</v>
      </c>
      <c r="M210" s="60">
        <f t="shared" si="52"/>
        <v>-48366.885640138411</v>
      </c>
      <c r="N210" s="61">
        <f t="shared" si="11"/>
        <v>0.79340710300373951</v>
      </c>
      <c r="O210" s="194"/>
      <c r="P210" s="106">
        <f>IF(D210=0,0,SUM($L$202:L210))</f>
        <v>1872935.0851211068</v>
      </c>
      <c r="Q210" s="59">
        <f>IF(D210=0,0,SUM($J$202:J210))</f>
        <v>2005380</v>
      </c>
      <c r="R210" s="63">
        <f t="shared" si="53"/>
        <v>132444.91487889318</v>
      </c>
      <c r="S210" s="61">
        <f t="shared" si="13"/>
        <v>1.0707151656942393</v>
      </c>
      <c r="T210" s="80"/>
      <c r="U210" s="59">
        <f>IF(D210=0,0,SUM($L$20:L210))</f>
        <v>35659698.265397944</v>
      </c>
      <c r="V210" s="59">
        <f>IF(D210=0,0,SUM($J$20:J210))</f>
        <v>37199809</v>
      </c>
      <c r="W210" s="63">
        <f t="shared" si="54"/>
        <v>1540110.7346020564</v>
      </c>
      <c r="X210" s="61">
        <f t="shared" si="15"/>
        <v>1.0431891129066699</v>
      </c>
      <c r="Y210" s="145"/>
      <c r="Z210" s="196">
        <f t="shared" si="63"/>
        <v>45482</v>
      </c>
      <c r="AA210" s="197">
        <f t="shared" si="63"/>
        <v>45482</v>
      </c>
      <c r="AB210" s="1"/>
      <c r="AC210" s="1"/>
      <c r="AD210" s="1"/>
      <c r="AE210" s="1"/>
      <c r="AF210" s="145"/>
      <c r="AG210" s="198">
        <f t="shared" si="59"/>
        <v>107</v>
      </c>
      <c r="AH210" s="145"/>
      <c r="AI210" s="145"/>
      <c r="AJ210" s="145"/>
      <c r="AK210" s="145"/>
      <c r="AL210" s="145"/>
      <c r="AM210" s="145"/>
      <c r="AN210" s="145"/>
    </row>
    <row r="211" spans="1:40" ht="20">
      <c r="A211" s="145"/>
      <c r="B211" s="152"/>
      <c r="C211" s="50">
        <f t="shared" si="55"/>
        <v>192</v>
      </c>
      <c r="D211" s="51">
        <v>1</v>
      </c>
      <c r="E211" s="187" t="str">
        <f t="shared" si="8"/>
        <v>7</v>
      </c>
      <c r="F211" s="188">
        <f t="shared" si="56"/>
        <v>45483</v>
      </c>
      <c r="G211" s="189" t="str">
        <f t="shared" si="57"/>
        <v>Wed</v>
      </c>
      <c r="H211" s="190"/>
      <c r="I211" s="200"/>
      <c r="J211" s="201">
        <v>198000</v>
      </c>
      <c r="K211" s="202"/>
      <c r="L211" s="59">
        <f t="shared" si="64"/>
        <v>234116.88564013841</v>
      </c>
      <c r="M211" s="60">
        <f t="shared" si="52"/>
        <v>-36116.885640138411</v>
      </c>
      <c r="N211" s="61">
        <f t="shared" si="11"/>
        <v>0.84573139378056761</v>
      </c>
      <c r="O211" s="194"/>
      <c r="P211" s="106">
        <f>IF(D211=0,0,SUM($L$202:L211))</f>
        <v>2107051.9707612451</v>
      </c>
      <c r="Q211" s="59">
        <f>IF(D211=0,0,SUM($J$202:J211))</f>
        <v>2203380</v>
      </c>
      <c r="R211" s="63">
        <f t="shared" si="53"/>
        <v>96328.029238754883</v>
      </c>
      <c r="S211" s="61">
        <f t="shared" si="13"/>
        <v>1.0457169688149424</v>
      </c>
      <c r="T211" s="80"/>
      <c r="U211" s="59">
        <f>IF(D211=0,0,SUM($L$20:L211))</f>
        <v>35893815.15103808</v>
      </c>
      <c r="V211" s="59">
        <f>IF(D211=0,0,SUM($J$20:J211))</f>
        <v>37397809</v>
      </c>
      <c r="W211" s="63">
        <f t="shared" si="54"/>
        <v>1503993.8489619195</v>
      </c>
      <c r="X211" s="61">
        <f t="shared" si="15"/>
        <v>1.0419011978145327</v>
      </c>
      <c r="Y211" s="145"/>
      <c r="Z211" s="196">
        <f t="shared" si="63"/>
        <v>45483</v>
      </c>
      <c r="AA211" s="197">
        <f t="shared" si="63"/>
        <v>45483</v>
      </c>
      <c r="AB211" s="1"/>
      <c r="AC211" s="1"/>
      <c r="AD211" s="1"/>
      <c r="AE211" s="1"/>
      <c r="AF211" s="145"/>
      <c r="AG211" s="198">
        <f t="shared" si="59"/>
        <v>108</v>
      </c>
      <c r="AH211" s="145"/>
      <c r="AI211" s="145"/>
      <c r="AJ211" s="145"/>
      <c r="AK211" s="145"/>
      <c r="AL211" s="145"/>
      <c r="AM211" s="145"/>
      <c r="AN211" s="145"/>
    </row>
    <row r="212" spans="1:40" ht="20">
      <c r="A212" s="145"/>
      <c r="B212" s="152"/>
      <c r="C212" s="50">
        <f t="shared" si="55"/>
        <v>193</v>
      </c>
      <c r="D212" s="51">
        <v>1</v>
      </c>
      <c r="E212" s="187" t="str">
        <f t="shared" si="8"/>
        <v>7</v>
      </c>
      <c r="F212" s="188">
        <f t="shared" si="56"/>
        <v>45484</v>
      </c>
      <c r="G212" s="189" t="str">
        <f t="shared" si="57"/>
        <v>Thu</v>
      </c>
      <c r="H212" s="190"/>
      <c r="I212" s="200"/>
      <c r="J212" s="201">
        <v>436600</v>
      </c>
      <c r="K212" s="202"/>
      <c r="L212" s="59">
        <f t="shared" si="64"/>
        <v>234116.88564013841</v>
      </c>
      <c r="M212" s="60">
        <f t="shared" ref="M212:M275" si="65">IF(D212=0,0,J212-L212)</f>
        <v>202483.11435986159</v>
      </c>
      <c r="N212" s="61">
        <f t="shared" si="11"/>
        <v>1.864880436992908</v>
      </c>
      <c r="O212" s="194"/>
      <c r="P212" s="106">
        <f>IF(D212=0,0,SUM($L$202:L212))</f>
        <v>2341168.8564013834</v>
      </c>
      <c r="Q212" s="59">
        <f>IF(D212=0,0,SUM($J$202:J212))</f>
        <v>2639980</v>
      </c>
      <c r="R212" s="63">
        <f t="shared" ref="R212:R275" si="66">IF(D212=0,0,Q212-P212)</f>
        <v>298811.14359861659</v>
      </c>
      <c r="S212" s="61">
        <f t="shared" si="13"/>
        <v>1.1276333156327392</v>
      </c>
      <c r="T212" s="80"/>
      <c r="U212" s="59">
        <f>IF(D212=0,0,SUM($L$20:L212))</f>
        <v>36127932.036678217</v>
      </c>
      <c r="V212" s="59">
        <f>IF(D212=0,0,SUM($J$20:J212))</f>
        <v>37834409</v>
      </c>
      <c r="W212" s="63">
        <f t="shared" ref="W212:W275" si="67">IF(D212=0,0,V212-U212)</f>
        <v>1706476.9633217826</v>
      </c>
      <c r="X212" s="61">
        <f t="shared" si="15"/>
        <v>1.0472342829251704</v>
      </c>
      <c r="Y212" s="145"/>
      <c r="Z212" s="196">
        <f t="shared" si="63"/>
        <v>45484</v>
      </c>
      <c r="AA212" s="197">
        <f t="shared" si="63"/>
        <v>45484</v>
      </c>
      <c r="AB212" s="1"/>
      <c r="AC212" s="1"/>
      <c r="AD212" s="1"/>
      <c r="AE212" s="1"/>
      <c r="AF212" s="145"/>
      <c r="AG212" s="198">
        <f t="shared" si="59"/>
        <v>109</v>
      </c>
      <c r="AH212" s="145"/>
      <c r="AI212" s="145"/>
      <c r="AJ212" s="145"/>
      <c r="AK212" s="145"/>
      <c r="AL212" s="145"/>
      <c r="AM212" s="145"/>
      <c r="AN212" s="145"/>
    </row>
    <row r="213" spans="1:40" ht="20">
      <c r="A213" s="145"/>
      <c r="B213" s="152"/>
      <c r="C213" s="50">
        <f t="shared" ref="C213:C276" si="68">C212+1</f>
        <v>194</v>
      </c>
      <c r="D213" s="51">
        <v>1</v>
      </c>
      <c r="E213" s="187" t="str">
        <f t="shared" si="8"/>
        <v>7</v>
      </c>
      <c r="F213" s="188">
        <f t="shared" ref="F213:F276" si="69">F212+1</f>
        <v>45485</v>
      </c>
      <c r="G213" s="189" t="str">
        <f t="shared" ref="G213:G276" si="70">TEXT(Z213,"ddd")</f>
        <v>Fri</v>
      </c>
      <c r="H213" s="190"/>
      <c r="I213" s="200"/>
      <c r="J213" s="201">
        <v>436350</v>
      </c>
      <c r="K213" s="202"/>
      <c r="L213" s="59">
        <f t="shared" si="64"/>
        <v>234116.88564013841</v>
      </c>
      <c r="M213" s="60">
        <f t="shared" si="65"/>
        <v>202233.11435986159</v>
      </c>
      <c r="N213" s="61">
        <f t="shared" si="11"/>
        <v>1.8638125943239932</v>
      </c>
      <c r="O213" s="194"/>
      <c r="P213" s="106">
        <f>IF(D213=0,0,SUM($L$202:L213))</f>
        <v>2575285.7420415217</v>
      </c>
      <c r="Q213" s="59">
        <f>IF(D213=0,0,SUM($J$202:J213))</f>
        <v>3076330</v>
      </c>
      <c r="R213" s="63">
        <f t="shared" si="66"/>
        <v>501044.25795847829</v>
      </c>
      <c r="S213" s="61">
        <f t="shared" si="13"/>
        <v>1.1945587046046713</v>
      </c>
      <c r="T213" s="80"/>
      <c r="U213" s="59">
        <f>IF(D213=0,0,SUM($L$20:L213))</f>
        <v>36362048.922318354</v>
      </c>
      <c r="V213" s="59">
        <f>IF(D213=0,0,SUM($J$20:J213))</f>
        <v>38270759</v>
      </c>
      <c r="W213" s="63">
        <f t="shared" si="67"/>
        <v>1908710.0776816458</v>
      </c>
      <c r="X213" s="61">
        <f t="shared" si="15"/>
        <v>1.0524918186474941</v>
      </c>
      <c r="Y213" s="145"/>
      <c r="Z213" s="196">
        <f t="shared" ref="Z213:AA228" si="71">Z212+1</f>
        <v>45485</v>
      </c>
      <c r="AA213" s="197">
        <f t="shared" si="71"/>
        <v>45485</v>
      </c>
      <c r="AB213" s="1"/>
      <c r="AC213" s="1"/>
      <c r="AD213" s="1"/>
      <c r="AE213" s="1"/>
      <c r="AF213" s="145"/>
      <c r="AG213" s="198">
        <f t="shared" si="59"/>
        <v>110</v>
      </c>
      <c r="AH213" s="145"/>
      <c r="AI213" s="145"/>
      <c r="AJ213" s="145"/>
      <c r="AK213" s="145"/>
      <c r="AL213" s="145"/>
      <c r="AM213" s="145"/>
      <c r="AN213" s="145"/>
    </row>
    <row r="214" spans="1:40" ht="20">
      <c r="A214" s="145"/>
      <c r="B214" s="152"/>
      <c r="C214" s="50">
        <f t="shared" si="68"/>
        <v>195</v>
      </c>
      <c r="D214" s="51">
        <v>1</v>
      </c>
      <c r="E214" s="187" t="str">
        <f t="shared" si="8"/>
        <v>7</v>
      </c>
      <c r="F214" s="188">
        <f t="shared" si="69"/>
        <v>45486</v>
      </c>
      <c r="G214" s="189" t="str">
        <f t="shared" si="70"/>
        <v>Sat</v>
      </c>
      <c r="H214" s="190"/>
      <c r="I214" s="200"/>
      <c r="J214" s="201">
        <v>157580</v>
      </c>
      <c r="K214" s="202"/>
      <c r="L214" s="59">
        <f t="shared" si="64"/>
        <v>234116.88564013841</v>
      </c>
      <c r="M214" s="60">
        <f t="shared" si="65"/>
        <v>-76536.885640138411</v>
      </c>
      <c r="N214" s="61">
        <f t="shared" si="11"/>
        <v>0.67308259107041335</v>
      </c>
      <c r="O214" s="194"/>
      <c r="P214" s="106">
        <f>IF(D214=0,0,SUM($L$202:L214))</f>
        <v>2809402.62768166</v>
      </c>
      <c r="Q214" s="59">
        <f>IF(D214=0,0,SUM($J$202:J214))</f>
        <v>3233910</v>
      </c>
      <c r="R214" s="63">
        <f t="shared" si="66"/>
        <v>424507.37231834</v>
      </c>
      <c r="S214" s="61">
        <f t="shared" si="13"/>
        <v>1.1511023618101499</v>
      </c>
      <c r="T214" s="81"/>
      <c r="U214" s="59">
        <f>IF(D214=0,0,SUM($L$20:L214))</f>
        <v>36596165.807958491</v>
      </c>
      <c r="V214" s="59">
        <f>IF(D214=0,0,SUM($J$20:J214))</f>
        <v>38428339</v>
      </c>
      <c r="W214" s="63">
        <f t="shared" si="67"/>
        <v>1832173.1920415089</v>
      </c>
      <c r="X214" s="61">
        <f t="shared" si="15"/>
        <v>1.0500646215687184</v>
      </c>
      <c r="Y214" s="145"/>
      <c r="Z214" s="196">
        <f t="shared" si="71"/>
        <v>45486</v>
      </c>
      <c r="AA214" s="197">
        <f t="shared" si="71"/>
        <v>45486</v>
      </c>
      <c r="AB214" s="1"/>
      <c r="AC214" s="1"/>
      <c r="AD214" s="1"/>
      <c r="AE214" s="1"/>
      <c r="AF214" s="145"/>
      <c r="AG214" s="198">
        <f t="shared" ref="AG214:AG277" si="72">AG213+1</f>
        <v>111</v>
      </c>
      <c r="AH214" s="145"/>
      <c r="AI214" s="145"/>
      <c r="AJ214" s="145"/>
      <c r="AK214" s="145"/>
      <c r="AL214" s="145"/>
      <c r="AM214" s="145"/>
      <c r="AN214" s="145"/>
    </row>
    <row r="215" spans="1:40" ht="20">
      <c r="A215" s="145"/>
      <c r="B215" s="152"/>
      <c r="C215" s="50">
        <f t="shared" si="68"/>
        <v>196</v>
      </c>
      <c r="D215" s="51">
        <v>0</v>
      </c>
      <c r="E215" s="187" t="str">
        <f t="shared" si="8"/>
        <v>7</v>
      </c>
      <c r="F215" s="188">
        <f t="shared" si="69"/>
        <v>45487</v>
      </c>
      <c r="G215" s="189" t="str">
        <f t="shared" si="70"/>
        <v>Sun</v>
      </c>
      <c r="H215" s="190" t="s">
        <v>58</v>
      </c>
      <c r="I215" s="200"/>
      <c r="J215" s="201">
        <v>0</v>
      </c>
      <c r="K215" s="202"/>
      <c r="L215" s="59">
        <f t="shared" si="64"/>
        <v>0</v>
      </c>
      <c r="M215" s="60">
        <f t="shared" si="65"/>
        <v>0</v>
      </c>
      <c r="N215" s="61" t="str">
        <f t="shared" si="11"/>
        <v>0%</v>
      </c>
      <c r="O215" s="194"/>
      <c r="P215" s="106">
        <f>IF(D215=0,0,SUM($L$202:L215))</f>
        <v>0</v>
      </c>
      <c r="Q215" s="59">
        <f>IF(D215=0,0,SUM($J$202:J215))</f>
        <v>0</v>
      </c>
      <c r="R215" s="63">
        <f t="shared" si="66"/>
        <v>0</v>
      </c>
      <c r="S215" s="61" t="str">
        <f t="shared" si="13"/>
        <v>0%</v>
      </c>
      <c r="T215" s="80"/>
      <c r="U215" s="59">
        <f>IF(D215=0,0,SUM($L$20:L215))</f>
        <v>0</v>
      </c>
      <c r="V215" s="59">
        <f>IF(D215=0,0,SUM($J$20:J215))</f>
        <v>0</v>
      </c>
      <c r="W215" s="63">
        <f t="shared" si="67"/>
        <v>0</v>
      </c>
      <c r="X215" s="61" t="str">
        <f t="shared" si="15"/>
        <v>0%</v>
      </c>
      <c r="Y215" s="145"/>
      <c r="Z215" s="196">
        <f t="shared" si="71"/>
        <v>45487</v>
      </c>
      <c r="AA215" s="197">
        <f t="shared" si="71"/>
        <v>45487</v>
      </c>
      <c r="AB215" s="1"/>
      <c r="AC215" s="1"/>
      <c r="AD215" s="1"/>
      <c r="AE215" s="1"/>
      <c r="AF215" s="145"/>
      <c r="AG215" s="198">
        <f t="shared" si="72"/>
        <v>112</v>
      </c>
      <c r="AH215" s="145"/>
      <c r="AI215" s="145"/>
      <c r="AJ215" s="145"/>
      <c r="AK215" s="145"/>
      <c r="AL215" s="145"/>
      <c r="AM215" s="145"/>
      <c r="AN215" s="145"/>
    </row>
    <row r="216" spans="1:40" ht="20">
      <c r="A216" s="145"/>
      <c r="B216" s="152"/>
      <c r="C216" s="50">
        <f t="shared" si="68"/>
        <v>197</v>
      </c>
      <c r="D216" s="51">
        <v>0</v>
      </c>
      <c r="E216" s="187" t="str">
        <f t="shared" si="8"/>
        <v>7</v>
      </c>
      <c r="F216" s="188">
        <f t="shared" si="69"/>
        <v>45488</v>
      </c>
      <c r="G216" s="189" t="str">
        <f t="shared" si="70"/>
        <v>Mon</v>
      </c>
      <c r="H216" s="190" t="s">
        <v>115</v>
      </c>
      <c r="I216" s="200"/>
      <c r="J216" s="201">
        <v>0</v>
      </c>
      <c r="K216" s="202"/>
      <c r="L216" s="59">
        <f t="shared" si="64"/>
        <v>0</v>
      </c>
      <c r="M216" s="60">
        <f t="shared" si="65"/>
        <v>0</v>
      </c>
      <c r="N216" s="61" t="str">
        <f t="shared" si="11"/>
        <v>0%</v>
      </c>
      <c r="O216" s="194"/>
      <c r="P216" s="106">
        <f>IF(D216=0,0,SUM($L$202:L216))</f>
        <v>0</v>
      </c>
      <c r="Q216" s="59">
        <f>IF(D216=0,0,SUM($J$202:J216))</f>
        <v>0</v>
      </c>
      <c r="R216" s="63">
        <f t="shared" si="66"/>
        <v>0</v>
      </c>
      <c r="S216" s="61" t="str">
        <f t="shared" si="13"/>
        <v>0%</v>
      </c>
      <c r="T216" s="80"/>
      <c r="U216" s="59">
        <f>IF(D216=0,0,SUM($L$20:L216))</f>
        <v>0</v>
      </c>
      <c r="V216" s="59">
        <f>IF(D216=0,0,SUM($J$20:J216))</f>
        <v>0</v>
      </c>
      <c r="W216" s="63">
        <f t="shared" si="67"/>
        <v>0</v>
      </c>
      <c r="X216" s="61" t="str">
        <f t="shared" si="15"/>
        <v>0%</v>
      </c>
      <c r="Y216" s="145"/>
      <c r="Z216" s="196">
        <f t="shared" si="71"/>
        <v>45488</v>
      </c>
      <c r="AA216" s="197">
        <f t="shared" si="71"/>
        <v>45488</v>
      </c>
      <c r="AB216" s="1"/>
      <c r="AC216" s="1"/>
      <c r="AD216" s="1"/>
      <c r="AE216" s="1"/>
      <c r="AF216" s="145"/>
      <c r="AG216" s="198">
        <f t="shared" si="72"/>
        <v>113</v>
      </c>
      <c r="AH216" s="145"/>
      <c r="AI216" s="145"/>
      <c r="AJ216" s="145"/>
      <c r="AK216" s="145"/>
      <c r="AL216" s="145"/>
      <c r="AM216" s="145"/>
      <c r="AN216" s="145"/>
    </row>
    <row r="217" spans="1:40" ht="20">
      <c r="A217" s="145"/>
      <c r="B217" s="152"/>
      <c r="C217" s="50">
        <f t="shared" si="68"/>
        <v>198</v>
      </c>
      <c r="D217" s="51">
        <v>1</v>
      </c>
      <c r="E217" s="187" t="str">
        <f t="shared" si="8"/>
        <v>7</v>
      </c>
      <c r="F217" s="188">
        <f t="shared" si="69"/>
        <v>45489</v>
      </c>
      <c r="G217" s="189" t="str">
        <f t="shared" si="70"/>
        <v>Tue</v>
      </c>
      <c r="H217" s="190"/>
      <c r="I217" s="200"/>
      <c r="J217" s="201">
        <v>185350</v>
      </c>
      <c r="K217" s="202"/>
      <c r="L217" s="59">
        <f t="shared" si="64"/>
        <v>234116.88564013841</v>
      </c>
      <c r="M217" s="60">
        <f t="shared" si="65"/>
        <v>-48766.885640138411</v>
      </c>
      <c r="N217" s="61">
        <f t="shared" si="11"/>
        <v>0.79169855473347572</v>
      </c>
      <c r="O217" s="194"/>
      <c r="P217" s="106">
        <f>IF(D217=0,0,SUM($L$202:L217))</f>
        <v>3043519.5133217983</v>
      </c>
      <c r="Q217" s="59">
        <f>IF(D217=0,0,SUM($J$202:J217))</f>
        <v>3419260</v>
      </c>
      <c r="R217" s="63">
        <f t="shared" si="66"/>
        <v>375740.48667820171</v>
      </c>
      <c r="S217" s="61">
        <f t="shared" si="13"/>
        <v>1.1234559151119443</v>
      </c>
      <c r="T217" s="80"/>
      <c r="U217" s="59">
        <f>IF(D217=0,0,SUM($L$20:L217))</f>
        <v>36830282.693598628</v>
      </c>
      <c r="V217" s="59">
        <f>IF(D217=0,0,SUM($J$20:J217))</f>
        <v>38613689</v>
      </c>
      <c r="W217" s="63">
        <f t="shared" si="67"/>
        <v>1783406.306401372</v>
      </c>
      <c r="X217" s="61">
        <f t="shared" si="15"/>
        <v>1.0484222812308563</v>
      </c>
      <c r="Y217" s="145"/>
      <c r="Z217" s="196">
        <f t="shared" si="71"/>
        <v>45489</v>
      </c>
      <c r="AA217" s="197">
        <f t="shared" si="71"/>
        <v>45489</v>
      </c>
      <c r="AB217" s="1"/>
      <c r="AC217" s="1"/>
      <c r="AD217" s="1"/>
      <c r="AE217" s="1"/>
      <c r="AF217" s="145"/>
      <c r="AG217" s="198">
        <f t="shared" si="72"/>
        <v>114</v>
      </c>
      <c r="AH217" s="145"/>
      <c r="AI217" s="145"/>
      <c r="AJ217" s="145"/>
      <c r="AK217" s="145"/>
      <c r="AL217" s="145"/>
      <c r="AM217" s="145"/>
      <c r="AN217" s="145"/>
    </row>
    <row r="218" spans="1:40" ht="20">
      <c r="A218" s="145"/>
      <c r="B218" s="152"/>
      <c r="C218" s="50">
        <f t="shared" si="68"/>
        <v>199</v>
      </c>
      <c r="D218" s="51">
        <v>1</v>
      </c>
      <c r="E218" s="187" t="str">
        <f t="shared" si="8"/>
        <v>7</v>
      </c>
      <c r="F218" s="188">
        <f t="shared" si="69"/>
        <v>45490</v>
      </c>
      <c r="G218" s="189" t="str">
        <f t="shared" si="70"/>
        <v>Wed</v>
      </c>
      <c r="H218" s="190"/>
      <c r="I218" s="200"/>
      <c r="J218" s="201">
        <v>309450</v>
      </c>
      <c r="K218" s="202"/>
      <c r="L218" s="59">
        <f t="shared" si="64"/>
        <v>234116.88564013841</v>
      </c>
      <c r="M218" s="60">
        <f t="shared" si="65"/>
        <v>75333.114359861589</v>
      </c>
      <c r="N218" s="61">
        <f t="shared" si="11"/>
        <v>1.3217756555828113</v>
      </c>
      <c r="O218" s="194"/>
      <c r="P218" s="106">
        <f>IF(D218=0,0,SUM($L$202:L218))</f>
        <v>3277636.3989619366</v>
      </c>
      <c r="Q218" s="59">
        <f>IF(D218=0,0,SUM($J$202:J218))</f>
        <v>3728710</v>
      </c>
      <c r="R218" s="63">
        <f t="shared" si="66"/>
        <v>451073.60103806341</v>
      </c>
      <c r="S218" s="61">
        <f t="shared" si="13"/>
        <v>1.1376216108598634</v>
      </c>
      <c r="T218" s="80"/>
      <c r="U218" s="59">
        <f>IF(D218=0,0,SUM($L$20:L218))</f>
        <v>37064399.579238765</v>
      </c>
      <c r="V218" s="59">
        <f>IF(D218=0,0,SUM($J$20:J218))</f>
        <v>38923139</v>
      </c>
      <c r="W218" s="63">
        <f t="shared" si="67"/>
        <v>1858739.4207612351</v>
      </c>
      <c r="X218" s="61">
        <f t="shared" si="15"/>
        <v>1.0501489149119358</v>
      </c>
      <c r="Y218" s="145"/>
      <c r="Z218" s="196">
        <f t="shared" si="71"/>
        <v>45490</v>
      </c>
      <c r="AA218" s="197">
        <f t="shared" si="71"/>
        <v>45490</v>
      </c>
      <c r="AB218" s="1"/>
      <c r="AC218" s="1"/>
      <c r="AD218" s="1"/>
      <c r="AE218" s="1"/>
      <c r="AF218" s="145"/>
      <c r="AG218" s="198">
        <f t="shared" si="72"/>
        <v>115</v>
      </c>
      <c r="AH218" s="145"/>
      <c r="AI218" s="145"/>
      <c r="AJ218" s="145"/>
      <c r="AK218" s="145"/>
      <c r="AL218" s="145"/>
      <c r="AM218" s="145"/>
      <c r="AN218" s="145"/>
    </row>
    <row r="219" spans="1:40" ht="20">
      <c r="A219" s="145"/>
      <c r="B219" s="152"/>
      <c r="C219" s="50">
        <f t="shared" si="68"/>
        <v>200</v>
      </c>
      <c r="D219" s="51">
        <v>1</v>
      </c>
      <c r="E219" s="187" t="str">
        <f t="shared" si="8"/>
        <v>7</v>
      </c>
      <c r="F219" s="188">
        <f t="shared" si="69"/>
        <v>45491</v>
      </c>
      <c r="G219" s="189" t="str">
        <f t="shared" si="70"/>
        <v>Thu</v>
      </c>
      <c r="H219" s="190"/>
      <c r="I219" s="200"/>
      <c r="J219" s="201">
        <v>327800</v>
      </c>
      <c r="K219" s="202"/>
      <c r="L219" s="59">
        <f t="shared" si="64"/>
        <v>234116.88564013841</v>
      </c>
      <c r="M219" s="60">
        <f t="shared" si="65"/>
        <v>93683.114359861589</v>
      </c>
      <c r="N219" s="61">
        <f t="shared" si="11"/>
        <v>1.4001553074811619</v>
      </c>
      <c r="O219" s="194"/>
      <c r="P219" s="106">
        <f>IF(D219=0,0,SUM($L$202:L219))</f>
        <v>3511753.2846020749</v>
      </c>
      <c r="Q219" s="59">
        <f>IF(D219=0,0,SUM($J$202:J219))</f>
        <v>4056510</v>
      </c>
      <c r="R219" s="63">
        <f t="shared" si="66"/>
        <v>544756.71539792512</v>
      </c>
      <c r="S219" s="61">
        <f t="shared" si="13"/>
        <v>1.1551238573012832</v>
      </c>
      <c r="T219" s="80"/>
      <c r="U219" s="59">
        <f>IF(D219=0,0,SUM($L$20:L219))</f>
        <v>37298516.464878902</v>
      </c>
      <c r="V219" s="59">
        <f>IF(D219=0,0,SUM($J$20:J219))</f>
        <v>39250939</v>
      </c>
      <c r="W219" s="63">
        <f t="shared" si="67"/>
        <v>1952422.5351210982</v>
      </c>
      <c r="X219" s="61">
        <f t="shared" si="15"/>
        <v>1.0523458496522118</v>
      </c>
      <c r="Y219" s="145"/>
      <c r="Z219" s="196">
        <f t="shared" si="71"/>
        <v>45491</v>
      </c>
      <c r="AA219" s="197">
        <f t="shared" si="71"/>
        <v>45491</v>
      </c>
      <c r="AB219" s="1"/>
      <c r="AC219" s="1"/>
      <c r="AD219" s="1"/>
      <c r="AE219" s="1"/>
      <c r="AF219" s="145"/>
      <c r="AG219" s="198">
        <f t="shared" si="72"/>
        <v>116</v>
      </c>
      <c r="AH219" s="145"/>
      <c r="AI219" s="145"/>
      <c r="AJ219" s="145"/>
      <c r="AK219" s="145"/>
      <c r="AL219" s="145"/>
      <c r="AM219" s="145"/>
      <c r="AN219" s="145"/>
    </row>
    <row r="220" spans="1:40" ht="20">
      <c r="A220" s="145"/>
      <c r="B220" s="152"/>
      <c r="C220" s="50">
        <f t="shared" si="68"/>
        <v>201</v>
      </c>
      <c r="D220" s="51">
        <v>1</v>
      </c>
      <c r="E220" s="187" t="str">
        <f t="shared" si="8"/>
        <v>7</v>
      </c>
      <c r="F220" s="188">
        <f t="shared" si="69"/>
        <v>45492</v>
      </c>
      <c r="G220" s="189" t="str">
        <f t="shared" si="70"/>
        <v>Fri</v>
      </c>
      <c r="H220" s="190"/>
      <c r="I220" s="200"/>
      <c r="J220" s="201">
        <v>262250</v>
      </c>
      <c r="K220" s="202"/>
      <c r="L220" s="59">
        <f t="shared" si="64"/>
        <v>234116.88564013841</v>
      </c>
      <c r="M220" s="60">
        <f t="shared" si="65"/>
        <v>28133.114359861589</v>
      </c>
      <c r="N220" s="61">
        <f t="shared" si="11"/>
        <v>1.1201669596916861</v>
      </c>
      <c r="O220" s="194"/>
      <c r="P220" s="106">
        <f>IF(D220=0,0,SUM($L$202:L220))</f>
        <v>3745870.1702422132</v>
      </c>
      <c r="Q220" s="59">
        <f>IF(D220=0,0,SUM($J$202:J220))</f>
        <v>4318760</v>
      </c>
      <c r="R220" s="63">
        <f t="shared" si="66"/>
        <v>572889.82975778682</v>
      </c>
      <c r="S220" s="61">
        <f t="shared" si="13"/>
        <v>1.1529390512006834</v>
      </c>
      <c r="T220" s="80"/>
      <c r="U220" s="59">
        <f>IF(D220=0,0,SUM($L$20:L220))</f>
        <v>37532633.350519039</v>
      </c>
      <c r="V220" s="59">
        <f>IF(D220=0,0,SUM($J$20:J220))</f>
        <v>39513189</v>
      </c>
      <c r="W220" s="63">
        <f t="shared" si="67"/>
        <v>1980555.6494809613</v>
      </c>
      <c r="X220" s="61">
        <f t="shared" si="15"/>
        <v>1.0527688966288204</v>
      </c>
      <c r="Y220" s="145"/>
      <c r="Z220" s="196">
        <f t="shared" si="71"/>
        <v>45492</v>
      </c>
      <c r="AA220" s="197">
        <f t="shared" si="71"/>
        <v>45492</v>
      </c>
      <c r="AB220" s="1"/>
      <c r="AC220" s="1"/>
      <c r="AD220" s="1"/>
      <c r="AE220" s="1"/>
      <c r="AF220" s="145"/>
      <c r="AG220" s="198">
        <f t="shared" si="72"/>
        <v>117</v>
      </c>
      <c r="AH220" s="145"/>
      <c r="AI220" s="145"/>
      <c r="AJ220" s="145"/>
      <c r="AK220" s="145"/>
      <c r="AL220" s="145"/>
      <c r="AM220" s="145"/>
      <c r="AN220" s="145"/>
    </row>
    <row r="221" spans="1:40" ht="20">
      <c r="A221" s="145"/>
      <c r="B221" s="152"/>
      <c r="C221" s="50">
        <f t="shared" si="68"/>
        <v>202</v>
      </c>
      <c r="D221" s="51">
        <v>1</v>
      </c>
      <c r="E221" s="187" t="str">
        <f t="shared" si="8"/>
        <v>7</v>
      </c>
      <c r="F221" s="188">
        <f t="shared" si="69"/>
        <v>45493</v>
      </c>
      <c r="G221" s="189" t="str">
        <f t="shared" si="70"/>
        <v>Sat</v>
      </c>
      <c r="H221" s="190"/>
      <c r="I221" s="200"/>
      <c r="J221" s="201">
        <v>106930</v>
      </c>
      <c r="K221" s="202"/>
      <c r="L221" s="59">
        <f t="shared" si="64"/>
        <v>234116.88564013841</v>
      </c>
      <c r="M221" s="60">
        <f t="shared" si="65"/>
        <v>-127186.88564013841</v>
      </c>
      <c r="N221" s="61">
        <f t="shared" si="11"/>
        <v>0.45673766634826307</v>
      </c>
      <c r="O221" s="194"/>
      <c r="P221" s="106">
        <f>IF(D221=0,0,SUM($L$202:L221))</f>
        <v>3979987.0558823515</v>
      </c>
      <c r="Q221" s="59">
        <f>IF(D221=0,0,SUM($J$202:J221))</f>
        <v>4425690</v>
      </c>
      <c r="R221" s="63">
        <f t="shared" si="66"/>
        <v>445702.94411764853</v>
      </c>
      <c r="S221" s="61">
        <f t="shared" si="13"/>
        <v>1.1119860285623058</v>
      </c>
      <c r="T221" s="81"/>
      <c r="U221" s="59">
        <f>IF(D221=0,0,SUM($L$20:L221))</f>
        <v>37766750.236159176</v>
      </c>
      <c r="V221" s="59">
        <f>IF(D221=0,0,SUM($J$20:J221))</f>
        <v>39620119</v>
      </c>
      <c r="W221" s="63">
        <f t="shared" si="67"/>
        <v>1853368.7638408244</v>
      </c>
      <c r="X221" s="61">
        <f t="shared" si="15"/>
        <v>1.049074086392171</v>
      </c>
      <c r="Y221" s="145"/>
      <c r="Z221" s="196">
        <f t="shared" si="71"/>
        <v>45493</v>
      </c>
      <c r="AA221" s="197">
        <f t="shared" si="71"/>
        <v>45493</v>
      </c>
      <c r="AB221" s="1"/>
      <c r="AC221" s="1"/>
      <c r="AD221" s="1"/>
      <c r="AE221" s="1"/>
      <c r="AF221" s="145"/>
      <c r="AG221" s="198">
        <f t="shared" si="72"/>
        <v>118</v>
      </c>
      <c r="AH221" s="145"/>
      <c r="AI221" s="145"/>
      <c r="AJ221" s="145"/>
      <c r="AK221" s="145"/>
      <c r="AL221" s="145"/>
      <c r="AM221" s="145"/>
      <c r="AN221" s="145"/>
    </row>
    <row r="222" spans="1:40" ht="20">
      <c r="A222" s="145"/>
      <c r="B222" s="152"/>
      <c r="C222" s="50">
        <f t="shared" si="68"/>
        <v>203</v>
      </c>
      <c r="D222" s="51">
        <v>0</v>
      </c>
      <c r="E222" s="187" t="str">
        <f t="shared" si="8"/>
        <v>7</v>
      </c>
      <c r="F222" s="188">
        <f t="shared" si="69"/>
        <v>45494</v>
      </c>
      <c r="G222" s="189" t="str">
        <f t="shared" si="70"/>
        <v>Sun</v>
      </c>
      <c r="H222" s="190" t="s">
        <v>58</v>
      </c>
      <c r="I222" s="200"/>
      <c r="J222" s="201">
        <v>0</v>
      </c>
      <c r="K222" s="202"/>
      <c r="L222" s="59">
        <f t="shared" si="64"/>
        <v>0</v>
      </c>
      <c r="M222" s="60">
        <f t="shared" si="65"/>
        <v>0</v>
      </c>
      <c r="N222" s="61" t="str">
        <f t="shared" si="11"/>
        <v>0%</v>
      </c>
      <c r="O222" s="194"/>
      <c r="P222" s="106">
        <f>IF(D222=0,0,SUM($L$202:L222))</f>
        <v>0</v>
      </c>
      <c r="Q222" s="59">
        <f>IF(D222=0,0,SUM($J$202:J222))</f>
        <v>0</v>
      </c>
      <c r="R222" s="63">
        <f t="shared" si="66"/>
        <v>0</v>
      </c>
      <c r="S222" s="61" t="str">
        <f t="shared" si="13"/>
        <v>0%</v>
      </c>
      <c r="T222" s="81"/>
      <c r="U222" s="59">
        <f>IF(D222=0,0,SUM($L$20:L222))</f>
        <v>0</v>
      </c>
      <c r="V222" s="59">
        <f>IF(D222=0,0,SUM($J$20:J222))</f>
        <v>0</v>
      </c>
      <c r="W222" s="63">
        <f t="shared" si="67"/>
        <v>0</v>
      </c>
      <c r="X222" s="61" t="str">
        <f t="shared" si="15"/>
        <v>0%</v>
      </c>
      <c r="Y222" s="145"/>
      <c r="Z222" s="196">
        <f t="shared" si="71"/>
        <v>45494</v>
      </c>
      <c r="AA222" s="197">
        <f t="shared" si="71"/>
        <v>45494</v>
      </c>
      <c r="AB222" s="1"/>
      <c r="AC222" s="1"/>
      <c r="AD222" s="1"/>
      <c r="AE222" s="1"/>
      <c r="AF222" s="145"/>
      <c r="AG222" s="198">
        <f t="shared" si="72"/>
        <v>119</v>
      </c>
      <c r="AH222" s="145"/>
      <c r="AI222" s="145"/>
      <c r="AJ222" s="145"/>
      <c r="AK222" s="145"/>
      <c r="AL222" s="145"/>
      <c r="AM222" s="145"/>
      <c r="AN222" s="145"/>
    </row>
    <row r="223" spans="1:40" ht="20">
      <c r="A223" s="145"/>
      <c r="B223" s="152"/>
      <c r="C223" s="50">
        <f t="shared" si="68"/>
        <v>204</v>
      </c>
      <c r="D223" s="51">
        <v>1</v>
      </c>
      <c r="E223" s="187" t="str">
        <f t="shared" si="8"/>
        <v>7</v>
      </c>
      <c r="F223" s="188">
        <f t="shared" si="69"/>
        <v>45495</v>
      </c>
      <c r="G223" s="189" t="str">
        <f t="shared" si="70"/>
        <v>Mon</v>
      </c>
      <c r="H223" s="190"/>
      <c r="I223" s="200"/>
      <c r="J223" s="201">
        <v>152170</v>
      </c>
      <c r="K223" s="202"/>
      <c r="L223" s="59">
        <f t="shared" si="64"/>
        <v>234116.88564013841</v>
      </c>
      <c r="M223" s="60">
        <f t="shared" si="65"/>
        <v>-81946.885640138411</v>
      </c>
      <c r="N223" s="61">
        <f t="shared" si="11"/>
        <v>0.64997447571509581</v>
      </c>
      <c r="O223" s="194"/>
      <c r="P223" s="106">
        <f>IF(D223=0,0,SUM($L$202:L223))</f>
        <v>4214103.9415224902</v>
      </c>
      <c r="Q223" s="59">
        <f>IF(D223=0,0,SUM($J$202:J223))</f>
        <v>4577860</v>
      </c>
      <c r="R223" s="63">
        <f t="shared" si="66"/>
        <v>363756.05847750977</v>
      </c>
      <c r="S223" s="61">
        <f t="shared" si="13"/>
        <v>1.086318720070794</v>
      </c>
      <c r="T223" s="80"/>
      <c r="U223" s="59">
        <f>IF(D223=0,0,SUM($L$20:L223))</f>
        <v>38000867.121799313</v>
      </c>
      <c r="V223" s="59">
        <f>IF(D223=0,0,SUM($J$20:J223))</f>
        <v>39772289</v>
      </c>
      <c r="W223" s="63">
        <f t="shared" si="67"/>
        <v>1771421.8782006875</v>
      </c>
      <c r="X223" s="61">
        <f t="shared" si="15"/>
        <v>1.0466153015014887</v>
      </c>
      <c r="Y223" s="145"/>
      <c r="Z223" s="196">
        <f t="shared" si="71"/>
        <v>45495</v>
      </c>
      <c r="AA223" s="197">
        <f t="shared" si="71"/>
        <v>45495</v>
      </c>
      <c r="AB223" s="1"/>
      <c r="AC223" s="1"/>
      <c r="AD223" s="1"/>
      <c r="AE223" s="1"/>
      <c r="AF223" s="145"/>
      <c r="AG223" s="198">
        <f t="shared" si="72"/>
        <v>120</v>
      </c>
      <c r="AH223" s="145"/>
      <c r="AI223" s="145"/>
      <c r="AJ223" s="145"/>
      <c r="AK223" s="145"/>
      <c r="AL223" s="145"/>
      <c r="AM223" s="145"/>
      <c r="AN223" s="145"/>
    </row>
    <row r="224" spans="1:40" ht="20">
      <c r="A224" s="145"/>
      <c r="B224" s="152"/>
      <c r="C224" s="50">
        <f t="shared" si="68"/>
        <v>205</v>
      </c>
      <c r="D224" s="51">
        <v>1</v>
      </c>
      <c r="E224" s="187" t="str">
        <f t="shared" si="8"/>
        <v>7</v>
      </c>
      <c r="F224" s="188">
        <f t="shared" si="69"/>
        <v>45496</v>
      </c>
      <c r="G224" s="189" t="str">
        <f t="shared" si="70"/>
        <v>Tue</v>
      </c>
      <c r="H224" s="190"/>
      <c r="I224" s="200"/>
      <c r="J224" s="201">
        <v>178230</v>
      </c>
      <c r="K224" s="202"/>
      <c r="L224" s="59">
        <f t="shared" si="64"/>
        <v>234116.88564013841</v>
      </c>
      <c r="M224" s="60">
        <f t="shared" si="65"/>
        <v>-55886.885640138411</v>
      </c>
      <c r="N224" s="61">
        <f t="shared" si="11"/>
        <v>0.76128639552278055</v>
      </c>
      <c r="O224" s="194"/>
      <c r="P224" s="106">
        <f>IF(D224=0,0,SUM($L$202:L224))</f>
        <v>4448220.827162629</v>
      </c>
      <c r="Q224" s="59">
        <f>IF(D224=0,0,SUM($J$202:J224))</f>
        <v>4756090</v>
      </c>
      <c r="R224" s="63">
        <f t="shared" si="66"/>
        <v>307869.17283737101</v>
      </c>
      <c r="S224" s="61">
        <f t="shared" si="13"/>
        <v>1.0692117556208984</v>
      </c>
      <c r="T224" s="80"/>
      <c r="U224" s="59">
        <f>IF(D224=0,0,SUM($L$20:L224))</f>
        <v>38234984.007439449</v>
      </c>
      <c r="V224" s="59">
        <f>IF(D224=0,0,SUM($J$20:J224))</f>
        <v>39950519</v>
      </c>
      <c r="W224" s="63">
        <f t="shared" si="67"/>
        <v>1715534.9925605506</v>
      </c>
      <c r="X224" s="61">
        <f t="shared" si="15"/>
        <v>1.0448682021738718</v>
      </c>
      <c r="Y224" s="145"/>
      <c r="Z224" s="196">
        <f t="shared" si="71"/>
        <v>45496</v>
      </c>
      <c r="AA224" s="197">
        <f t="shared" si="71"/>
        <v>45496</v>
      </c>
      <c r="AB224" s="1"/>
      <c r="AC224" s="1"/>
      <c r="AD224" s="1"/>
      <c r="AE224" s="1"/>
      <c r="AF224" s="145"/>
      <c r="AG224" s="198">
        <f t="shared" si="72"/>
        <v>121</v>
      </c>
      <c r="AH224" s="145"/>
      <c r="AI224" s="145"/>
      <c r="AJ224" s="145"/>
      <c r="AK224" s="145"/>
      <c r="AL224" s="145"/>
      <c r="AM224" s="145"/>
      <c r="AN224" s="145"/>
    </row>
    <row r="225" spans="1:40" ht="20">
      <c r="A225" s="145"/>
      <c r="B225" s="152"/>
      <c r="C225" s="50">
        <f t="shared" si="68"/>
        <v>206</v>
      </c>
      <c r="D225" s="51">
        <v>1</v>
      </c>
      <c r="E225" s="187" t="str">
        <f t="shared" si="8"/>
        <v>7</v>
      </c>
      <c r="F225" s="188">
        <f t="shared" si="69"/>
        <v>45497</v>
      </c>
      <c r="G225" s="189" t="str">
        <f t="shared" si="70"/>
        <v>Wed</v>
      </c>
      <c r="H225" s="190"/>
      <c r="I225" s="200"/>
      <c r="J225" s="201">
        <v>216010</v>
      </c>
      <c r="K225" s="202"/>
      <c r="L225" s="59">
        <f t="shared" si="64"/>
        <v>234116.88564013841</v>
      </c>
      <c r="M225" s="60">
        <f t="shared" si="65"/>
        <v>-18106.885640138411</v>
      </c>
      <c r="N225" s="61">
        <f t="shared" si="11"/>
        <v>0.92265877964919396</v>
      </c>
      <c r="O225" s="194"/>
      <c r="P225" s="106">
        <f>IF(D225=0,0,SUM($L$202:L225))</f>
        <v>4682337.7128027678</v>
      </c>
      <c r="Q225" s="59">
        <f>IF(D225=0,0,SUM($J$202:J225))</f>
        <v>4972100</v>
      </c>
      <c r="R225" s="63">
        <f t="shared" si="66"/>
        <v>289762.28719723225</v>
      </c>
      <c r="S225" s="61">
        <f t="shared" si="13"/>
        <v>1.0618841068223133</v>
      </c>
      <c r="T225" s="80"/>
      <c r="U225" s="59">
        <f>IF(D225=0,0,SUM($L$20:L225))</f>
        <v>38469100.893079586</v>
      </c>
      <c r="V225" s="59">
        <f>IF(D225=0,0,SUM($J$20:J225))</f>
        <v>40166529</v>
      </c>
      <c r="W225" s="63">
        <f t="shared" si="67"/>
        <v>1697428.1069204137</v>
      </c>
      <c r="X225" s="61">
        <f t="shared" si="15"/>
        <v>1.044124454887527</v>
      </c>
      <c r="Y225" s="145"/>
      <c r="Z225" s="196">
        <f t="shared" si="71"/>
        <v>45497</v>
      </c>
      <c r="AA225" s="197">
        <f t="shared" si="71"/>
        <v>45497</v>
      </c>
      <c r="AB225" s="1"/>
      <c r="AC225" s="1"/>
      <c r="AD225" s="1"/>
      <c r="AE225" s="1"/>
      <c r="AF225" s="145"/>
      <c r="AG225" s="198">
        <f t="shared" si="72"/>
        <v>122</v>
      </c>
      <c r="AH225" s="145"/>
      <c r="AI225" s="145"/>
      <c r="AJ225" s="145"/>
      <c r="AK225" s="145"/>
      <c r="AL225" s="145"/>
      <c r="AM225" s="145"/>
      <c r="AN225" s="145"/>
    </row>
    <row r="226" spans="1:40" ht="20">
      <c r="A226" s="145"/>
      <c r="B226" s="152"/>
      <c r="C226" s="50">
        <f t="shared" si="68"/>
        <v>207</v>
      </c>
      <c r="D226" s="51">
        <v>1</v>
      </c>
      <c r="E226" s="187" t="str">
        <f t="shared" si="8"/>
        <v>7</v>
      </c>
      <c r="F226" s="188">
        <f t="shared" si="69"/>
        <v>45498</v>
      </c>
      <c r="G226" s="189" t="str">
        <f t="shared" si="70"/>
        <v>Thu</v>
      </c>
      <c r="H226" s="190"/>
      <c r="I226" s="200"/>
      <c r="J226" s="201">
        <v>179230</v>
      </c>
      <c r="K226" s="202"/>
      <c r="L226" s="59">
        <f t="shared" si="64"/>
        <v>234116.88564013841</v>
      </c>
      <c r="M226" s="60">
        <f t="shared" si="65"/>
        <v>-54886.885640138411</v>
      </c>
      <c r="N226" s="61">
        <f t="shared" si="11"/>
        <v>0.76555776619843996</v>
      </c>
      <c r="O226" s="194"/>
      <c r="P226" s="106">
        <f>IF(D226=0,0,SUM($L$202:L226))</f>
        <v>4916454.5984429065</v>
      </c>
      <c r="Q226" s="59">
        <f>IF(D226=0,0,SUM($J$202:J226))</f>
        <v>5151330</v>
      </c>
      <c r="R226" s="63">
        <f t="shared" si="66"/>
        <v>234875.40155709349</v>
      </c>
      <c r="S226" s="61">
        <f t="shared" si="13"/>
        <v>1.0477733286973667</v>
      </c>
      <c r="T226" s="80"/>
      <c r="U226" s="59">
        <f>IF(D226=0,0,SUM($L$20:L226))</f>
        <v>38703217.778719723</v>
      </c>
      <c r="V226" s="59">
        <f>IF(D226=0,0,SUM($J$20:J226))</f>
        <v>40345759</v>
      </c>
      <c r="W226" s="63">
        <f t="shared" si="67"/>
        <v>1642541.2212802768</v>
      </c>
      <c r="X226" s="61">
        <f t="shared" si="15"/>
        <v>1.042439396917106</v>
      </c>
      <c r="Y226" s="145"/>
      <c r="Z226" s="196">
        <f t="shared" si="71"/>
        <v>45498</v>
      </c>
      <c r="AA226" s="197">
        <f t="shared" si="71"/>
        <v>45498</v>
      </c>
      <c r="AB226" s="1"/>
      <c r="AC226" s="1"/>
      <c r="AD226" s="1"/>
      <c r="AE226" s="1"/>
      <c r="AF226" s="145"/>
      <c r="AG226" s="198">
        <f t="shared" si="72"/>
        <v>123</v>
      </c>
      <c r="AH226" s="145"/>
      <c r="AI226" s="145"/>
      <c r="AJ226" s="145"/>
      <c r="AK226" s="145"/>
      <c r="AL226" s="145"/>
      <c r="AM226" s="145"/>
      <c r="AN226" s="145"/>
    </row>
    <row r="227" spans="1:40" ht="20">
      <c r="A227" s="145"/>
      <c r="B227" s="152"/>
      <c r="C227" s="50">
        <f t="shared" si="68"/>
        <v>208</v>
      </c>
      <c r="D227" s="51">
        <v>1</v>
      </c>
      <c r="E227" s="187" t="str">
        <f t="shared" si="8"/>
        <v>7</v>
      </c>
      <c r="F227" s="188">
        <f t="shared" si="69"/>
        <v>45499</v>
      </c>
      <c r="G227" s="189" t="str">
        <f t="shared" si="70"/>
        <v>Fri</v>
      </c>
      <c r="H227" s="190"/>
      <c r="I227" s="200"/>
      <c r="J227" s="201">
        <v>327300</v>
      </c>
      <c r="K227" s="202"/>
      <c r="L227" s="59">
        <f t="shared" si="64"/>
        <v>234116.88564013841</v>
      </c>
      <c r="M227" s="60">
        <f t="shared" si="65"/>
        <v>93183.114359861589</v>
      </c>
      <c r="N227" s="61">
        <f t="shared" si="11"/>
        <v>1.3980196221433321</v>
      </c>
      <c r="O227" s="194"/>
      <c r="P227" s="106">
        <f>IF(D227=0,0,SUM($L$202:L227))</f>
        <v>5150571.4840830453</v>
      </c>
      <c r="Q227" s="59">
        <f>IF(D227=0,0,SUM($J$202:J227))</f>
        <v>5478630</v>
      </c>
      <c r="R227" s="63">
        <f t="shared" si="66"/>
        <v>328058.51591695473</v>
      </c>
      <c r="S227" s="61">
        <f t="shared" si="13"/>
        <v>1.0636936147630924</v>
      </c>
      <c r="T227" s="80"/>
      <c r="U227" s="59">
        <f>IF(D227=0,0,SUM($L$20:L227))</f>
        <v>38937334.66435986</v>
      </c>
      <c r="V227" s="59">
        <f>IF(D227=0,0,SUM($J$20:J227))</f>
        <v>40673059</v>
      </c>
      <c r="W227" s="63">
        <f t="shared" si="67"/>
        <v>1735724.3356401399</v>
      </c>
      <c r="X227" s="61">
        <f t="shared" si="15"/>
        <v>1.0445773792839725</v>
      </c>
      <c r="Y227" s="145"/>
      <c r="Z227" s="196">
        <f t="shared" si="71"/>
        <v>45499</v>
      </c>
      <c r="AA227" s="197">
        <f t="shared" si="71"/>
        <v>45499</v>
      </c>
      <c r="AB227" s="1"/>
      <c r="AC227" s="1"/>
      <c r="AD227" s="1"/>
      <c r="AE227" s="1"/>
      <c r="AF227" s="145"/>
      <c r="AG227" s="198">
        <f t="shared" si="72"/>
        <v>124</v>
      </c>
      <c r="AH227" s="145"/>
      <c r="AI227" s="145"/>
      <c r="AJ227" s="145"/>
      <c r="AK227" s="145"/>
      <c r="AL227" s="145"/>
      <c r="AM227" s="145"/>
      <c r="AN227" s="145"/>
    </row>
    <row r="228" spans="1:40" ht="20">
      <c r="A228" s="145"/>
      <c r="B228" s="152"/>
      <c r="C228" s="50">
        <f t="shared" si="68"/>
        <v>209</v>
      </c>
      <c r="D228" s="51">
        <v>1</v>
      </c>
      <c r="E228" s="187" t="str">
        <f t="shared" si="8"/>
        <v>7</v>
      </c>
      <c r="F228" s="188">
        <f t="shared" si="69"/>
        <v>45500</v>
      </c>
      <c r="G228" s="189" t="str">
        <f t="shared" si="70"/>
        <v>Sat</v>
      </c>
      <c r="H228" s="190"/>
      <c r="I228" s="200"/>
      <c r="J228" s="201">
        <v>110165</v>
      </c>
      <c r="K228" s="202"/>
      <c r="L228" s="59">
        <f t="shared" si="64"/>
        <v>234116.88564013841</v>
      </c>
      <c r="M228" s="60">
        <f t="shared" si="65"/>
        <v>-123951.88564013841</v>
      </c>
      <c r="N228" s="61">
        <f t="shared" si="11"/>
        <v>0.47055555048402131</v>
      </c>
      <c r="O228" s="194"/>
      <c r="P228" s="106">
        <f>IF(D228=0,0,SUM($L$202:L228))</f>
        <v>5384688.369723184</v>
      </c>
      <c r="Q228" s="59">
        <f>IF(D228=0,0,SUM($J$202:J228))</f>
        <v>5588795</v>
      </c>
      <c r="R228" s="63">
        <f t="shared" si="66"/>
        <v>204106.63027681597</v>
      </c>
      <c r="S228" s="61">
        <f t="shared" si="13"/>
        <v>1.037905003272698</v>
      </c>
      <c r="T228" s="81"/>
      <c r="U228" s="59">
        <f>IF(D228=0,0,SUM($L$20:L228))</f>
        <v>39171451.549999997</v>
      </c>
      <c r="V228" s="59">
        <f>IF(D228=0,0,SUM($J$20:J228))</f>
        <v>40783224</v>
      </c>
      <c r="W228" s="63">
        <f t="shared" si="67"/>
        <v>1611772.450000003</v>
      </c>
      <c r="X228" s="61">
        <f t="shared" si="15"/>
        <v>1.0411466102537117</v>
      </c>
      <c r="Y228" s="145"/>
      <c r="Z228" s="196">
        <f t="shared" si="71"/>
        <v>45500</v>
      </c>
      <c r="AA228" s="197">
        <f t="shared" si="71"/>
        <v>45500</v>
      </c>
      <c r="AB228" s="1"/>
      <c r="AC228" s="1"/>
      <c r="AD228" s="1"/>
      <c r="AE228" s="1"/>
      <c r="AF228" s="145"/>
      <c r="AG228" s="198">
        <f t="shared" si="72"/>
        <v>125</v>
      </c>
      <c r="AH228" s="145"/>
      <c r="AI228" s="145"/>
      <c r="AJ228" s="145"/>
      <c r="AK228" s="145"/>
      <c r="AL228" s="145"/>
      <c r="AM228" s="145"/>
      <c r="AN228" s="145"/>
    </row>
    <row r="229" spans="1:40" ht="20">
      <c r="A229" s="145"/>
      <c r="B229" s="152"/>
      <c r="C229" s="50">
        <f t="shared" si="68"/>
        <v>210</v>
      </c>
      <c r="D229" s="51">
        <v>0</v>
      </c>
      <c r="E229" s="187" t="str">
        <f t="shared" si="8"/>
        <v>7</v>
      </c>
      <c r="F229" s="188">
        <f t="shared" si="69"/>
        <v>45501</v>
      </c>
      <c r="G229" s="189" t="str">
        <f t="shared" si="70"/>
        <v>Sun</v>
      </c>
      <c r="H229" s="190" t="s">
        <v>58</v>
      </c>
      <c r="I229" s="200"/>
      <c r="J229" s="201">
        <v>0</v>
      </c>
      <c r="K229" s="202"/>
      <c r="L229" s="59">
        <f t="shared" si="64"/>
        <v>0</v>
      </c>
      <c r="M229" s="60">
        <f t="shared" si="65"/>
        <v>0</v>
      </c>
      <c r="N229" s="61" t="str">
        <f t="shared" si="11"/>
        <v>0%</v>
      </c>
      <c r="O229" s="194"/>
      <c r="P229" s="106">
        <f>IF(D229=0,0,SUM($L$202:L229))</f>
        <v>0</v>
      </c>
      <c r="Q229" s="59">
        <f>IF(D229=0,0,SUM($J$202:J229))</f>
        <v>0</v>
      </c>
      <c r="R229" s="63">
        <f t="shared" si="66"/>
        <v>0</v>
      </c>
      <c r="S229" s="61" t="str">
        <f t="shared" si="13"/>
        <v>0%</v>
      </c>
      <c r="T229" s="80"/>
      <c r="U229" s="59">
        <f>IF(D229=0,0,SUM($L$20:L229))</f>
        <v>0</v>
      </c>
      <c r="V229" s="59">
        <f>IF(D229=0,0,SUM($J$20:J229))</f>
        <v>0</v>
      </c>
      <c r="W229" s="63">
        <f t="shared" si="67"/>
        <v>0</v>
      </c>
      <c r="X229" s="61" t="str">
        <f t="shared" si="15"/>
        <v>0%</v>
      </c>
      <c r="Y229" s="145"/>
      <c r="Z229" s="196">
        <f t="shared" ref="Z229:AA244" si="73">Z228+1</f>
        <v>45501</v>
      </c>
      <c r="AA229" s="197">
        <f t="shared" si="73"/>
        <v>45501</v>
      </c>
      <c r="AB229" s="1"/>
      <c r="AC229" s="1"/>
      <c r="AD229" s="1"/>
      <c r="AE229" s="1"/>
      <c r="AF229" s="145"/>
      <c r="AG229" s="198">
        <f t="shared" si="72"/>
        <v>126</v>
      </c>
      <c r="AH229" s="145"/>
      <c r="AI229" s="145"/>
      <c r="AJ229" s="145"/>
      <c r="AK229" s="145"/>
      <c r="AL229" s="145"/>
      <c r="AM229" s="145"/>
      <c r="AN229" s="145"/>
    </row>
    <row r="230" spans="1:40" ht="20">
      <c r="A230" s="145"/>
      <c r="B230" s="152"/>
      <c r="C230" s="50">
        <f t="shared" si="68"/>
        <v>211</v>
      </c>
      <c r="D230" s="51">
        <v>1</v>
      </c>
      <c r="E230" s="187" t="str">
        <f t="shared" si="8"/>
        <v>7</v>
      </c>
      <c r="F230" s="188">
        <f t="shared" si="69"/>
        <v>45502</v>
      </c>
      <c r="G230" s="189" t="str">
        <f t="shared" si="70"/>
        <v>Mon</v>
      </c>
      <c r="H230" s="190"/>
      <c r="I230" s="200"/>
      <c r="J230" s="201">
        <v>342250</v>
      </c>
      <c r="K230" s="202"/>
      <c r="L230" s="59">
        <f t="shared" si="64"/>
        <v>234116.88564013841</v>
      </c>
      <c r="M230" s="60">
        <f t="shared" si="65"/>
        <v>108133.11435986159</v>
      </c>
      <c r="N230" s="61">
        <f t="shared" si="11"/>
        <v>1.4618766137444406</v>
      </c>
      <c r="O230" s="194"/>
      <c r="P230" s="106">
        <f>IF(D230=0,0,SUM($L$202:L230))</f>
        <v>5618805.2553633228</v>
      </c>
      <c r="Q230" s="59">
        <f>IF(D230=0,0,SUM($J$202:J230))</f>
        <v>5931045</v>
      </c>
      <c r="R230" s="63">
        <f t="shared" si="66"/>
        <v>312239.74463667721</v>
      </c>
      <c r="S230" s="61">
        <f t="shared" si="13"/>
        <v>1.0555704870423539</v>
      </c>
      <c r="T230" s="80"/>
      <c r="U230" s="59">
        <f>IF(D230=0,0,SUM($L$20:L230))</f>
        <v>39405568.435640134</v>
      </c>
      <c r="V230" s="59">
        <f>IF(D230=0,0,SUM($J$20:J230))</f>
        <v>41125474</v>
      </c>
      <c r="W230" s="63">
        <f t="shared" si="67"/>
        <v>1719905.5643598661</v>
      </c>
      <c r="X230" s="61">
        <f t="shared" si="15"/>
        <v>1.0436462569286098</v>
      </c>
      <c r="Y230" s="145"/>
      <c r="Z230" s="196">
        <f t="shared" si="73"/>
        <v>45502</v>
      </c>
      <c r="AA230" s="197">
        <f t="shared" si="73"/>
        <v>45502</v>
      </c>
      <c r="AB230" s="1"/>
      <c r="AC230" s="1"/>
      <c r="AD230" s="1"/>
      <c r="AE230" s="1"/>
      <c r="AF230" s="145"/>
      <c r="AG230" s="198">
        <f t="shared" si="72"/>
        <v>127</v>
      </c>
      <c r="AH230" s="145"/>
      <c r="AI230" s="145"/>
      <c r="AJ230" s="145"/>
      <c r="AK230" s="145"/>
      <c r="AL230" s="145"/>
      <c r="AM230" s="145"/>
      <c r="AN230" s="145"/>
    </row>
    <row r="231" spans="1:40" ht="20">
      <c r="A231" s="145"/>
      <c r="B231" s="152"/>
      <c r="C231" s="50">
        <f t="shared" si="68"/>
        <v>212</v>
      </c>
      <c r="D231" s="51">
        <v>1</v>
      </c>
      <c r="E231" s="187" t="str">
        <f t="shared" si="8"/>
        <v>7</v>
      </c>
      <c r="F231" s="188">
        <f t="shared" si="69"/>
        <v>45503</v>
      </c>
      <c r="G231" s="189" t="str">
        <f t="shared" si="70"/>
        <v>Tue</v>
      </c>
      <c r="H231" s="190"/>
      <c r="I231" s="200"/>
      <c r="J231" s="201">
        <v>185890</v>
      </c>
      <c r="K231" s="202"/>
      <c r="L231" s="59">
        <f t="shared" si="64"/>
        <v>234116.88564013841</v>
      </c>
      <c r="M231" s="60">
        <f t="shared" si="65"/>
        <v>-48226.885640138411</v>
      </c>
      <c r="N231" s="61">
        <f t="shared" si="11"/>
        <v>0.79400509489833182</v>
      </c>
      <c r="O231" s="194"/>
      <c r="P231" s="106">
        <f>IF(D231=0,0,SUM($L$202:L231))</f>
        <v>5852922.1410034616</v>
      </c>
      <c r="Q231" s="59">
        <f>IF(D231=0,0,SUM($J$202:J231))</f>
        <v>6116935</v>
      </c>
      <c r="R231" s="63">
        <f t="shared" si="66"/>
        <v>264012.85899653845</v>
      </c>
      <c r="S231" s="61">
        <f t="shared" si="13"/>
        <v>1.0451078713565929</v>
      </c>
      <c r="T231" s="80"/>
      <c r="U231" s="59">
        <f>IF(D231=0,0,SUM($L$20:L231))</f>
        <v>39639685.321280271</v>
      </c>
      <c r="V231" s="59">
        <f>IF(D231=0,0,SUM($J$20:J231))</f>
        <v>41311364</v>
      </c>
      <c r="W231" s="63">
        <f t="shared" si="67"/>
        <v>1671678.6787197292</v>
      </c>
      <c r="X231" s="61">
        <f t="shared" si="15"/>
        <v>1.0421718453406164</v>
      </c>
      <c r="Y231" s="145"/>
      <c r="Z231" s="196">
        <f t="shared" si="73"/>
        <v>45503</v>
      </c>
      <c r="AA231" s="197">
        <f t="shared" si="73"/>
        <v>45503</v>
      </c>
      <c r="AB231" s="1"/>
      <c r="AC231" s="1"/>
      <c r="AD231" s="1"/>
      <c r="AE231" s="1"/>
      <c r="AF231" s="145"/>
      <c r="AG231" s="198">
        <f t="shared" si="72"/>
        <v>128</v>
      </c>
      <c r="AH231" s="145"/>
      <c r="AI231" s="145"/>
      <c r="AJ231" s="145"/>
      <c r="AK231" s="145"/>
      <c r="AL231" s="145"/>
      <c r="AM231" s="145"/>
      <c r="AN231" s="145"/>
    </row>
    <row r="232" spans="1:40" ht="21" thickBot="1">
      <c r="A232" s="145"/>
      <c r="B232" s="152"/>
      <c r="C232" s="100">
        <f t="shared" si="68"/>
        <v>213</v>
      </c>
      <c r="D232" s="85">
        <v>1</v>
      </c>
      <c r="E232" s="203" t="str">
        <f t="shared" si="8"/>
        <v>7</v>
      </c>
      <c r="F232" s="204">
        <f t="shared" si="69"/>
        <v>45504</v>
      </c>
      <c r="G232" s="205" t="str">
        <f t="shared" si="70"/>
        <v>Wed</v>
      </c>
      <c r="H232" s="206"/>
      <c r="I232" s="207"/>
      <c r="J232" s="208">
        <v>405250</v>
      </c>
      <c r="K232" s="202"/>
      <c r="L232" s="103">
        <f t="shared" si="64"/>
        <v>234116.88564013841</v>
      </c>
      <c r="M232" s="91">
        <f t="shared" si="65"/>
        <v>171133.11435986159</v>
      </c>
      <c r="N232" s="108">
        <f t="shared" si="11"/>
        <v>1.730972966310985</v>
      </c>
      <c r="O232" s="209"/>
      <c r="P232" s="210">
        <f>IF(D232=0,0,SUM($L$202:L232))</f>
        <v>6087039.0266436003</v>
      </c>
      <c r="Q232" s="103">
        <f>IF(D232=0,0,SUM($J$202:J232))</f>
        <v>6522185</v>
      </c>
      <c r="R232" s="105">
        <f t="shared" si="66"/>
        <v>435145.97335639969</v>
      </c>
      <c r="S232" s="108">
        <f t="shared" si="13"/>
        <v>1.0714872980856078</v>
      </c>
      <c r="T232" s="211"/>
      <c r="U232" s="103">
        <f>IF(D232=0,0,SUM($L$20:L232))</f>
        <v>39873802.206920408</v>
      </c>
      <c r="V232" s="103">
        <f>IF(D232=0,0,SUM($J$20:J232))</f>
        <v>41716614</v>
      </c>
      <c r="W232" s="105">
        <f t="shared" si="67"/>
        <v>1842811.7930795923</v>
      </c>
      <c r="X232" s="108">
        <f t="shared" si="15"/>
        <v>1.046216104085498</v>
      </c>
      <c r="Y232" s="145"/>
      <c r="Z232" s="196">
        <f t="shared" si="73"/>
        <v>45504</v>
      </c>
      <c r="AA232" s="197">
        <f t="shared" si="73"/>
        <v>45504</v>
      </c>
      <c r="AB232" s="1"/>
      <c r="AC232" s="1"/>
      <c r="AD232" s="1"/>
      <c r="AE232" s="1"/>
      <c r="AF232" s="145"/>
      <c r="AG232" s="198">
        <f t="shared" si="72"/>
        <v>129</v>
      </c>
      <c r="AH232" s="145"/>
      <c r="AI232" s="145"/>
      <c r="AJ232" s="145"/>
      <c r="AK232" s="145"/>
      <c r="AL232" s="145"/>
      <c r="AM232" s="145"/>
      <c r="AN232" s="145"/>
    </row>
    <row r="233" spans="1:40" ht="21" thickTop="1">
      <c r="A233" s="145"/>
      <c r="B233" s="152"/>
      <c r="C233" s="50">
        <f t="shared" si="68"/>
        <v>214</v>
      </c>
      <c r="D233" s="96">
        <v>1</v>
      </c>
      <c r="E233" s="187" t="str">
        <f t="shared" si="8"/>
        <v>8</v>
      </c>
      <c r="F233" s="188">
        <f t="shared" si="69"/>
        <v>45505</v>
      </c>
      <c r="G233" s="189" t="str">
        <f t="shared" si="70"/>
        <v>Thu</v>
      </c>
      <c r="H233" s="190"/>
      <c r="I233" s="200"/>
      <c r="J233" s="201">
        <v>147760</v>
      </c>
      <c r="K233" s="202"/>
      <c r="L233" s="59">
        <f>IF(D233=0,0,$K$13)</f>
        <v>197151.06159169553</v>
      </c>
      <c r="M233" s="63">
        <f t="shared" si="65"/>
        <v>-49391.061591695528</v>
      </c>
      <c r="N233" s="97">
        <f t="shared" si="11"/>
        <v>0.74947605560458219</v>
      </c>
      <c r="O233" s="194"/>
      <c r="P233" s="107">
        <f>IF(D233=0,0,$L$233)</f>
        <v>197151.06159169553</v>
      </c>
      <c r="Q233" s="59">
        <f>IF(D233=0,0,$J$233)</f>
        <v>147760</v>
      </c>
      <c r="R233" s="63">
        <f t="shared" si="66"/>
        <v>-49391.061591695528</v>
      </c>
      <c r="S233" s="97">
        <f t="shared" si="13"/>
        <v>0.74947605560458219</v>
      </c>
      <c r="T233" s="80"/>
      <c r="U233" s="59">
        <f>IF(D233=0,0,SUM($L$20:L233))</f>
        <v>40070953.2685121</v>
      </c>
      <c r="V233" s="59">
        <f>IF(D233=0,0,SUM($J$20:J233))</f>
        <v>41864374</v>
      </c>
      <c r="W233" s="63">
        <f t="shared" si="67"/>
        <v>1793420.7314879</v>
      </c>
      <c r="X233" s="97">
        <f t="shared" si="15"/>
        <v>1.0447561284472155</v>
      </c>
      <c r="Y233" s="145"/>
      <c r="Z233" s="196">
        <f t="shared" si="73"/>
        <v>45505</v>
      </c>
      <c r="AA233" s="197">
        <f t="shared" si="73"/>
        <v>45505</v>
      </c>
      <c r="AB233" s="1"/>
      <c r="AC233" s="1"/>
      <c r="AD233" s="1"/>
      <c r="AE233" s="1"/>
      <c r="AF233" s="145"/>
      <c r="AG233" s="198">
        <f t="shared" si="72"/>
        <v>130</v>
      </c>
      <c r="AH233" s="145"/>
      <c r="AI233" s="145"/>
      <c r="AJ233" s="145"/>
      <c r="AK233" s="145"/>
      <c r="AL233" s="145"/>
      <c r="AM233" s="145"/>
      <c r="AN233" s="145"/>
    </row>
    <row r="234" spans="1:40" ht="20">
      <c r="A234" s="145"/>
      <c r="B234" s="152"/>
      <c r="C234" s="50">
        <f t="shared" si="68"/>
        <v>215</v>
      </c>
      <c r="D234" s="51">
        <v>1</v>
      </c>
      <c r="E234" s="187" t="str">
        <f t="shared" si="8"/>
        <v>8</v>
      </c>
      <c r="F234" s="188">
        <f t="shared" si="69"/>
        <v>45506</v>
      </c>
      <c r="G234" s="189" t="str">
        <f t="shared" si="70"/>
        <v>Fri</v>
      </c>
      <c r="H234" s="190"/>
      <c r="I234" s="200"/>
      <c r="J234" s="201">
        <v>311600</v>
      </c>
      <c r="K234" s="202"/>
      <c r="L234" s="59">
        <f t="shared" ref="L234:L263" si="74">IF(D234=0,0,$K$13)</f>
        <v>197151.06159169553</v>
      </c>
      <c r="M234" s="60">
        <f t="shared" si="65"/>
        <v>114448.93840830447</v>
      </c>
      <c r="N234" s="61">
        <f t="shared" si="11"/>
        <v>1.5805139342608812</v>
      </c>
      <c r="O234" s="194"/>
      <c r="P234" s="106">
        <f>IF(D234=0,0,SUM($L$233:L234))</f>
        <v>394302.12318339106</v>
      </c>
      <c r="Q234" s="59">
        <f>IF(D234=0,0,SUM($J$233:J234))</f>
        <v>459360</v>
      </c>
      <c r="R234" s="63">
        <f t="shared" si="66"/>
        <v>65057.876816608943</v>
      </c>
      <c r="S234" s="61">
        <f t="shared" si="13"/>
        <v>1.1649949949327316</v>
      </c>
      <c r="T234" s="80"/>
      <c r="U234" s="59">
        <f>IF(D234=0,0,SUM($L$20:L234))</f>
        <v>40268104.330103792</v>
      </c>
      <c r="V234" s="59">
        <f>IF(D234=0,0,SUM($J$20:J234))</f>
        <v>42175974</v>
      </c>
      <c r="W234" s="63">
        <f t="shared" si="67"/>
        <v>1907869.6698962077</v>
      </c>
      <c r="X234" s="61">
        <f t="shared" si="15"/>
        <v>1.0473791776800856</v>
      </c>
      <c r="Y234" s="145"/>
      <c r="Z234" s="196">
        <f t="shared" si="73"/>
        <v>45506</v>
      </c>
      <c r="AA234" s="197">
        <f t="shared" si="73"/>
        <v>45506</v>
      </c>
      <c r="AB234" s="1"/>
      <c r="AC234" s="1"/>
      <c r="AD234" s="1"/>
      <c r="AE234" s="1"/>
      <c r="AF234" s="145"/>
      <c r="AG234" s="198">
        <f t="shared" si="72"/>
        <v>131</v>
      </c>
      <c r="AH234" s="145"/>
      <c r="AI234" s="145"/>
      <c r="AJ234" s="145"/>
      <c r="AK234" s="145"/>
      <c r="AL234" s="145"/>
      <c r="AM234" s="145"/>
      <c r="AN234" s="145"/>
    </row>
    <row r="235" spans="1:40" ht="20">
      <c r="A235" s="145"/>
      <c r="B235" s="152"/>
      <c r="C235" s="50">
        <f t="shared" si="68"/>
        <v>216</v>
      </c>
      <c r="D235" s="51">
        <v>1</v>
      </c>
      <c r="E235" s="187" t="str">
        <f t="shared" si="8"/>
        <v>8</v>
      </c>
      <c r="F235" s="188">
        <f t="shared" si="69"/>
        <v>45507</v>
      </c>
      <c r="G235" s="189" t="str">
        <f t="shared" si="70"/>
        <v>Sat</v>
      </c>
      <c r="H235" s="190"/>
      <c r="I235" s="200"/>
      <c r="J235" s="201">
        <v>160520</v>
      </c>
      <c r="K235" s="202"/>
      <c r="L235" s="59">
        <f t="shared" si="74"/>
        <v>197151.06159169553</v>
      </c>
      <c r="M235" s="60">
        <f t="shared" si="65"/>
        <v>-36631.061591695528</v>
      </c>
      <c r="N235" s="61">
        <f t="shared" si="11"/>
        <v>0.81419799976751173</v>
      </c>
      <c r="O235" s="194"/>
      <c r="P235" s="106">
        <f>IF(D235=0,0,SUM($L$233:L235))</f>
        <v>591453.18477508659</v>
      </c>
      <c r="Q235" s="59">
        <f>IF(D235=0,0,SUM($J$233:J235))</f>
        <v>619880</v>
      </c>
      <c r="R235" s="63">
        <f t="shared" si="66"/>
        <v>28426.815224913415</v>
      </c>
      <c r="S235" s="61">
        <f t="shared" si="13"/>
        <v>1.0480626632109917</v>
      </c>
      <c r="T235" s="81"/>
      <c r="U235" s="59">
        <f>IF(D235=0,0,SUM($L$20:L235))</f>
        <v>40465255.391695485</v>
      </c>
      <c r="V235" s="59">
        <f>IF(D235=0,0,SUM($J$20:J235))</f>
        <v>42336494</v>
      </c>
      <c r="W235" s="63">
        <f t="shared" si="67"/>
        <v>1871238.6083045155</v>
      </c>
      <c r="X235" s="61">
        <f t="shared" si="15"/>
        <v>1.0462430939874543</v>
      </c>
      <c r="Y235" s="145"/>
      <c r="Z235" s="196">
        <f t="shared" si="73"/>
        <v>45507</v>
      </c>
      <c r="AA235" s="197">
        <f t="shared" si="73"/>
        <v>45507</v>
      </c>
      <c r="AB235" s="1"/>
      <c r="AC235" s="1"/>
      <c r="AD235" s="1"/>
      <c r="AE235" s="1"/>
      <c r="AF235" s="145"/>
      <c r="AG235" s="198">
        <f t="shared" si="72"/>
        <v>132</v>
      </c>
      <c r="AH235" s="145"/>
      <c r="AI235" s="145"/>
      <c r="AJ235" s="145"/>
      <c r="AK235" s="145"/>
      <c r="AL235" s="145"/>
      <c r="AM235" s="145"/>
      <c r="AN235" s="145"/>
    </row>
    <row r="236" spans="1:40" ht="20">
      <c r="A236" s="145"/>
      <c r="B236" s="152"/>
      <c r="C236" s="50">
        <f t="shared" si="68"/>
        <v>217</v>
      </c>
      <c r="D236" s="51">
        <v>0</v>
      </c>
      <c r="E236" s="187" t="str">
        <f t="shared" si="8"/>
        <v>8</v>
      </c>
      <c r="F236" s="188">
        <f t="shared" si="69"/>
        <v>45508</v>
      </c>
      <c r="G236" s="189" t="str">
        <f t="shared" si="70"/>
        <v>Sun</v>
      </c>
      <c r="H236" s="190" t="s">
        <v>58</v>
      </c>
      <c r="I236" s="200"/>
      <c r="J236" s="201">
        <v>0</v>
      </c>
      <c r="K236" s="202"/>
      <c r="L236" s="59">
        <f t="shared" si="74"/>
        <v>0</v>
      </c>
      <c r="M236" s="60">
        <f t="shared" si="65"/>
        <v>0</v>
      </c>
      <c r="N236" s="61" t="str">
        <f t="shared" si="11"/>
        <v>0%</v>
      </c>
      <c r="O236" s="194"/>
      <c r="P236" s="106">
        <f>IF(D236=0,0,SUM($L$233:L236))</f>
        <v>0</v>
      </c>
      <c r="Q236" s="59">
        <f>IF(D236=0,0,SUM($J$233:J236))</f>
        <v>0</v>
      </c>
      <c r="R236" s="63">
        <f t="shared" si="66"/>
        <v>0</v>
      </c>
      <c r="S236" s="61" t="str">
        <f t="shared" si="13"/>
        <v>0%</v>
      </c>
      <c r="T236" s="80"/>
      <c r="U236" s="59">
        <f>IF(D236=0,0,SUM($L$20:L236))</f>
        <v>0</v>
      </c>
      <c r="V236" s="59">
        <f>IF(D236=0,0,SUM($J$20:J236))</f>
        <v>0</v>
      </c>
      <c r="W236" s="63">
        <f t="shared" si="67"/>
        <v>0</v>
      </c>
      <c r="X236" s="61" t="str">
        <f t="shared" si="15"/>
        <v>0%</v>
      </c>
      <c r="Y236" s="145"/>
      <c r="Z236" s="196">
        <f t="shared" si="73"/>
        <v>45508</v>
      </c>
      <c r="AA236" s="197">
        <f t="shared" si="73"/>
        <v>45508</v>
      </c>
      <c r="AB236" s="1"/>
      <c r="AC236" s="1"/>
      <c r="AD236" s="1"/>
      <c r="AE236" s="1"/>
      <c r="AF236" s="145"/>
      <c r="AG236" s="198">
        <f t="shared" si="72"/>
        <v>133</v>
      </c>
      <c r="AH236" s="145"/>
      <c r="AI236" s="145"/>
      <c r="AJ236" s="145"/>
      <c r="AK236" s="145"/>
      <c r="AL236" s="145"/>
      <c r="AM236" s="145"/>
      <c r="AN236" s="145"/>
    </row>
    <row r="237" spans="1:40" ht="20">
      <c r="A237" s="145"/>
      <c r="B237" s="152"/>
      <c r="C237" s="50">
        <f t="shared" si="68"/>
        <v>218</v>
      </c>
      <c r="D237" s="51">
        <v>1</v>
      </c>
      <c r="E237" s="187" t="str">
        <f t="shared" si="8"/>
        <v>8</v>
      </c>
      <c r="F237" s="188">
        <f t="shared" si="69"/>
        <v>45509</v>
      </c>
      <c r="G237" s="189" t="str">
        <f t="shared" si="70"/>
        <v>Mon</v>
      </c>
      <c r="H237" s="190"/>
      <c r="I237" s="200"/>
      <c r="J237" s="201">
        <v>279000</v>
      </c>
      <c r="K237" s="202"/>
      <c r="L237" s="59">
        <f t="shared" si="74"/>
        <v>197151.06159169553</v>
      </c>
      <c r="M237" s="60">
        <f t="shared" si="65"/>
        <v>81848.938408304472</v>
      </c>
      <c r="N237" s="61">
        <f t="shared" si="11"/>
        <v>1.4151584969794153</v>
      </c>
      <c r="O237" s="194"/>
      <c r="P237" s="106">
        <f>IF(D237=0,0,SUM($L$233:L237))</f>
        <v>788604.24636678211</v>
      </c>
      <c r="Q237" s="59">
        <f>IF(D237=0,0,SUM($J$233:J237))</f>
        <v>898880</v>
      </c>
      <c r="R237" s="63">
        <f t="shared" si="66"/>
        <v>110275.75363321789</v>
      </c>
      <c r="S237" s="61">
        <f t="shared" si="13"/>
        <v>1.1398366216530975</v>
      </c>
      <c r="T237" s="80"/>
      <c r="U237" s="59">
        <f>IF(D237=0,0,SUM($L$20:L237))</f>
        <v>40662406.453287177</v>
      </c>
      <c r="V237" s="59">
        <f>IF(D237=0,0,SUM($J$20:J237))</f>
        <v>42615494</v>
      </c>
      <c r="W237" s="63">
        <f t="shared" si="67"/>
        <v>1953087.5467128232</v>
      </c>
      <c r="X237" s="61">
        <f t="shared" si="15"/>
        <v>1.0480317747292336</v>
      </c>
      <c r="Y237" s="145"/>
      <c r="Z237" s="196">
        <f t="shared" si="73"/>
        <v>45509</v>
      </c>
      <c r="AA237" s="197">
        <f t="shared" si="73"/>
        <v>45509</v>
      </c>
      <c r="AB237" s="1"/>
      <c r="AC237" s="1"/>
      <c r="AD237" s="1"/>
      <c r="AE237" s="1"/>
      <c r="AF237" s="145"/>
      <c r="AG237" s="198">
        <f t="shared" si="72"/>
        <v>134</v>
      </c>
      <c r="AH237" s="145"/>
      <c r="AI237" s="145"/>
      <c r="AJ237" s="145"/>
      <c r="AK237" s="145"/>
      <c r="AL237" s="145"/>
      <c r="AM237" s="145"/>
      <c r="AN237" s="145"/>
    </row>
    <row r="238" spans="1:40" ht="20">
      <c r="A238" s="145"/>
      <c r="B238" s="152"/>
      <c r="C238" s="50">
        <f t="shared" si="68"/>
        <v>219</v>
      </c>
      <c r="D238" s="51">
        <v>1</v>
      </c>
      <c r="E238" s="187" t="str">
        <f t="shared" si="8"/>
        <v>8</v>
      </c>
      <c r="F238" s="188">
        <f t="shared" si="69"/>
        <v>45510</v>
      </c>
      <c r="G238" s="189" t="str">
        <f t="shared" si="70"/>
        <v>Tue</v>
      </c>
      <c r="H238" s="190"/>
      <c r="I238" s="200"/>
      <c r="J238" s="201">
        <v>121150</v>
      </c>
      <c r="K238" s="202"/>
      <c r="L238" s="59">
        <f t="shared" si="74"/>
        <v>197151.06159169553</v>
      </c>
      <c r="M238" s="60">
        <f t="shared" si="65"/>
        <v>-76001.061591695528</v>
      </c>
      <c r="N238" s="61">
        <f t="shared" si="11"/>
        <v>0.61450341186041646</v>
      </c>
      <c r="O238" s="194"/>
      <c r="P238" s="106">
        <f>IF(D238=0,0,SUM($L$233:L238))</f>
        <v>985755.30795847764</v>
      </c>
      <c r="Q238" s="59">
        <f>IF(D238=0,0,SUM($J$233:J238))</f>
        <v>1020030</v>
      </c>
      <c r="R238" s="63">
        <f t="shared" si="66"/>
        <v>34274.692041522358</v>
      </c>
      <c r="S238" s="61">
        <f t="shared" si="13"/>
        <v>1.0347699796945613</v>
      </c>
      <c r="T238" s="80"/>
      <c r="U238" s="59">
        <f>IF(D238=0,0,SUM($L$20:L238))</f>
        <v>40859557.514878869</v>
      </c>
      <c r="V238" s="59">
        <f>IF(D238=0,0,SUM($J$20:J238))</f>
        <v>42736644</v>
      </c>
      <c r="W238" s="63">
        <f t="shared" si="67"/>
        <v>1877086.4851211309</v>
      </c>
      <c r="X238" s="61">
        <f t="shared" si="15"/>
        <v>1.0459399611568871</v>
      </c>
      <c r="Y238" s="145"/>
      <c r="Z238" s="196">
        <f t="shared" si="73"/>
        <v>45510</v>
      </c>
      <c r="AA238" s="197">
        <f t="shared" si="73"/>
        <v>45510</v>
      </c>
      <c r="AB238" s="1"/>
      <c r="AC238" s="1"/>
      <c r="AD238" s="1"/>
      <c r="AE238" s="1"/>
      <c r="AF238" s="145"/>
      <c r="AG238" s="198">
        <f t="shared" si="72"/>
        <v>135</v>
      </c>
      <c r="AH238" s="145"/>
      <c r="AI238" s="145"/>
      <c r="AJ238" s="145"/>
      <c r="AK238" s="145"/>
      <c r="AL238" s="145"/>
      <c r="AM238" s="145"/>
      <c r="AN238" s="145"/>
    </row>
    <row r="239" spans="1:40" ht="20">
      <c r="A239" s="145"/>
      <c r="B239" s="152"/>
      <c r="C239" s="50">
        <f t="shared" si="68"/>
        <v>220</v>
      </c>
      <c r="D239" s="51">
        <v>1</v>
      </c>
      <c r="E239" s="187" t="str">
        <f t="shared" si="8"/>
        <v>8</v>
      </c>
      <c r="F239" s="188">
        <f t="shared" si="69"/>
        <v>45511</v>
      </c>
      <c r="G239" s="189" t="str">
        <f t="shared" si="70"/>
        <v>Wed</v>
      </c>
      <c r="H239" s="190"/>
      <c r="I239" s="200"/>
      <c r="J239" s="201">
        <v>232885</v>
      </c>
      <c r="K239" s="202"/>
      <c r="L239" s="59">
        <f t="shared" si="74"/>
        <v>197151.06159169553</v>
      </c>
      <c r="M239" s="60">
        <f t="shared" si="65"/>
        <v>35733.938408304472</v>
      </c>
      <c r="N239" s="61">
        <f t="shared" si="11"/>
        <v>1.1812515647636241</v>
      </c>
      <c r="O239" s="194"/>
      <c r="P239" s="106">
        <f>IF(D239=0,0,SUM($L$233:L239))</f>
        <v>1182906.3695501732</v>
      </c>
      <c r="Q239" s="59">
        <f>IF(D239=0,0,SUM($J$233:J239))</f>
        <v>1252915</v>
      </c>
      <c r="R239" s="63">
        <f t="shared" si="66"/>
        <v>70008.630449826829</v>
      </c>
      <c r="S239" s="61">
        <f t="shared" si="13"/>
        <v>1.0591835772060718</v>
      </c>
      <c r="T239" s="80"/>
      <c r="U239" s="59">
        <f>IF(D239=0,0,SUM($L$20:L239))</f>
        <v>41056708.576470561</v>
      </c>
      <c r="V239" s="59">
        <f>IF(D239=0,0,SUM($J$20:J239))</f>
        <v>42969529</v>
      </c>
      <c r="W239" s="63">
        <f t="shared" si="67"/>
        <v>1912820.4235294387</v>
      </c>
      <c r="X239" s="61">
        <f t="shared" si="15"/>
        <v>1.0465897167564393</v>
      </c>
      <c r="Y239" s="145"/>
      <c r="Z239" s="196">
        <f t="shared" si="73"/>
        <v>45511</v>
      </c>
      <c r="AA239" s="197">
        <f t="shared" si="73"/>
        <v>45511</v>
      </c>
      <c r="AB239" s="1"/>
      <c r="AC239" s="1"/>
      <c r="AD239" s="1"/>
      <c r="AE239" s="1"/>
      <c r="AF239" s="145"/>
      <c r="AG239" s="198">
        <f t="shared" si="72"/>
        <v>136</v>
      </c>
      <c r="AH239" s="145"/>
      <c r="AI239" s="145"/>
      <c r="AJ239" s="145"/>
      <c r="AK239" s="145"/>
      <c r="AL239" s="145"/>
      <c r="AM239" s="145"/>
      <c r="AN239" s="145"/>
    </row>
    <row r="240" spans="1:40" ht="20">
      <c r="A240" s="145"/>
      <c r="B240" s="152"/>
      <c r="C240" s="50">
        <f t="shared" si="68"/>
        <v>221</v>
      </c>
      <c r="D240" s="51">
        <v>1</v>
      </c>
      <c r="E240" s="187" t="str">
        <f t="shared" si="8"/>
        <v>8</v>
      </c>
      <c r="F240" s="188">
        <f t="shared" si="69"/>
        <v>45512</v>
      </c>
      <c r="G240" s="189" t="str">
        <f t="shared" si="70"/>
        <v>Thu</v>
      </c>
      <c r="H240" s="190"/>
      <c r="I240" s="200"/>
      <c r="J240" s="201">
        <v>143660</v>
      </c>
      <c r="K240" s="202"/>
      <c r="L240" s="59">
        <f t="shared" si="74"/>
        <v>197151.06159169553</v>
      </c>
      <c r="M240" s="60">
        <f t="shared" si="65"/>
        <v>-53491.061591695528</v>
      </c>
      <c r="N240" s="61">
        <f t="shared" si="11"/>
        <v>0.72867981962746531</v>
      </c>
      <c r="O240" s="194"/>
      <c r="P240" s="106">
        <f>IF(D240=0,0,SUM($L$233:L240))</f>
        <v>1380057.4311418687</v>
      </c>
      <c r="Q240" s="59">
        <f>IF(D240=0,0,SUM($J$233:J240))</f>
        <v>1396575</v>
      </c>
      <c r="R240" s="63">
        <f t="shared" si="66"/>
        <v>16517.568858131301</v>
      </c>
      <c r="S240" s="61">
        <f t="shared" si="13"/>
        <v>1.0119687546948424</v>
      </c>
      <c r="T240" s="80"/>
      <c r="U240" s="59">
        <f>IF(D240=0,0,SUM($L$20:L240))</f>
        <v>41253859.638062254</v>
      </c>
      <c r="V240" s="59">
        <f>IF(D240=0,0,SUM($J$20:J240))</f>
        <v>43113189</v>
      </c>
      <c r="W240" s="63">
        <f t="shared" si="67"/>
        <v>1859329.3619377464</v>
      </c>
      <c r="X240" s="61">
        <f t="shared" si="15"/>
        <v>1.0450704340939354</v>
      </c>
      <c r="Y240" s="145"/>
      <c r="Z240" s="196">
        <f t="shared" si="73"/>
        <v>45512</v>
      </c>
      <c r="AA240" s="197">
        <f t="shared" si="73"/>
        <v>45512</v>
      </c>
      <c r="AB240" s="1"/>
      <c r="AC240" s="1"/>
      <c r="AD240" s="1"/>
      <c r="AE240" s="1"/>
      <c r="AF240" s="145"/>
      <c r="AG240" s="198">
        <f t="shared" si="72"/>
        <v>137</v>
      </c>
      <c r="AH240" s="145"/>
      <c r="AI240" s="145"/>
      <c r="AJ240" s="145"/>
      <c r="AK240" s="145"/>
      <c r="AL240" s="145"/>
      <c r="AM240" s="145"/>
      <c r="AN240" s="145"/>
    </row>
    <row r="241" spans="1:40" ht="20">
      <c r="A241" s="145"/>
      <c r="B241" s="152"/>
      <c r="C241" s="50">
        <f t="shared" si="68"/>
        <v>222</v>
      </c>
      <c r="D241" s="51">
        <v>1</v>
      </c>
      <c r="E241" s="187" t="str">
        <f t="shared" si="8"/>
        <v>8</v>
      </c>
      <c r="F241" s="188">
        <f t="shared" si="69"/>
        <v>45513</v>
      </c>
      <c r="G241" s="189" t="str">
        <f t="shared" si="70"/>
        <v>Fri</v>
      </c>
      <c r="H241" s="190"/>
      <c r="I241" s="200"/>
      <c r="J241" s="201">
        <v>278720</v>
      </c>
      <c r="K241" s="202"/>
      <c r="L241" s="59">
        <f t="shared" si="74"/>
        <v>197151.06159169553</v>
      </c>
      <c r="M241" s="60">
        <f t="shared" si="65"/>
        <v>81568.938408304472</v>
      </c>
      <c r="N241" s="61">
        <f t="shared" si="11"/>
        <v>1.4137382662297586</v>
      </c>
      <c r="O241" s="194"/>
      <c r="P241" s="106">
        <f>IF(D241=0,0,SUM($L$233:L241))</f>
        <v>1577208.4927335642</v>
      </c>
      <c r="Q241" s="59">
        <f>IF(D241=0,0,SUM($J$233:J241))</f>
        <v>1675295</v>
      </c>
      <c r="R241" s="63">
        <f t="shared" si="66"/>
        <v>98086.507266435772</v>
      </c>
      <c r="S241" s="61">
        <f t="shared" si="13"/>
        <v>1.0621899436367068</v>
      </c>
      <c r="T241" s="80"/>
      <c r="U241" s="59">
        <f>IF(D241=0,0,SUM($L$20:L241))</f>
        <v>41451010.699653946</v>
      </c>
      <c r="V241" s="59">
        <f>IF(D241=0,0,SUM($J$20:J241))</f>
        <v>43391909</v>
      </c>
      <c r="W241" s="63">
        <f t="shared" si="67"/>
        <v>1940898.3003460541</v>
      </c>
      <c r="X241" s="61">
        <f t="shared" si="15"/>
        <v>1.0468239077307289</v>
      </c>
      <c r="Y241" s="145"/>
      <c r="Z241" s="196">
        <f t="shared" si="73"/>
        <v>45513</v>
      </c>
      <c r="AA241" s="197">
        <f t="shared" si="73"/>
        <v>45513</v>
      </c>
      <c r="AB241" s="1"/>
      <c r="AC241" s="1"/>
      <c r="AD241" s="1"/>
      <c r="AE241" s="1"/>
      <c r="AF241" s="145"/>
      <c r="AG241" s="198">
        <f t="shared" si="72"/>
        <v>138</v>
      </c>
      <c r="AH241" s="145"/>
      <c r="AI241" s="145"/>
      <c r="AJ241" s="145"/>
      <c r="AK241" s="145"/>
      <c r="AL241" s="145"/>
      <c r="AM241" s="145"/>
      <c r="AN241" s="145"/>
    </row>
    <row r="242" spans="1:40" ht="20">
      <c r="A242" s="145"/>
      <c r="B242" s="152"/>
      <c r="C242" s="50">
        <f t="shared" si="68"/>
        <v>223</v>
      </c>
      <c r="D242" s="51">
        <v>1</v>
      </c>
      <c r="E242" s="187" t="str">
        <f t="shared" si="8"/>
        <v>8</v>
      </c>
      <c r="F242" s="188">
        <f t="shared" si="69"/>
        <v>45514</v>
      </c>
      <c r="G242" s="189" t="str">
        <f t="shared" si="70"/>
        <v>Sat</v>
      </c>
      <c r="H242" s="190"/>
      <c r="I242" s="200"/>
      <c r="J242" s="201">
        <v>150510</v>
      </c>
      <c r="K242" s="202"/>
      <c r="L242" s="59">
        <f t="shared" si="74"/>
        <v>197151.06159169553</v>
      </c>
      <c r="M242" s="60">
        <f t="shared" si="65"/>
        <v>-46641.061591695528</v>
      </c>
      <c r="N242" s="61">
        <f t="shared" si="11"/>
        <v>0.76342475046728253</v>
      </c>
      <c r="O242" s="194"/>
      <c r="P242" s="106">
        <f>IF(D242=0,0,SUM($L$233:L242))</f>
        <v>1774359.5543252598</v>
      </c>
      <c r="Q242" s="59">
        <f>IF(D242=0,0,SUM($J$233:J242))</f>
        <v>1825805</v>
      </c>
      <c r="R242" s="63">
        <f t="shared" si="66"/>
        <v>51445.445674740244</v>
      </c>
      <c r="S242" s="61">
        <f t="shared" si="13"/>
        <v>1.0289938110623265</v>
      </c>
      <c r="T242" s="81"/>
      <c r="U242" s="59">
        <f>IF(D242=0,0,SUM($L$20:L242))</f>
        <v>41648161.761245638</v>
      </c>
      <c r="V242" s="59">
        <f>IF(D242=0,0,SUM($J$20:J242))</f>
        <v>43542419</v>
      </c>
      <c r="W242" s="63">
        <f t="shared" si="67"/>
        <v>1894257.2387543619</v>
      </c>
      <c r="X242" s="61">
        <f t="shared" si="15"/>
        <v>1.0454823732584759</v>
      </c>
      <c r="Y242" s="145"/>
      <c r="Z242" s="196">
        <f t="shared" si="73"/>
        <v>45514</v>
      </c>
      <c r="AA242" s="197">
        <f t="shared" si="73"/>
        <v>45514</v>
      </c>
      <c r="AB242" s="1"/>
      <c r="AC242" s="1"/>
      <c r="AD242" s="1"/>
      <c r="AE242" s="1"/>
      <c r="AF242" s="145"/>
      <c r="AG242" s="198">
        <f t="shared" si="72"/>
        <v>139</v>
      </c>
      <c r="AH242" s="145"/>
      <c r="AI242" s="145"/>
      <c r="AJ242" s="145"/>
      <c r="AK242" s="145"/>
      <c r="AL242" s="145"/>
      <c r="AM242" s="145"/>
      <c r="AN242" s="145"/>
    </row>
    <row r="243" spans="1:40" ht="20">
      <c r="A243" s="145"/>
      <c r="B243" s="152"/>
      <c r="C243" s="50">
        <f t="shared" si="68"/>
        <v>224</v>
      </c>
      <c r="D243" s="51">
        <v>0</v>
      </c>
      <c r="E243" s="187" t="str">
        <f t="shared" si="8"/>
        <v>8</v>
      </c>
      <c r="F243" s="188">
        <f t="shared" si="69"/>
        <v>45515</v>
      </c>
      <c r="G243" s="189" t="str">
        <f t="shared" si="70"/>
        <v>Sun</v>
      </c>
      <c r="H243" s="190" t="s">
        <v>58</v>
      </c>
      <c r="I243" s="200"/>
      <c r="J243" s="201">
        <v>0</v>
      </c>
      <c r="K243" s="202"/>
      <c r="L243" s="59">
        <f t="shared" si="74"/>
        <v>0</v>
      </c>
      <c r="M243" s="60">
        <f t="shared" si="65"/>
        <v>0</v>
      </c>
      <c r="N243" s="61" t="str">
        <f t="shared" si="11"/>
        <v>0%</v>
      </c>
      <c r="O243" s="194"/>
      <c r="P243" s="106">
        <f>IF(D243=0,0,SUM($L$233:L243))</f>
        <v>0</v>
      </c>
      <c r="Q243" s="59">
        <f>IF(D243=0,0,SUM($J$233:J243))</f>
        <v>0</v>
      </c>
      <c r="R243" s="63">
        <f t="shared" si="66"/>
        <v>0</v>
      </c>
      <c r="S243" s="61" t="str">
        <f t="shared" si="13"/>
        <v>0%</v>
      </c>
      <c r="T243" s="81"/>
      <c r="U243" s="59">
        <f>IF(D243=0,0,SUM($L$20:L243))</f>
        <v>0</v>
      </c>
      <c r="V243" s="59">
        <f>IF(D243=0,0,SUM($J$20:J243))</f>
        <v>0</v>
      </c>
      <c r="W243" s="63">
        <f t="shared" si="67"/>
        <v>0</v>
      </c>
      <c r="X243" s="61" t="str">
        <f t="shared" si="15"/>
        <v>0%</v>
      </c>
      <c r="Y243" s="145"/>
      <c r="Z243" s="196">
        <f t="shared" si="73"/>
        <v>45515</v>
      </c>
      <c r="AA243" s="197">
        <f t="shared" si="73"/>
        <v>45515</v>
      </c>
      <c r="AB243" s="1"/>
      <c r="AC243" s="1"/>
      <c r="AD243" s="1"/>
      <c r="AE243" s="1"/>
      <c r="AF243" s="145"/>
      <c r="AG243" s="198">
        <f t="shared" si="72"/>
        <v>140</v>
      </c>
      <c r="AH243" s="145"/>
      <c r="AI243" s="145"/>
      <c r="AJ243" s="145"/>
      <c r="AK243" s="145"/>
      <c r="AL243" s="145"/>
      <c r="AM243" s="145"/>
      <c r="AN243" s="145"/>
    </row>
    <row r="244" spans="1:40" ht="20">
      <c r="A244" s="145"/>
      <c r="B244" s="152"/>
      <c r="C244" s="50">
        <f t="shared" si="68"/>
        <v>225</v>
      </c>
      <c r="D244" s="51">
        <v>0</v>
      </c>
      <c r="E244" s="187" t="str">
        <f t="shared" si="8"/>
        <v>8</v>
      </c>
      <c r="F244" s="188">
        <f t="shared" si="69"/>
        <v>45516</v>
      </c>
      <c r="G244" s="189" t="str">
        <f t="shared" si="70"/>
        <v>Mon</v>
      </c>
      <c r="H244" s="190" t="s">
        <v>115</v>
      </c>
      <c r="I244" s="200"/>
      <c r="J244" s="201">
        <v>0</v>
      </c>
      <c r="K244" s="202"/>
      <c r="L244" s="59">
        <f t="shared" si="74"/>
        <v>0</v>
      </c>
      <c r="M244" s="60">
        <f t="shared" si="65"/>
        <v>0</v>
      </c>
      <c r="N244" s="61" t="str">
        <f t="shared" si="11"/>
        <v>0%</v>
      </c>
      <c r="O244" s="194"/>
      <c r="P244" s="106">
        <f>IF(D244=0,0,SUM($L$233:L244))</f>
        <v>0</v>
      </c>
      <c r="Q244" s="59">
        <f>IF(D244=0,0,SUM($J$233:J244))</f>
        <v>0</v>
      </c>
      <c r="R244" s="63">
        <f t="shared" si="66"/>
        <v>0</v>
      </c>
      <c r="S244" s="61" t="str">
        <f t="shared" si="13"/>
        <v>0%</v>
      </c>
      <c r="T244" s="81"/>
      <c r="U244" s="59">
        <f>IF(D244=0,0,SUM($L$20:L244))</f>
        <v>0</v>
      </c>
      <c r="V244" s="59">
        <f>IF(D244=0,0,SUM($J$20:J244))</f>
        <v>0</v>
      </c>
      <c r="W244" s="63">
        <f t="shared" si="67"/>
        <v>0</v>
      </c>
      <c r="X244" s="61" t="str">
        <f t="shared" si="15"/>
        <v>0%</v>
      </c>
      <c r="Y244" s="145"/>
      <c r="Z244" s="196">
        <f t="shared" si="73"/>
        <v>45516</v>
      </c>
      <c r="AA244" s="197">
        <f t="shared" si="73"/>
        <v>45516</v>
      </c>
      <c r="AB244" s="1"/>
      <c r="AC244" s="1"/>
      <c r="AD244" s="1"/>
      <c r="AE244" s="1"/>
      <c r="AF244" s="145"/>
      <c r="AG244" s="198">
        <f t="shared" si="72"/>
        <v>141</v>
      </c>
      <c r="AH244" s="145"/>
      <c r="AI244" s="145"/>
      <c r="AJ244" s="145"/>
      <c r="AK244" s="145"/>
      <c r="AL244" s="145"/>
      <c r="AM244" s="145"/>
      <c r="AN244" s="145"/>
    </row>
    <row r="245" spans="1:40" ht="20">
      <c r="A245" s="145"/>
      <c r="B245" s="152"/>
      <c r="C245" s="50">
        <f t="shared" si="68"/>
        <v>226</v>
      </c>
      <c r="D245" s="51">
        <v>0</v>
      </c>
      <c r="E245" s="187" t="str">
        <f t="shared" si="8"/>
        <v>8</v>
      </c>
      <c r="F245" s="188">
        <f t="shared" si="69"/>
        <v>45517</v>
      </c>
      <c r="G245" s="189" t="str">
        <f t="shared" si="70"/>
        <v>Tue</v>
      </c>
      <c r="H245" s="190" t="s">
        <v>115</v>
      </c>
      <c r="I245" s="200"/>
      <c r="J245" s="201">
        <v>0</v>
      </c>
      <c r="K245" s="202"/>
      <c r="L245" s="59">
        <f t="shared" si="74"/>
        <v>0</v>
      </c>
      <c r="M245" s="60">
        <f t="shared" si="65"/>
        <v>0</v>
      </c>
      <c r="N245" s="61" t="str">
        <f t="shared" si="11"/>
        <v>0%</v>
      </c>
      <c r="O245" s="194"/>
      <c r="P245" s="106">
        <f>IF(D245=0,0,SUM($L$233:L245))</f>
        <v>0</v>
      </c>
      <c r="Q245" s="59">
        <f>IF(D245=0,0,SUM($J$233:J245))</f>
        <v>0</v>
      </c>
      <c r="R245" s="63">
        <f t="shared" si="66"/>
        <v>0</v>
      </c>
      <c r="S245" s="61" t="str">
        <f t="shared" si="13"/>
        <v>0%</v>
      </c>
      <c r="T245" s="81"/>
      <c r="U245" s="59">
        <f>IF(D245=0,0,SUM($L$20:L245))</f>
        <v>0</v>
      </c>
      <c r="V245" s="59">
        <f>IF(D245=0,0,SUM($J$20:J245))</f>
        <v>0</v>
      </c>
      <c r="W245" s="63">
        <f t="shared" si="67"/>
        <v>0</v>
      </c>
      <c r="X245" s="61" t="str">
        <f t="shared" si="15"/>
        <v>0%</v>
      </c>
      <c r="Y245" s="145"/>
      <c r="Z245" s="196">
        <f t="shared" ref="Z245:AA260" si="75">Z244+1</f>
        <v>45517</v>
      </c>
      <c r="AA245" s="197">
        <f t="shared" si="75"/>
        <v>45517</v>
      </c>
      <c r="AB245" s="1"/>
      <c r="AC245" s="1"/>
      <c r="AD245" s="1"/>
      <c r="AE245" s="1"/>
      <c r="AF245" s="145"/>
      <c r="AG245" s="198">
        <f t="shared" si="72"/>
        <v>142</v>
      </c>
      <c r="AH245" s="145"/>
      <c r="AI245" s="145"/>
      <c r="AJ245" s="145"/>
      <c r="AK245" s="145"/>
      <c r="AL245" s="145"/>
      <c r="AM245" s="145"/>
      <c r="AN245" s="145"/>
    </row>
    <row r="246" spans="1:40" ht="20">
      <c r="A246" s="145"/>
      <c r="B246" s="152"/>
      <c r="C246" s="50">
        <f t="shared" si="68"/>
        <v>227</v>
      </c>
      <c r="D246" s="51">
        <v>0</v>
      </c>
      <c r="E246" s="187" t="str">
        <f t="shared" si="8"/>
        <v>8</v>
      </c>
      <c r="F246" s="188">
        <f t="shared" si="69"/>
        <v>45518</v>
      </c>
      <c r="G246" s="189" t="str">
        <f t="shared" si="70"/>
        <v>Wed</v>
      </c>
      <c r="H246" s="190" t="s">
        <v>115</v>
      </c>
      <c r="I246" s="200"/>
      <c r="J246" s="201">
        <v>0</v>
      </c>
      <c r="K246" s="202"/>
      <c r="L246" s="59">
        <f t="shared" si="74"/>
        <v>0</v>
      </c>
      <c r="M246" s="60">
        <f t="shared" si="65"/>
        <v>0</v>
      </c>
      <c r="N246" s="61" t="str">
        <f t="shared" si="11"/>
        <v>0%</v>
      </c>
      <c r="O246" s="194"/>
      <c r="P246" s="106">
        <f>IF(D246=0,0,SUM($L$233:L246))</f>
        <v>0</v>
      </c>
      <c r="Q246" s="59">
        <f>IF(D246=0,0,SUM($J$233:J246))</f>
        <v>0</v>
      </c>
      <c r="R246" s="63">
        <f t="shared" si="66"/>
        <v>0</v>
      </c>
      <c r="S246" s="61" t="str">
        <f t="shared" si="13"/>
        <v>0%</v>
      </c>
      <c r="T246" s="81"/>
      <c r="U246" s="59">
        <f>IF(D246=0,0,SUM($L$20:L246))</f>
        <v>0</v>
      </c>
      <c r="V246" s="59">
        <f>IF(D246=0,0,SUM($J$20:J246))</f>
        <v>0</v>
      </c>
      <c r="W246" s="63">
        <f t="shared" si="67"/>
        <v>0</v>
      </c>
      <c r="X246" s="61" t="str">
        <f t="shared" si="15"/>
        <v>0%</v>
      </c>
      <c r="Y246" s="145"/>
      <c r="Z246" s="196">
        <f t="shared" si="75"/>
        <v>45518</v>
      </c>
      <c r="AA246" s="197">
        <f t="shared" si="75"/>
        <v>45518</v>
      </c>
      <c r="AB246" s="1"/>
      <c r="AC246" s="1"/>
      <c r="AD246" s="1"/>
      <c r="AE246" s="1"/>
      <c r="AF246" s="145"/>
      <c r="AG246" s="198">
        <f t="shared" si="72"/>
        <v>143</v>
      </c>
      <c r="AH246" s="145"/>
      <c r="AI246" s="145"/>
      <c r="AJ246" s="145"/>
      <c r="AK246" s="145"/>
      <c r="AL246" s="145"/>
      <c r="AM246" s="145"/>
      <c r="AN246" s="145"/>
    </row>
    <row r="247" spans="1:40" ht="20">
      <c r="A247" s="145"/>
      <c r="B247" s="152"/>
      <c r="C247" s="50">
        <f t="shared" si="68"/>
        <v>228</v>
      </c>
      <c r="D247" s="51">
        <v>0</v>
      </c>
      <c r="E247" s="187" t="str">
        <f t="shared" si="8"/>
        <v>8</v>
      </c>
      <c r="F247" s="188">
        <f t="shared" si="69"/>
        <v>45519</v>
      </c>
      <c r="G247" s="189" t="str">
        <f t="shared" si="70"/>
        <v>Thu</v>
      </c>
      <c r="H247" s="190" t="s">
        <v>115</v>
      </c>
      <c r="I247" s="200"/>
      <c r="J247" s="201">
        <v>0</v>
      </c>
      <c r="K247" s="202"/>
      <c r="L247" s="59">
        <f t="shared" si="74"/>
        <v>0</v>
      </c>
      <c r="M247" s="60">
        <f t="shared" si="65"/>
        <v>0</v>
      </c>
      <c r="N247" s="61" t="str">
        <f t="shared" si="11"/>
        <v>0%</v>
      </c>
      <c r="O247" s="194"/>
      <c r="P247" s="106">
        <f>IF(D247=0,0,SUM($L$233:L247))</f>
        <v>0</v>
      </c>
      <c r="Q247" s="59">
        <f>IF(D247=0,0,SUM($J$233:J247))</f>
        <v>0</v>
      </c>
      <c r="R247" s="63">
        <f t="shared" si="66"/>
        <v>0</v>
      </c>
      <c r="S247" s="61" t="str">
        <f t="shared" si="13"/>
        <v>0%</v>
      </c>
      <c r="T247" s="81"/>
      <c r="U247" s="59">
        <f>IF(D247=0,0,SUM($L$20:L247))</f>
        <v>0</v>
      </c>
      <c r="V247" s="59">
        <f>IF(D247=0,0,SUM($J$20:J247))</f>
        <v>0</v>
      </c>
      <c r="W247" s="63">
        <f t="shared" si="67"/>
        <v>0</v>
      </c>
      <c r="X247" s="61" t="str">
        <f t="shared" si="15"/>
        <v>0%</v>
      </c>
      <c r="Y247" s="145"/>
      <c r="Z247" s="196">
        <f t="shared" si="75"/>
        <v>45519</v>
      </c>
      <c r="AA247" s="197">
        <f t="shared" si="75"/>
        <v>45519</v>
      </c>
      <c r="AB247" s="1"/>
      <c r="AC247" s="1"/>
      <c r="AD247" s="1"/>
      <c r="AE247" s="1"/>
      <c r="AF247" s="145"/>
      <c r="AG247" s="198">
        <f t="shared" si="72"/>
        <v>144</v>
      </c>
      <c r="AH247" s="145"/>
      <c r="AI247" s="145"/>
      <c r="AJ247" s="145"/>
      <c r="AK247" s="145"/>
      <c r="AL247" s="145"/>
      <c r="AM247" s="145"/>
      <c r="AN247" s="145"/>
    </row>
    <row r="248" spans="1:40" ht="20">
      <c r="A248" s="145"/>
      <c r="B248" s="152"/>
      <c r="C248" s="50">
        <f t="shared" si="68"/>
        <v>229</v>
      </c>
      <c r="D248" s="51">
        <v>0</v>
      </c>
      <c r="E248" s="187" t="str">
        <f t="shared" si="8"/>
        <v>8</v>
      </c>
      <c r="F248" s="188">
        <f t="shared" si="69"/>
        <v>45520</v>
      </c>
      <c r="G248" s="189" t="str">
        <f t="shared" si="70"/>
        <v>Fri</v>
      </c>
      <c r="H248" s="190" t="s">
        <v>115</v>
      </c>
      <c r="I248" s="200"/>
      <c r="J248" s="201">
        <v>0</v>
      </c>
      <c r="K248" s="202"/>
      <c r="L248" s="59">
        <f t="shared" si="74"/>
        <v>0</v>
      </c>
      <c r="M248" s="60">
        <f t="shared" si="65"/>
        <v>0</v>
      </c>
      <c r="N248" s="61" t="str">
        <f t="shared" si="11"/>
        <v>0%</v>
      </c>
      <c r="O248" s="194"/>
      <c r="P248" s="106">
        <f>IF(D248=0,0,SUM($L$233:L248))</f>
        <v>0</v>
      </c>
      <c r="Q248" s="59">
        <f>IF(D248=0,0,SUM($J$233:J248))</f>
        <v>0</v>
      </c>
      <c r="R248" s="63">
        <f t="shared" si="66"/>
        <v>0</v>
      </c>
      <c r="S248" s="61" t="str">
        <f t="shared" si="13"/>
        <v>0%</v>
      </c>
      <c r="T248" s="81"/>
      <c r="U248" s="59">
        <f>IF(D248=0,0,SUM($L$20:L248))</f>
        <v>0</v>
      </c>
      <c r="V248" s="59">
        <f>IF(D248=0,0,SUM($J$20:J248))</f>
        <v>0</v>
      </c>
      <c r="W248" s="63">
        <f t="shared" si="67"/>
        <v>0</v>
      </c>
      <c r="X248" s="61" t="str">
        <f t="shared" si="15"/>
        <v>0%</v>
      </c>
      <c r="Y248" s="145"/>
      <c r="Z248" s="196">
        <f t="shared" si="75"/>
        <v>45520</v>
      </c>
      <c r="AA248" s="197">
        <f t="shared" si="75"/>
        <v>45520</v>
      </c>
      <c r="AB248" s="1"/>
      <c r="AC248" s="1"/>
      <c r="AD248" s="1"/>
      <c r="AE248" s="1"/>
      <c r="AF248" s="145"/>
      <c r="AG248" s="198">
        <f t="shared" si="72"/>
        <v>145</v>
      </c>
      <c r="AH248" s="145"/>
      <c r="AI248" s="145"/>
      <c r="AJ248" s="145"/>
      <c r="AK248" s="145"/>
      <c r="AL248" s="145"/>
      <c r="AM248" s="145"/>
      <c r="AN248" s="145"/>
    </row>
    <row r="249" spans="1:40" ht="20">
      <c r="A249" s="145"/>
      <c r="B249" s="152"/>
      <c r="C249" s="50">
        <f t="shared" si="68"/>
        <v>230</v>
      </c>
      <c r="D249" s="51">
        <v>1</v>
      </c>
      <c r="E249" s="187" t="str">
        <f t="shared" si="8"/>
        <v>8</v>
      </c>
      <c r="F249" s="188">
        <f t="shared" si="69"/>
        <v>45521</v>
      </c>
      <c r="G249" s="189" t="str">
        <f t="shared" si="70"/>
        <v>Sat</v>
      </c>
      <c r="H249" s="190"/>
      <c r="I249" s="200"/>
      <c r="J249" s="201">
        <v>67850</v>
      </c>
      <c r="K249" s="202"/>
      <c r="L249" s="59">
        <f t="shared" si="74"/>
        <v>197151.06159169553</v>
      </c>
      <c r="M249" s="60">
        <f t="shared" si="65"/>
        <v>-129301.06159169553</v>
      </c>
      <c r="N249" s="61">
        <f t="shared" si="11"/>
        <v>0.34415234415789725</v>
      </c>
      <c r="O249" s="194"/>
      <c r="P249" s="106">
        <f>IF(D249=0,0,SUM($L$233:L249))</f>
        <v>1971510.6159169553</v>
      </c>
      <c r="Q249" s="59">
        <f>IF(D249=0,0,SUM($J$233:J249))</f>
        <v>1893655</v>
      </c>
      <c r="R249" s="63">
        <f t="shared" si="66"/>
        <v>-77855.615916955285</v>
      </c>
      <c r="S249" s="61">
        <f t="shared" si="13"/>
        <v>0.96050966437188345</v>
      </c>
      <c r="T249" s="81"/>
      <c r="U249" s="59">
        <f>IF(D249=0,0,SUM($L$20:L249))</f>
        <v>41845312.82283733</v>
      </c>
      <c r="V249" s="59">
        <f>IF(D249=0,0,SUM($J$20:J249))</f>
        <v>43610269</v>
      </c>
      <c r="W249" s="63">
        <f t="shared" si="67"/>
        <v>1764956.1771626696</v>
      </c>
      <c r="X249" s="61">
        <f t="shared" si="15"/>
        <v>1.0421781092815594</v>
      </c>
      <c r="Y249" s="145"/>
      <c r="Z249" s="196">
        <f t="shared" si="75"/>
        <v>45521</v>
      </c>
      <c r="AA249" s="197">
        <f t="shared" si="75"/>
        <v>45521</v>
      </c>
      <c r="AB249" s="1"/>
      <c r="AC249" s="1"/>
      <c r="AD249" s="1"/>
      <c r="AE249" s="1"/>
      <c r="AF249" s="145"/>
      <c r="AG249" s="198">
        <f t="shared" si="72"/>
        <v>146</v>
      </c>
      <c r="AH249" s="145"/>
      <c r="AI249" s="145"/>
      <c r="AJ249" s="145"/>
      <c r="AK249" s="145"/>
      <c r="AL249" s="145"/>
      <c r="AM249" s="145"/>
      <c r="AN249" s="145"/>
    </row>
    <row r="250" spans="1:40" ht="20">
      <c r="A250" s="145"/>
      <c r="B250" s="152"/>
      <c r="C250" s="50">
        <f t="shared" si="68"/>
        <v>231</v>
      </c>
      <c r="D250" s="51">
        <v>0</v>
      </c>
      <c r="E250" s="187" t="str">
        <f t="shared" si="8"/>
        <v>8</v>
      </c>
      <c r="F250" s="188">
        <f t="shared" si="69"/>
        <v>45522</v>
      </c>
      <c r="G250" s="189" t="str">
        <f t="shared" si="70"/>
        <v>Sun</v>
      </c>
      <c r="H250" s="190" t="s">
        <v>58</v>
      </c>
      <c r="I250" s="200"/>
      <c r="J250" s="201">
        <v>0</v>
      </c>
      <c r="K250" s="202"/>
      <c r="L250" s="59">
        <f t="shared" si="74"/>
        <v>0</v>
      </c>
      <c r="M250" s="60">
        <f t="shared" si="65"/>
        <v>0</v>
      </c>
      <c r="N250" s="61" t="str">
        <f t="shared" si="11"/>
        <v>0%</v>
      </c>
      <c r="O250" s="194"/>
      <c r="P250" s="106">
        <f>IF(D250=0,0,SUM($L$233:L250))</f>
        <v>0</v>
      </c>
      <c r="Q250" s="59">
        <f>IF(D250=0,0,SUM($J$233:J250))</f>
        <v>0</v>
      </c>
      <c r="R250" s="63">
        <f t="shared" si="66"/>
        <v>0</v>
      </c>
      <c r="S250" s="61" t="str">
        <f t="shared" si="13"/>
        <v>0%</v>
      </c>
      <c r="T250" s="80"/>
      <c r="U250" s="59">
        <f>IF(D250=0,0,SUM($L$20:L250))</f>
        <v>0</v>
      </c>
      <c r="V250" s="59">
        <f>IF(D250=0,0,SUM($J$20:J250))</f>
        <v>0</v>
      </c>
      <c r="W250" s="63">
        <f t="shared" si="67"/>
        <v>0</v>
      </c>
      <c r="X250" s="61" t="str">
        <f t="shared" si="15"/>
        <v>0%</v>
      </c>
      <c r="Y250" s="145"/>
      <c r="Z250" s="196">
        <f t="shared" si="75"/>
        <v>45522</v>
      </c>
      <c r="AA250" s="197">
        <f t="shared" si="75"/>
        <v>45522</v>
      </c>
      <c r="AB250" s="1"/>
      <c r="AC250" s="1"/>
      <c r="AD250" s="1"/>
      <c r="AE250" s="1"/>
      <c r="AF250" s="145"/>
      <c r="AG250" s="198">
        <f t="shared" si="72"/>
        <v>147</v>
      </c>
      <c r="AH250" s="145"/>
      <c r="AI250" s="145"/>
      <c r="AJ250" s="145"/>
      <c r="AK250" s="145"/>
      <c r="AL250" s="145"/>
      <c r="AM250" s="145"/>
      <c r="AN250" s="145"/>
    </row>
    <row r="251" spans="1:40" ht="20">
      <c r="A251" s="145"/>
      <c r="B251" s="152"/>
      <c r="C251" s="50">
        <f t="shared" si="68"/>
        <v>232</v>
      </c>
      <c r="D251" s="51">
        <v>1</v>
      </c>
      <c r="E251" s="187" t="str">
        <f t="shared" si="8"/>
        <v>8</v>
      </c>
      <c r="F251" s="188">
        <f t="shared" si="69"/>
        <v>45523</v>
      </c>
      <c r="G251" s="189" t="str">
        <f t="shared" si="70"/>
        <v>Mon</v>
      </c>
      <c r="H251" s="190"/>
      <c r="I251" s="200"/>
      <c r="J251" s="201">
        <v>148100</v>
      </c>
      <c r="K251" s="202"/>
      <c r="L251" s="59">
        <f t="shared" si="74"/>
        <v>197151.06159169553</v>
      </c>
      <c r="M251" s="60">
        <f t="shared" si="65"/>
        <v>-49051.061591695528</v>
      </c>
      <c r="N251" s="61">
        <f t="shared" si="11"/>
        <v>0.75120062151487965</v>
      </c>
      <c r="O251" s="194"/>
      <c r="P251" s="106">
        <f>IF(D251=0,0,SUM($L$233:L251))</f>
        <v>2168661.6775086508</v>
      </c>
      <c r="Q251" s="59">
        <f>IF(D251=0,0,SUM($J$233:J251))</f>
        <v>2041755</v>
      </c>
      <c r="R251" s="63">
        <f t="shared" si="66"/>
        <v>-126906.67750865081</v>
      </c>
      <c r="S251" s="61">
        <f t="shared" si="13"/>
        <v>0.94148156956670126</v>
      </c>
      <c r="T251" s="80"/>
      <c r="U251" s="59">
        <f>IF(D251=0,0,SUM($L$20:L251))</f>
        <v>42042463.884429023</v>
      </c>
      <c r="V251" s="59">
        <f>IF(D251=0,0,SUM($J$20:J251))</f>
        <v>43758369</v>
      </c>
      <c r="W251" s="63">
        <f t="shared" si="67"/>
        <v>1715905.1155709773</v>
      </c>
      <c r="X251" s="61">
        <f t="shared" si="15"/>
        <v>1.0408136193037556</v>
      </c>
      <c r="Y251" s="145"/>
      <c r="Z251" s="196">
        <f t="shared" si="75"/>
        <v>45523</v>
      </c>
      <c r="AA251" s="197">
        <f t="shared" si="75"/>
        <v>45523</v>
      </c>
      <c r="AB251" s="1"/>
      <c r="AC251" s="1"/>
      <c r="AD251" s="1"/>
      <c r="AE251" s="1"/>
      <c r="AF251" s="145"/>
      <c r="AG251" s="198">
        <f t="shared" si="72"/>
        <v>148</v>
      </c>
      <c r="AH251" s="145"/>
      <c r="AI251" s="145"/>
      <c r="AJ251" s="145"/>
      <c r="AK251" s="145"/>
      <c r="AL251" s="145"/>
      <c r="AM251" s="145"/>
      <c r="AN251" s="145"/>
    </row>
    <row r="252" spans="1:40" ht="20">
      <c r="A252" s="145"/>
      <c r="B252" s="152"/>
      <c r="C252" s="50">
        <f t="shared" si="68"/>
        <v>233</v>
      </c>
      <c r="D252" s="51">
        <v>1</v>
      </c>
      <c r="E252" s="187" t="str">
        <f t="shared" si="8"/>
        <v>8</v>
      </c>
      <c r="F252" s="188">
        <f t="shared" si="69"/>
        <v>45524</v>
      </c>
      <c r="G252" s="189" t="str">
        <f t="shared" si="70"/>
        <v>Tue</v>
      </c>
      <c r="H252" s="190"/>
      <c r="I252" s="200"/>
      <c r="J252" s="201">
        <v>192250</v>
      </c>
      <c r="K252" s="202"/>
      <c r="L252" s="59">
        <f t="shared" si="74"/>
        <v>197151.06159169553</v>
      </c>
      <c r="M252" s="60">
        <f t="shared" si="65"/>
        <v>-4901.0615916955285</v>
      </c>
      <c r="N252" s="61">
        <f t="shared" si="11"/>
        <v>0.97514057721968683</v>
      </c>
      <c r="O252" s="194"/>
      <c r="P252" s="106">
        <f>IF(D252=0,0,SUM($L$233:L252))</f>
        <v>2365812.7391003463</v>
      </c>
      <c r="Q252" s="59">
        <f>IF(D252=0,0,SUM($J$233:J252))</f>
        <v>2234005</v>
      </c>
      <c r="R252" s="63">
        <f t="shared" si="66"/>
        <v>-131807.73910034634</v>
      </c>
      <c r="S252" s="61">
        <f t="shared" si="13"/>
        <v>0.94428648687111671</v>
      </c>
      <c r="T252" s="80"/>
      <c r="U252" s="59">
        <f>IF(D252=0,0,SUM($L$20:L252))</f>
        <v>42239614.946020715</v>
      </c>
      <c r="V252" s="59">
        <f>IF(D252=0,0,SUM($J$20:J252))</f>
        <v>43950619</v>
      </c>
      <c r="W252" s="63">
        <f t="shared" si="67"/>
        <v>1711004.0539792851</v>
      </c>
      <c r="X252" s="61">
        <f t="shared" si="15"/>
        <v>1.040507094019816</v>
      </c>
      <c r="Y252" s="145"/>
      <c r="Z252" s="196">
        <f t="shared" si="75"/>
        <v>45524</v>
      </c>
      <c r="AA252" s="197">
        <f t="shared" si="75"/>
        <v>45524</v>
      </c>
      <c r="AB252" s="1"/>
      <c r="AC252" s="1"/>
      <c r="AD252" s="1"/>
      <c r="AE252" s="1"/>
      <c r="AF252" s="145"/>
      <c r="AG252" s="198">
        <f t="shared" si="72"/>
        <v>149</v>
      </c>
      <c r="AH252" s="145"/>
      <c r="AI252" s="145"/>
      <c r="AJ252" s="145"/>
      <c r="AK252" s="145"/>
      <c r="AL252" s="145"/>
      <c r="AM252" s="145"/>
      <c r="AN252" s="145"/>
    </row>
    <row r="253" spans="1:40" ht="20">
      <c r="A253" s="145"/>
      <c r="B253" s="152"/>
      <c r="C253" s="50">
        <f t="shared" si="68"/>
        <v>234</v>
      </c>
      <c r="D253" s="51">
        <v>1</v>
      </c>
      <c r="E253" s="187" t="str">
        <f t="shared" si="8"/>
        <v>8</v>
      </c>
      <c r="F253" s="188">
        <f t="shared" si="69"/>
        <v>45525</v>
      </c>
      <c r="G253" s="189" t="str">
        <f t="shared" si="70"/>
        <v>Wed</v>
      </c>
      <c r="H253" s="190"/>
      <c r="I253" s="200"/>
      <c r="J253" s="201">
        <v>341650</v>
      </c>
      <c r="K253" s="202"/>
      <c r="L253" s="59">
        <f t="shared" si="74"/>
        <v>197151.06159169553</v>
      </c>
      <c r="M253" s="60">
        <f t="shared" si="65"/>
        <v>144498.93840830447</v>
      </c>
      <c r="N253" s="61">
        <f t="shared" si="11"/>
        <v>1.7329351272151157</v>
      </c>
      <c r="O253" s="194"/>
      <c r="P253" s="106">
        <f>IF(D253=0,0,SUM($L$233:L253))</f>
        <v>2562963.8006920419</v>
      </c>
      <c r="Q253" s="59">
        <f>IF(D253=0,0,SUM($J$233:J253))</f>
        <v>2575655</v>
      </c>
      <c r="R253" s="63">
        <f t="shared" si="66"/>
        <v>12691.19930795813</v>
      </c>
      <c r="S253" s="61">
        <f t="shared" si="13"/>
        <v>1.0049517668975783</v>
      </c>
      <c r="T253" s="80"/>
      <c r="U253" s="59">
        <f>IF(D253=0,0,SUM($L$20:L253))</f>
        <v>42436766.007612407</v>
      </c>
      <c r="V253" s="59">
        <f>IF(D253=0,0,SUM($J$20:J253))</f>
        <v>44292269</v>
      </c>
      <c r="W253" s="63">
        <f t="shared" si="67"/>
        <v>1855502.9923875928</v>
      </c>
      <c r="X253" s="61">
        <f t="shared" si="15"/>
        <v>1.0437239489940102</v>
      </c>
      <c r="Y253" s="145"/>
      <c r="Z253" s="196">
        <f t="shared" si="75"/>
        <v>45525</v>
      </c>
      <c r="AA253" s="197">
        <f t="shared" si="75"/>
        <v>45525</v>
      </c>
      <c r="AB253" s="1"/>
      <c r="AC253" s="1"/>
      <c r="AD253" s="1"/>
      <c r="AE253" s="1"/>
      <c r="AF253" s="145"/>
      <c r="AG253" s="198">
        <f t="shared" si="72"/>
        <v>150</v>
      </c>
      <c r="AH253" s="145"/>
      <c r="AI253" s="145"/>
      <c r="AJ253" s="145"/>
      <c r="AK253" s="145"/>
      <c r="AL253" s="145"/>
      <c r="AM253" s="145"/>
      <c r="AN253" s="145"/>
    </row>
    <row r="254" spans="1:40" ht="20">
      <c r="A254" s="145"/>
      <c r="B254" s="152"/>
      <c r="C254" s="50">
        <f t="shared" si="68"/>
        <v>235</v>
      </c>
      <c r="D254" s="51">
        <v>1</v>
      </c>
      <c r="E254" s="187" t="str">
        <f t="shared" si="8"/>
        <v>8</v>
      </c>
      <c r="F254" s="188">
        <f t="shared" si="69"/>
        <v>45526</v>
      </c>
      <c r="G254" s="189" t="str">
        <f t="shared" si="70"/>
        <v>Thu</v>
      </c>
      <c r="H254" s="190"/>
      <c r="I254" s="200"/>
      <c r="J254" s="201">
        <v>211250</v>
      </c>
      <c r="K254" s="202"/>
      <c r="L254" s="59">
        <f t="shared" si="74"/>
        <v>197151.06159169553</v>
      </c>
      <c r="M254" s="60">
        <f t="shared" si="65"/>
        <v>14098.938408304472</v>
      </c>
      <c r="N254" s="61">
        <f t="shared" si="11"/>
        <v>1.0715133780892527</v>
      </c>
      <c r="O254" s="194"/>
      <c r="P254" s="106">
        <f>IF(D254=0,0,SUM($L$233:L254))</f>
        <v>2760114.8622837374</v>
      </c>
      <c r="Q254" s="59">
        <f>IF(D254=0,0,SUM($J$233:J254))</f>
        <v>2786905</v>
      </c>
      <c r="R254" s="63">
        <f t="shared" si="66"/>
        <v>26790.137716262601</v>
      </c>
      <c r="S254" s="61">
        <f t="shared" si="13"/>
        <v>1.0097061676969836</v>
      </c>
      <c r="T254" s="80"/>
      <c r="U254" s="59">
        <f>IF(D254=0,0,SUM($L$20:L254))</f>
        <v>42633917.069204099</v>
      </c>
      <c r="V254" s="59">
        <f>IF(D254=0,0,SUM($J$20:J254))</f>
        <v>44503519</v>
      </c>
      <c r="W254" s="63">
        <f t="shared" si="67"/>
        <v>1869601.9307959005</v>
      </c>
      <c r="X254" s="61">
        <f t="shared" si="15"/>
        <v>1.0438524550245085</v>
      </c>
      <c r="Y254" s="145"/>
      <c r="Z254" s="196">
        <f t="shared" si="75"/>
        <v>45526</v>
      </c>
      <c r="AA254" s="197">
        <f t="shared" si="75"/>
        <v>45526</v>
      </c>
      <c r="AB254" s="1"/>
      <c r="AC254" s="1"/>
      <c r="AD254" s="1"/>
      <c r="AE254" s="1"/>
      <c r="AF254" s="145"/>
      <c r="AG254" s="198">
        <f t="shared" si="72"/>
        <v>151</v>
      </c>
      <c r="AH254" s="145"/>
      <c r="AI254" s="145"/>
      <c r="AJ254" s="145"/>
      <c r="AK254" s="145"/>
      <c r="AL254" s="145"/>
      <c r="AM254" s="145"/>
      <c r="AN254" s="145"/>
    </row>
    <row r="255" spans="1:40" ht="20">
      <c r="A255" s="145"/>
      <c r="B255" s="152"/>
      <c r="C255" s="50">
        <f t="shared" si="68"/>
        <v>236</v>
      </c>
      <c r="D255" s="51">
        <v>1</v>
      </c>
      <c r="E255" s="187" t="str">
        <f t="shared" si="8"/>
        <v>8</v>
      </c>
      <c r="F255" s="188">
        <f t="shared" si="69"/>
        <v>45527</v>
      </c>
      <c r="G255" s="189" t="str">
        <f t="shared" si="70"/>
        <v>Fri</v>
      </c>
      <c r="H255" s="190"/>
      <c r="I255" s="200"/>
      <c r="J255" s="201">
        <v>346500</v>
      </c>
      <c r="K255" s="202"/>
      <c r="L255" s="59">
        <f t="shared" si="74"/>
        <v>197151.06159169553</v>
      </c>
      <c r="M255" s="60">
        <f t="shared" si="65"/>
        <v>149348.93840830447</v>
      </c>
      <c r="N255" s="61">
        <f t="shared" si="11"/>
        <v>1.7575355527002416</v>
      </c>
      <c r="O255" s="194"/>
      <c r="P255" s="106">
        <f>IF(D255=0,0,SUM($L$233:L255))</f>
        <v>2957265.9238754329</v>
      </c>
      <c r="Q255" s="59">
        <f>IF(D255=0,0,SUM($J$233:J255))</f>
        <v>3133405</v>
      </c>
      <c r="R255" s="63">
        <f t="shared" si="66"/>
        <v>176139.07612456707</v>
      </c>
      <c r="S255" s="61">
        <f t="shared" si="13"/>
        <v>1.0595614600305341</v>
      </c>
      <c r="T255" s="80"/>
      <c r="U255" s="59">
        <f>IF(D255=0,0,SUM($L$20:L255))</f>
        <v>42831068.130795792</v>
      </c>
      <c r="V255" s="59">
        <f>IF(D255=0,0,SUM($J$20:J255))</f>
        <v>44850019</v>
      </c>
      <c r="W255" s="63">
        <f t="shared" si="67"/>
        <v>2018950.8692042083</v>
      </c>
      <c r="X255" s="61">
        <f t="shared" si="15"/>
        <v>1.0471375325742243</v>
      </c>
      <c r="Y255" s="145"/>
      <c r="Z255" s="196">
        <f t="shared" si="75"/>
        <v>45527</v>
      </c>
      <c r="AA255" s="197">
        <f t="shared" si="75"/>
        <v>45527</v>
      </c>
      <c r="AB255" s="1"/>
      <c r="AC255" s="1"/>
      <c r="AD255" s="1"/>
      <c r="AE255" s="1"/>
      <c r="AF255" s="145"/>
      <c r="AG255" s="198">
        <f t="shared" si="72"/>
        <v>152</v>
      </c>
      <c r="AH255" s="145"/>
      <c r="AI255" s="145"/>
      <c r="AJ255" s="145"/>
      <c r="AK255" s="145"/>
      <c r="AL255" s="145"/>
      <c r="AM255" s="145"/>
      <c r="AN255" s="145"/>
    </row>
    <row r="256" spans="1:40" ht="20">
      <c r="A256" s="145"/>
      <c r="B256" s="152"/>
      <c r="C256" s="50">
        <f t="shared" si="68"/>
        <v>237</v>
      </c>
      <c r="D256" s="51">
        <v>1</v>
      </c>
      <c r="E256" s="187" t="str">
        <f t="shared" si="8"/>
        <v>8</v>
      </c>
      <c r="F256" s="188">
        <f t="shared" si="69"/>
        <v>45528</v>
      </c>
      <c r="G256" s="189" t="str">
        <f t="shared" si="70"/>
        <v>Sat</v>
      </c>
      <c r="H256" s="190"/>
      <c r="I256" s="200"/>
      <c r="J256" s="201">
        <v>163470</v>
      </c>
      <c r="K256" s="202"/>
      <c r="L256" s="59">
        <f t="shared" si="74"/>
        <v>197151.06159169553</v>
      </c>
      <c r="M256" s="60">
        <f t="shared" si="65"/>
        <v>-33681.061591695528</v>
      </c>
      <c r="N256" s="61">
        <f t="shared" si="11"/>
        <v>0.82916114516568118</v>
      </c>
      <c r="O256" s="194"/>
      <c r="P256" s="106">
        <f>IF(D256=0,0,SUM($L$233:L256))</f>
        <v>3154416.9854671285</v>
      </c>
      <c r="Q256" s="59">
        <f>IF(D256=0,0,SUM($J$233:J256))</f>
        <v>3296875</v>
      </c>
      <c r="R256" s="63">
        <f t="shared" si="66"/>
        <v>142458.01453287154</v>
      </c>
      <c r="S256" s="61">
        <f t="shared" si="13"/>
        <v>1.0451614403514808</v>
      </c>
      <c r="T256" s="81"/>
      <c r="U256" s="59">
        <f>IF(D256=0,0,SUM($L$20:L256))</f>
        <v>43028219.192387484</v>
      </c>
      <c r="V256" s="59">
        <f>IF(D256=0,0,SUM($J$20:J256))</f>
        <v>45013489</v>
      </c>
      <c r="W256" s="63">
        <f t="shared" si="67"/>
        <v>1985269.807612516</v>
      </c>
      <c r="X256" s="61">
        <f t="shared" si="15"/>
        <v>1.0461387862401645</v>
      </c>
      <c r="Y256" s="145"/>
      <c r="Z256" s="196">
        <f t="shared" si="75"/>
        <v>45528</v>
      </c>
      <c r="AA256" s="197">
        <f t="shared" si="75"/>
        <v>45528</v>
      </c>
      <c r="AB256" s="1"/>
      <c r="AC256" s="1"/>
      <c r="AD256" s="1"/>
      <c r="AE256" s="1"/>
      <c r="AF256" s="145"/>
      <c r="AG256" s="198">
        <f t="shared" si="72"/>
        <v>153</v>
      </c>
      <c r="AH256" s="145"/>
      <c r="AI256" s="145"/>
      <c r="AJ256" s="145"/>
      <c r="AK256" s="145"/>
      <c r="AL256" s="145"/>
      <c r="AM256" s="145"/>
      <c r="AN256" s="145"/>
    </row>
    <row r="257" spans="1:40" ht="20">
      <c r="A257" s="145"/>
      <c r="B257" s="152"/>
      <c r="C257" s="50">
        <f t="shared" si="68"/>
        <v>238</v>
      </c>
      <c r="D257" s="51">
        <v>0</v>
      </c>
      <c r="E257" s="187" t="str">
        <f t="shared" si="8"/>
        <v>8</v>
      </c>
      <c r="F257" s="188">
        <f t="shared" si="69"/>
        <v>45529</v>
      </c>
      <c r="G257" s="189" t="str">
        <f t="shared" si="70"/>
        <v>Sun</v>
      </c>
      <c r="H257" s="190" t="s">
        <v>58</v>
      </c>
      <c r="I257" s="200"/>
      <c r="J257" s="201">
        <v>0</v>
      </c>
      <c r="K257" s="202"/>
      <c r="L257" s="59">
        <f t="shared" si="74"/>
        <v>0</v>
      </c>
      <c r="M257" s="60">
        <f t="shared" si="65"/>
        <v>0</v>
      </c>
      <c r="N257" s="61" t="str">
        <f t="shared" si="11"/>
        <v>0%</v>
      </c>
      <c r="O257" s="194"/>
      <c r="P257" s="106">
        <f>IF(D257=0,0,SUM($L$233:L257))</f>
        <v>0</v>
      </c>
      <c r="Q257" s="59">
        <f>IF(D257=0,0,SUM($J$233:J257))</f>
        <v>0</v>
      </c>
      <c r="R257" s="63">
        <f t="shared" si="66"/>
        <v>0</v>
      </c>
      <c r="S257" s="61" t="str">
        <f t="shared" si="13"/>
        <v>0%</v>
      </c>
      <c r="T257" s="80"/>
      <c r="U257" s="59">
        <f>IF(D257=0,0,SUM($L$20:L257))</f>
        <v>0</v>
      </c>
      <c r="V257" s="59">
        <f>IF(D257=0,0,SUM($J$20:J257))</f>
        <v>0</v>
      </c>
      <c r="W257" s="63">
        <f t="shared" si="67"/>
        <v>0</v>
      </c>
      <c r="X257" s="61" t="str">
        <f t="shared" si="15"/>
        <v>0%</v>
      </c>
      <c r="Y257" s="145"/>
      <c r="Z257" s="196">
        <f t="shared" si="75"/>
        <v>45529</v>
      </c>
      <c r="AA257" s="197">
        <f t="shared" si="75"/>
        <v>45529</v>
      </c>
      <c r="AB257" s="1"/>
      <c r="AC257" s="1"/>
      <c r="AD257" s="1"/>
      <c r="AE257" s="1"/>
      <c r="AF257" s="145"/>
      <c r="AG257" s="198">
        <f t="shared" si="72"/>
        <v>154</v>
      </c>
      <c r="AH257" s="145"/>
      <c r="AI257" s="145"/>
      <c r="AJ257" s="145"/>
      <c r="AK257" s="145"/>
      <c r="AL257" s="145"/>
      <c r="AM257" s="145"/>
      <c r="AN257" s="145"/>
    </row>
    <row r="258" spans="1:40" ht="20">
      <c r="A258" s="145"/>
      <c r="B258" s="152"/>
      <c r="C258" s="50">
        <f t="shared" si="68"/>
        <v>239</v>
      </c>
      <c r="D258" s="51">
        <v>1</v>
      </c>
      <c r="E258" s="187" t="str">
        <f t="shared" si="8"/>
        <v>8</v>
      </c>
      <c r="F258" s="188">
        <f t="shared" si="69"/>
        <v>45530</v>
      </c>
      <c r="G258" s="189" t="str">
        <f t="shared" si="70"/>
        <v>Mon</v>
      </c>
      <c r="H258" s="190"/>
      <c r="I258" s="200"/>
      <c r="J258" s="201">
        <v>134000</v>
      </c>
      <c r="K258" s="202"/>
      <c r="L258" s="59">
        <f t="shared" si="74"/>
        <v>197151.06159169553</v>
      </c>
      <c r="M258" s="60">
        <f t="shared" si="65"/>
        <v>-63151.061591695528</v>
      </c>
      <c r="N258" s="61">
        <f t="shared" si="11"/>
        <v>0.67968185876430709</v>
      </c>
      <c r="O258" s="194"/>
      <c r="P258" s="106">
        <f>IF(D258=0,0,SUM($L$233:L258))</f>
        <v>3351568.047058824</v>
      </c>
      <c r="Q258" s="59">
        <f>IF(D258=0,0,SUM($J$233:J258))</f>
        <v>3430875</v>
      </c>
      <c r="R258" s="63">
        <f t="shared" si="66"/>
        <v>79306.952941176016</v>
      </c>
      <c r="S258" s="61">
        <f t="shared" si="13"/>
        <v>1.0236626414345882</v>
      </c>
      <c r="T258" s="80"/>
      <c r="U258" s="59">
        <f>IF(D258=0,0,SUM($L$20:L258))</f>
        <v>43225370.253979176</v>
      </c>
      <c r="V258" s="59">
        <f>IF(D258=0,0,SUM($J$20:J258))</f>
        <v>45147489</v>
      </c>
      <c r="W258" s="63">
        <f t="shared" si="67"/>
        <v>1922118.7460208237</v>
      </c>
      <c r="X258" s="61">
        <f t="shared" si="15"/>
        <v>1.0444673749403888</v>
      </c>
      <c r="Y258" s="145"/>
      <c r="Z258" s="196">
        <f t="shared" si="75"/>
        <v>45530</v>
      </c>
      <c r="AA258" s="197">
        <f t="shared" si="75"/>
        <v>45530</v>
      </c>
      <c r="AB258" s="1"/>
      <c r="AC258" s="1"/>
      <c r="AD258" s="1"/>
      <c r="AE258" s="1"/>
      <c r="AF258" s="145"/>
      <c r="AG258" s="198">
        <f t="shared" si="72"/>
        <v>155</v>
      </c>
      <c r="AH258" s="145"/>
      <c r="AI258" s="145"/>
      <c r="AJ258" s="145"/>
      <c r="AK258" s="145"/>
      <c r="AL258" s="145"/>
      <c r="AM258" s="145"/>
      <c r="AN258" s="145"/>
    </row>
    <row r="259" spans="1:40" ht="20">
      <c r="A259" s="145"/>
      <c r="B259" s="152"/>
      <c r="C259" s="50">
        <f t="shared" si="68"/>
        <v>240</v>
      </c>
      <c r="D259" s="51">
        <v>1</v>
      </c>
      <c r="E259" s="187" t="str">
        <f t="shared" si="8"/>
        <v>8</v>
      </c>
      <c r="F259" s="188">
        <f t="shared" si="69"/>
        <v>45531</v>
      </c>
      <c r="G259" s="189" t="str">
        <f t="shared" si="70"/>
        <v>Tue</v>
      </c>
      <c r="H259" s="190"/>
      <c r="I259" s="200"/>
      <c r="J259" s="201">
        <v>157150</v>
      </c>
      <c r="K259" s="202"/>
      <c r="L259" s="59">
        <f t="shared" si="74"/>
        <v>197151.06159169553</v>
      </c>
      <c r="M259" s="60">
        <f t="shared" si="65"/>
        <v>-40001.061591695528</v>
      </c>
      <c r="N259" s="61">
        <f t="shared" si="11"/>
        <v>0.79710450824485712</v>
      </c>
      <c r="O259" s="194"/>
      <c r="P259" s="106">
        <f>IF(D259=0,0,SUM($L$233:L259))</f>
        <v>3548719.1086505195</v>
      </c>
      <c r="Q259" s="59">
        <f>IF(D259=0,0,SUM($J$233:J259))</f>
        <v>3588025</v>
      </c>
      <c r="R259" s="63">
        <f t="shared" si="66"/>
        <v>39305.891349480487</v>
      </c>
      <c r="S259" s="61">
        <f t="shared" si="13"/>
        <v>1.0110760784796031</v>
      </c>
      <c r="T259" s="80"/>
      <c r="U259" s="59">
        <f>IF(D259=0,0,SUM($L$20:L259))</f>
        <v>43422521.315570869</v>
      </c>
      <c r="V259" s="59">
        <f>IF(D259=0,0,SUM($J$20:J259))</f>
        <v>45304639</v>
      </c>
      <c r="W259" s="63">
        <f t="shared" si="67"/>
        <v>1882117.6844291314</v>
      </c>
      <c r="X259" s="61">
        <f t="shared" si="15"/>
        <v>1.0433442745240642</v>
      </c>
      <c r="Y259" s="145"/>
      <c r="Z259" s="196">
        <f t="shared" si="75"/>
        <v>45531</v>
      </c>
      <c r="AA259" s="197">
        <f t="shared" si="75"/>
        <v>45531</v>
      </c>
      <c r="AB259" s="1"/>
      <c r="AC259" s="1"/>
      <c r="AD259" s="1"/>
      <c r="AE259" s="1"/>
      <c r="AF259" s="145"/>
      <c r="AG259" s="198">
        <f t="shared" si="72"/>
        <v>156</v>
      </c>
      <c r="AH259" s="145"/>
      <c r="AI259" s="145"/>
      <c r="AJ259" s="145"/>
      <c r="AK259" s="145"/>
      <c r="AL259" s="145"/>
      <c r="AM259" s="145"/>
      <c r="AN259" s="145"/>
    </row>
    <row r="260" spans="1:40" ht="20">
      <c r="A260" s="145"/>
      <c r="B260" s="152"/>
      <c r="C260" s="50">
        <f t="shared" si="68"/>
        <v>241</v>
      </c>
      <c r="D260" s="51">
        <v>1</v>
      </c>
      <c r="E260" s="187" t="str">
        <f t="shared" si="8"/>
        <v>8</v>
      </c>
      <c r="F260" s="188">
        <f t="shared" si="69"/>
        <v>45532</v>
      </c>
      <c r="G260" s="189" t="str">
        <f t="shared" si="70"/>
        <v>Wed</v>
      </c>
      <c r="H260" s="190"/>
      <c r="I260" s="200"/>
      <c r="J260" s="201">
        <v>307544</v>
      </c>
      <c r="K260" s="202"/>
      <c r="L260" s="59">
        <f t="shared" si="74"/>
        <v>197151.06159169553</v>
      </c>
      <c r="M260" s="60">
        <f t="shared" si="65"/>
        <v>110392.93840830447</v>
      </c>
      <c r="N260" s="61">
        <f t="shared" si="11"/>
        <v>1.5599408774015675</v>
      </c>
      <c r="O260" s="194"/>
      <c r="P260" s="106">
        <f>IF(D260=0,0,SUM($L$233:L260))</f>
        <v>3745870.170242215</v>
      </c>
      <c r="Q260" s="59">
        <f>IF(D260=0,0,SUM($J$233:J260))</f>
        <v>3895569</v>
      </c>
      <c r="R260" s="63">
        <f t="shared" si="66"/>
        <v>149698.82975778496</v>
      </c>
      <c r="S260" s="61">
        <f t="shared" si="13"/>
        <v>1.0399636994754959</v>
      </c>
      <c r="T260" s="80"/>
      <c r="U260" s="59">
        <f>IF(D260=0,0,SUM($L$20:L260))</f>
        <v>43619672.377162561</v>
      </c>
      <c r="V260" s="59">
        <f>IF(D260=0,0,SUM($J$20:J260))</f>
        <v>45612183</v>
      </c>
      <c r="W260" s="63">
        <f t="shared" si="67"/>
        <v>1992510.6228374392</v>
      </c>
      <c r="X260" s="61">
        <f t="shared" si="15"/>
        <v>1.0456791744240757</v>
      </c>
      <c r="Y260" s="145"/>
      <c r="Z260" s="196">
        <f t="shared" si="75"/>
        <v>45532</v>
      </c>
      <c r="AA260" s="197">
        <f t="shared" si="75"/>
        <v>45532</v>
      </c>
      <c r="AB260" s="1"/>
      <c r="AC260" s="1"/>
      <c r="AD260" s="1"/>
      <c r="AE260" s="1"/>
      <c r="AF260" s="145"/>
      <c r="AG260" s="198">
        <f t="shared" si="72"/>
        <v>157</v>
      </c>
      <c r="AH260" s="145"/>
      <c r="AI260" s="145"/>
      <c r="AJ260" s="145"/>
      <c r="AK260" s="145"/>
      <c r="AL260" s="145"/>
      <c r="AM260" s="145"/>
      <c r="AN260" s="145"/>
    </row>
    <row r="261" spans="1:40" ht="20">
      <c r="A261" s="145"/>
      <c r="B261" s="152"/>
      <c r="C261" s="50">
        <f t="shared" si="68"/>
        <v>242</v>
      </c>
      <c r="D261" s="51">
        <v>1</v>
      </c>
      <c r="E261" s="187" t="str">
        <f t="shared" si="8"/>
        <v>8</v>
      </c>
      <c r="F261" s="188">
        <f t="shared" si="69"/>
        <v>45533</v>
      </c>
      <c r="G261" s="189" t="str">
        <f t="shared" si="70"/>
        <v>Thu</v>
      </c>
      <c r="H261" s="190"/>
      <c r="I261" s="200"/>
      <c r="J261" s="201">
        <v>319443</v>
      </c>
      <c r="K261" s="202"/>
      <c r="L261" s="59">
        <f t="shared" si="74"/>
        <v>197151.06159169553</v>
      </c>
      <c r="M261" s="60">
        <f t="shared" si="65"/>
        <v>122291.93840830447</v>
      </c>
      <c r="N261" s="61">
        <f t="shared" si="11"/>
        <v>1.6202956120093026</v>
      </c>
      <c r="O261" s="194"/>
      <c r="P261" s="106">
        <f>IF(D261=0,0,SUM($L$233:L261))</f>
        <v>3943021.2318339106</v>
      </c>
      <c r="Q261" s="59">
        <f>IF(D261=0,0,SUM($J$233:J261))</f>
        <v>4215012</v>
      </c>
      <c r="R261" s="63">
        <f t="shared" si="66"/>
        <v>271990.76816608943</v>
      </c>
      <c r="S261" s="61">
        <f t="shared" si="13"/>
        <v>1.0689802951021863</v>
      </c>
      <c r="T261" s="80"/>
      <c r="U261" s="59">
        <f>IF(D261=0,0,SUM($L$20:L261))</f>
        <v>43816823.438754253</v>
      </c>
      <c r="V261" s="59">
        <f>IF(D261=0,0,SUM($J$20:J261))</f>
        <v>45931626</v>
      </c>
      <c r="W261" s="63">
        <f t="shared" si="67"/>
        <v>2114802.5612457469</v>
      </c>
      <c r="X261" s="61">
        <f t="shared" si="15"/>
        <v>1.0482646252118606</v>
      </c>
      <c r="Y261" s="145"/>
      <c r="Z261" s="196">
        <f t="shared" ref="Z261:AA276" si="76">Z260+1</f>
        <v>45533</v>
      </c>
      <c r="AA261" s="197">
        <f t="shared" si="76"/>
        <v>45533</v>
      </c>
      <c r="AB261" s="1"/>
      <c r="AC261" s="1"/>
      <c r="AD261" s="1"/>
      <c r="AE261" s="1"/>
      <c r="AF261" s="145"/>
      <c r="AG261" s="198">
        <f t="shared" si="72"/>
        <v>158</v>
      </c>
      <c r="AH261" s="145"/>
      <c r="AI261" s="145"/>
      <c r="AJ261" s="145"/>
      <c r="AK261" s="145"/>
      <c r="AL261" s="145"/>
      <c r="AM261" s="145"/>
      <c r="AN261" s="145"/>
    </row>
    <row r="262" spans="1:40" ht="20">
      <c r="A262" s="145"/>
      <c r="B262" s="152"/>
      <c r="C262" s="50">
        <f t="shared" si="68"/>
        <v>243</v>
      </c>
      <c r="D262" s="51">
        <v>1</v>
      </c>
      <c r="E262" s="187" t="str">
        <f t="shared" si="8"/>
        <v>8</v>
      </c>
      <c r="F262" s="188">
        <f t="shared" si="69"/>
        <v>45534</v>
      </c>
      <c r="G262" s="189" t="str">
        <f t="shared" si="70"/>
        <v>Fri</v>
      </c>
      <c r="H262" s="190"/>
      <c r="I262" s="200"/>
      <c r="J262" s="201">
        <v>213300</v>
      </c>
      <c r="K262" s="202"/>
      <c r="L262" s="59">
        <f t="shared" si="74"/>
        <v>197151.06159169553</v>
      </c>
      <c r="M262" s="60">
        <f t="shared" si="65"/>
        <v>16148.938408304472</v>
      </c>
      <c r="N262" s="61">
        <f t="shared" si="11"/>
        <v>1.0819114960778111</v>
      </c>
      <c r="O262" s="194"/>
      <c r="P262" s="106">
        <f>IF(D262=0,0,SUM($L$233:L262))</f>
        <v>4140172.2934256061</v>
      </c>
      <c r="Q262" s="59">
        <f>IF(D262=0,0,SUM($J$233:J262))</f>
        <v>4428312</v>
      </c>
      <c r="R262" s="63">
        <f t="shared" si="66"/>
        <v>288139.7065743939</v>
      </c>
      <c r="S262" s="61">
        <f t="shared" si="13"/>
        <v>1.0695960665772162</v>
      </c>
      <c r="T262" s="80"/>
      <c r="U262" s="59">
        <f>IF(D262=0,0,SUM($L$20:L262))</f>
        <v>44013974.500345945</v>
      </c>
      <c r="V262" s="59">
        <f>IF(D262=0,0,SUM($J$20:J262))</f>
        <v>46144926</v>
      </c>
      <c r="W262" s="63">
        <f t="shared" si="67"/>
        <v>2130951.4996540546</v>
      </c>
      <c r="X262" s="61">
        <f t="shared" si="15"/>
        <v>1.0484153390791215</v>
      </c>
      <c r="Y262" s="145"/>
      <c r="Z262" s="196">
        <f t="shared" si="76"/>
        <v>45534</v>
      </c>
      <c r="AA262" s="197">
        <f t="shared" si="76"/>
        <v>45534</v>
      </c>
      <c r="AB262" s="1"/>
      <c r="AC262" s="1"/>
      <c r="AD262" s="1"/>
      <c r="AE262" s="1"/>
      <c r="AF262" s="145"/>
      <c r="AG262" s="198">
        <f t="shared" si="72"/>
        <v>159</v>
      </c>
      <c r="AH262" s="145"/>
      <c r="AI262" s="145"/>
      <c r="AJ262" s="145"/>
      <c r="AK262" s="145"/>
      <c r="AL262" s="145"/>
      <c r="AM262" s="145"/>
      <c r="AN262" s="145"/>
    </row>
    <row r="263" spans="1:40" ht="21" thickBot="1">
      <c r="A263" s="145"/>
      <c r="B263" s="152"/>
      <c r="C263" s="100">
        <f t="shared" si="68"/>
        <v>244</v>
      </c>
      <c r="D263" s="85">
        <v>1</v>
      </c>
      <c r="E263" s="203" t="str">
        <f t="shared" si="8"/>
        <v>8</v>
      </c>
      <c r="F263" s="204">
        <f t="shared" si="69"/>
        <v>45535</v>
      </c>
      <c r="G263" s="205" t="str">
        <f t="shared" si="70"/>
        <v>Sat</v>
      </c>
      <c r="H263" s="206"/>
      <c r="I263" s="207"/>
      <c r="J263" s="208">
        <v>83690</v>
      </c>
      <c r="K263" s="202"/>
      <c r="L263" s="103">
        <f t="shared" si="74"/>
        <v>197151.06159169553</v>
      </c>
      <c r="M263" s="91">
        <f t="shared" si="65"/>
        <v>-113461.06159169553</v>
      </c>
      <c r="N263" s="108">
        <f t="shared" si="11"/>
        <v>0.42449682656705118</v>
      </c>
      <c r="O263" s="209"/>
      <c r="P263" s="210">
        <f>IF(D263=0,0,SUM($L$233:L263))</f>
        <v>4337323.3550173016</v>
      </c>
      <c r="Q263" s="103">
        <f>IF(D263=0,0,SUM($J$233:J263))</f>
        <v>4512002</v>
      </c>
      <c r="R263" s="105">
        <f t="shared" si="66"/>
        <v>174678.64498269837</v>
      </c>
      <c r="S263" s="108">
        <f t="shared" si="13"/>
        <v>1.0402733738494814</v>
      </c>
      <c r="T263" s="213"/>
      <c r="U263" s="103">
        <f>IF(D263=0,0,SUM($L$20:L263))</f>
        <v>44211125.561937638</v>
      </c>
      <c r="V263" s="103">
        <f>IF(D263=0,0,SUM($J$20:J263))</f>
        <v>46228616</v>
      </c>
      <c r="W263" s="105">
        <f t="shared" si="67"/>
        <v>2017490.4380623624</v>
      </c>
      <c r="X263" s="108">
        <f t="shared" si="15"/>
        <v>1.0456330937613421</v>
      </c>
      <c r="Y263" s="145"/>
      <c r="Z263" s="196">
        <f t="shared" si="76"/>
        <v>45535</v>
      </c>
      <c r="AA263" s="197">
        <f t="shared" si="76"/>
        <v>45535</v>
      </c>
      <c r="AB263" s="1"/>
      <c r="AC263" s="1"/>
      <c r="AD263" s="1"/>
      <c r="AE263" s="1"/>
      <c r="AF263" s="145"/>
      <c r="AG263" s="198">
        <f t="shared" si="72"/>
        <v>160</v>
      </c>
      <c r="AH263" s="145"/>
      <c r="AI263" s="145"/>
      <c r="AJ263" s="145"/>
      <c r="AK263" s="145"/>
      <c r="AL263" s="145"/>
      <c r="AM263" s="145"/>
      <c r="AN263" s="145"/>
    </row>
    <row r="264" spans="1:40" ht="21" thickTop="1">
      <c r="A264" s="145"/>
      <c r="B264" s="152"/>
      <c r="C264" s="50">
        <f t="shared" si="68"/>
        <v>245</v>
      </c>
      <c r="D264" s="96">
        <v>0</v>
      </c>
      <c r="E264" s="187" t="str">
        <f t="shared" si="8"/>
        <v>9</v>
      </c>
      <c r="F264" s="188">
        <f t="shared" si="69"/>
        <v>45536</v>
      </c>
      <c r="G264" s="189" t="str">
        <f t="shared" si="70"/>
        <v>Sun</v>
      </c>
      <c r="H264" s="190" t="s">
        <v>58</v>
      </c>
      <c r="I264" s="200"/>
      <c r="J264" s="201">
        <v>0</v>
      </c>
      <c r="K264" s="202"/>
      <c r="L264" s="59">
        <f>IF(D264=0,0,$K$14)</f>
        <v>0</v>
      </c>
      <c r="M264" s="63">
        <f t="shared" si="65"/>
        <v>0</v>
      </c>
      <c r="N264" s="97" t="str">
        <f t="shared" si="11"/>
        <v>0%</v>
      </c>
      <c r="O264" s="194"/>
      <c r="P264" s="107">
        <f>IF(D264=0,0,$L$264)</f>
        <v>0</v>
      </c>
      <c r="Q264" s="59">
        <f>IF(D264=0,0,$J$264)</f>
        <v>0</v>
      </c>
      <c r="R264" s="63">
        <f t="shared" si="66"/>
        <v>0</v>
      </c>
      <c r="S264" s="97" t="str">
        <f t="shared" si="13"/>
        <v>0%</v>
      </c>
      <c r="T264" s="80"/>
      <c r="U264" s="59">
        <f>IF(D264=0,0,SUM($L$20:L264))</f>
        <v>0</v>
      </c>
      <c r="V264" s="59">
        <f>IF(D264=0,0,SUM($J$20:J264))</f>
        <v>0</v>
      </c>
      <c r="W264" s="63">
        <f t="shared" si="67"/>
        <v>0</v>
      </c>
      <c r="X264" s="97" t="str">
        <f t="shared" si="15"/>
        <v>0%</v>
      </c>
      <c r="Y264" s="145"/>
      <c r="Z264" s="196">
        <f t="shared" si="76"/>
        <v>45536</v>
      </c>
      <c r="AA264" s="197">
        <f t="shared" si="76"/>
        <v>45536</v>
      </c>
      <c r="AB264" s="1"/>
      <c r="AC264" s="1"/>
      <c r="AD264" s="1"/>
      <c r="AE264" s="1"/>
      <c r="AF264" s="145"/>
      <c r="AG264" s="198">
        <f t="shared" si="72"/>
        <v>161</v>
      </c>
      <c r="AH264" s="145"/>
      <c r="AI264" s="145"/>
      <c r="AJ264" s="145"/>
      <c r="AK264" s="145"/>
      <c r="AL264" s="145"/>
      <c r="AM264" s="145"/>
      <c r="AN264" s="145"/>
    </row>
    <row r="265" spans="1:40" ht="20">
      <c r="A265" s="145"/>
      <c r="B265" s="152"/>
      <c r="C265" s="50">
        <f t="shared" si="68"/>
        <v>246</v>
      </c>
      <c r="D265" s="51">
        <v>1</v>
      </c>
      <c r="E265" s="187" t="str">
        <f t="shared" si="8"/>
        <v>9</v>
      </c>
      <c r="F265" s="188">
        <f t="shared" si="69"/>
        <v>45537</v>
      </c>
      <c r="G265" s="189" t="str">
        <f t="shared" si="70"/>
        <v>Mon</v>
      </c>
      <c r="H265" s="190"/>
      <c r="I265" s="200"/>
      <c r="J265" s="201">
        <v>279660</v>
      </c>
      <c r="K265" s="202"/>
      <c r="L265" s="59">
        <f t="shared" ref="L265:L293" si="77">IF(D265=0,0,$K$14)</f>
        <v>234116.88564013838</v>
      </c>
      <c r="M265" s="60">
        <f t="shared" si="65"/>
        <v>45543.114359861618</v>
      </c>
      <c r="N265" s="61">
        <f t="shared" si="11"/>
        <v>1.194531523154917</v>
      </c>
      <c r="O265" s="194"/>
      <c r="P265" s="106">
        <f>IF(D265=0,0,SUM($L$264:L265))</f>
        <v>234116.88564013838</v>
      </c>
      <c r="Q265" s="59">
        <f>IF(D265=0,0,SUM($J$264:J265))</f>
        <v>279660</v>
      </c>
      <c r="R265" s="63">
        <f t="shared" si="66"/>
        <v>45543.114359861618</v>
      </c>
      <c r="S265" s="61">
        <f t="shared" si="13"/>
        <v>1.194531523154917</v>
      </c>
      <c r="T265" s="80"/>
      <c r="U265" s="59">
        <f>IF(D265=0,0,SUM($L$20:L265))</f>
        <v>44445242.447577775</v>
      </c>
      <c r="V265" s="59">
        <f>IF(D265=0,0,SUM($J$20:J265))</f>
        <v>46508276</v>
      </c>
      <c r="W265" s="63">
        <f t="shared" si="67"/>
        <v>2063033.5524222255</v>
      </c>
      <c r="X265" s="61">
        <f t="shared" si="15"/>
        <v>1.0464174215014246</v>
      </c>
      <c r="Y265" s="145"/>
      <c r="Z265" s="196">
        <f t="shared" si="76"/>
        <v>45537</v>
      </c>
      <c r="AA265" s="197">
        <f t="shared" si="76"/>
        <v>45537</v>
      </c>
      <c r="AB265" s="1"/>
      <c r="AC265" s="1"/>
      <c r="AD265" s="1"/>
      <c r="AE265" s="1"/>
      <c r="AF265" s="145"/>
      <c r="AG265" s="198">
        <f t="shared" si="72"/>
        <v>162</v>
      </c>
      <c r="AH265" s="145"/>
      <c r="AI265" s="145"/>
      <c r="AJ265" s="145"/>
      <c r="AK265" s="145"/>
      <c r="AL265" s="145"/>
      <c r="AM265" s="145"/>
      <c r="AN265" s="145"/>
    </row>
    <row r="266" spans="1:40" ht="20">
      <c r="A266" s="145"/>
      <c r="B266" s="152"/>
      <c r="C266" s="50">
        <f t="shared" si="68"/>
        <v>247</v>
      </c>
      <c r="D266" s="51">
        <v>1</v>
      </c>
      <c r="E266" s="187" t="str">
        <f t="shared" si="8"/>
        <v>9</v>
      </c>
      <c r="F266" s="188">
        <f t="shared" si="69"/>
        <v>45538</v>
      </c>
      <c r="G266" s="189" t="str">
        <f t="shared" si="70"/>
        <v>Tue</v>
      </c>
      <c r="H266" s="190"/>
      <c r="I266" s="200"/>
      <c r="J266" s="201">
        <v>286930</v>
      </c>
      <c r="K266" s="202"/>
      <c r="L266" s="59">
        <f t="shared" si="77"/>
        <v>234116.88564013838</v>
      </c>
      <c r="M266" s="60">
        <f t="shared" si="65"/>
        <v>52813.114359861618</v>
      </c>
      <c r="N266" s="61">
        <f t="shared" si="11"/>
        <v>1.225584387966961</v>
      </c>
      <c r="O266" s="194"/>
      <c r="P266" s="106">
        <f>IF(D266=0,0,SUM($L$264:L266))</f>
        <v>468233.77128027676</v>
      </c>
      <c r="Q266" s="59">
        <f>IF(D266=0,0,SUM($J$264:J266))</f>
        <v>566590</v>
      </c>
      <c r="R266" s="63">
        <f t="shared" si="66"/>
        <v>98356.228719723236</v>
      </c>
      <c r="S266" s="61">
        <f t="shared" si="13"/>
        <v>1.210057955560939</v>
      </c>
      <c r="T266" s="80"/>
      <c r="U266" s="59">
        <f>IF(D266=0,0,SUM($L$20:L266))</f>
        <v>44679359.333217911</v>
      </c>
      <c r="V266" s="59">
        <f>IF(D266=0,0,SUM($J$20:J266))</f>
        <v>46795206</v>
      </c>
      <c r="W266" s="63">
        <f t="shared" si="67"/>
        <v>2115846.6667820886</v>
      </c>
      <c r="X266" s="61">
        <f t="shared" si="15"/>
        <v>1.0473562445468867</v>
      </c>
      <c r="Y266" s="145"/>
      <c r="Z266" s="196">
        <f t="shared" si="76"/>
        <v>45538</v>
      </c>
      <c r="AA266" s="197">
        <f t="shared" si="76"/>
        <v>45538</v>
      </c>
      <c r="AB266" s="1"/>
      <c r="AC266" s="1"/>
      <c r="AD266" s="1"/>
      <c r="AE266" s="1"/>
      <c r="AF266" s="145"/>
      <c r="AG266" s="198">
        <f t="shared" si="72"/>
        <v>163</v>
      </c>
      <c r="AH266" s="145"/>
      <c r="AI266" s="145"/>
      <c r="AJ266" s="145"/>
      <c r="AK266" s="145"/>
      <c r="AL266" s="145"/>
      <c r="AM266" s="145"/>
      <c r="AN266" s="145"/>
    </row>
    <row r="267" spans="1:40" ht="20">
      <c r="A267" s="145"/>
      <c r="B267" s="152"/>
      <c r="C267" s="50">
        <f t="shared" si="68"/>
        <v>248</v>
      </c>
      <c r="D267" s="51">
        <v>1</v>
      </c>
      <c r="E267" s="187" t="str">
        <f t="shared" si="8"/>
        <v>9</v>
      </c>
      <c r="F267" s="188">
        <f t="shared" si="69"/>
        <v>45539</v>
      </c>
      <c r="G267" s="189" t="str">
        <f t="shared" si="70"/>
        <v>Wed</v>
      </c>
      <c r="H267" s="190"/>
      <c r="I267" s="200"/>
      <c r="J267" s="201">
        <v>158690</v>
      </c>
      <c r="K267" s="202"/>
      <c r="L267" s="59">
        <f t="shared" si="77"/>
        <v>234116.88564013838</v>
      </c>
      <c r="M267" s="60">
        <f t="shared" si="65"/>
        <v>-75426.885640138382</v>
      </c>
      <c r="N267" s="61">
        <f t="shared" si="11"/>
        <v>0.67782381252039536</v>
      </c>
      <c r="O267" s="194"/>
      <c r="P267" s="106">
        <f>IF(D267=0,0,SUM($L$264:L267))</f>
        <v>702350.65692041512</v>
      </c>
      <c r="Q267" s="59">
        <f>IF(D267=0,0,SUM($J$264:J267))</f>
        <v>725280</v>
      </c>
      <c r="R267" s="63">
        <f t="shared" si="66"/>
        <v>22929.343079584884</v>
      </c>
      <c r="S267" s="61">
        <f t="shared" si="13"/>
        <v>1.0326465745474245</v>
      </c>
      <c r="T267" s="80"/>
      <c r="U267" s="59">
        <f>IF(D267=0,0,SUM($L$20:L267))</f>
        <v>44913476.218858048</v>
      </c>
      <c r="V267" s="59">
        <f>IF(D267=0,0,SUM($J$20:J267))</f>
        <v>46953896</v>
      </c>
      <c r="W267" s="63">
        <f t="shared" si="67"/>
        <v>2040419.7811419517</v>
      </c>
      <c r="X267" s="61">
        <f t="shared" si="15"/>
        <v>1.0454300123909186</v>
      </c>
      <c r="Y267" s="145"/>
      <c r="Z267" s="196">
        <f t="shared" si="76"/>
        <v>45539</v>
      </c>
      <c r="AA267" s="197">
        <f t="shared" si="76"/>
        <v>45539</v>
      </c>
      <c r="AB267" s="1"/>
      <c r="AC267" s="1"/>
      <c r="AD267" s="1"/>
      <c r="AE267" s="1"/>
      <c r="AF267" s="145"/>
      <c r="AG267" s="198">
        <f t="shared" si="72"/>
        <v>164</v>
      </c>
      <c r="AH267" s="145"/>
      <c r="AI267" s="145"/>
      <c r="AJ267" s="145"/>
      <c r="AK267" s="145"/>
      <c r="AL267" s="145"/>
      <c r="AM267" s="145"/>
      <c r="AN267" s="145"/>
    </row>
    <row r="268" spans="1:40" ht="20">
      <c r="A268" s="145"/>
      <c r="B268" s="152"/>
      <c r="C268" s="50">
        <f t="shared" si="68"/>
        <v>249</v>
      </c>
      <c r="D268" s="51">
        <v>1</v>
      </c>
      <c r="E268" s="187" t="str">
        <f t="shared" si="8"/>
        <v>9</v>
      </c>
      <c r="F268" s="188">
        <f t="shared" si="69"/>
        <v>45540</v>
      </c>
      <c r="G268" s="189" t="str">
        <f t="shared" si="70"/>
        <v>Thu</v>
      </c>
      <c r="H268" s="190"/>
      <c r="I268" s="200"/>
      <c r="J268" s="201">
        <v>258350</v>
      </c>
      <c r="K268" s="202"/>
      <c r="L268" s="59">
        <f t="shared" si="77"/>
        <v>234116.88564013838</v>
      </c>
      <c r="M268" s="60">
        <f t="shared" si="65"/>
        <v>24233.114359861618</v>
      </c>
      <c r="N268" s="61">
        <f t="shared" si="11"/>
        <v>1.1035086140566144</v>
      </c>
      <c r="O268" s="194"/>
      <c r="P268" s="106">
        <f>IF(D268=0,0,SUM($L$264:L268))</f>
        <v>936467.54256055353</v>
      </c>
      <c r="Q268" s="59">
        <f>IF(D268=0,0,SUM($J$264:J268))</f>
        <v>983630</v>
      </c>
      <c r="R268" s="63">
        <f t="shared" si="66"/>
        <v>47162.457439446473</v>
      </c>
      <c r="S268" s="61">
        <f t="shared" si="13"/>
        <v>1.0503620844247219</v>
      </c>
      <c r="T268" s="80"/>
      <c r="U268" s="59">
        <f>IF(D268=0,0,SUM($L$20:L268))</f>
        <v>45147593.104498185</v>
      </c>
      <c r="V268" s="59">
        <f>IF(D268=0,0,SUM($J$20:J268))</f>
        <v>47212246</v>
      </c>
      <c r="W268" s="63">
        <f t="shared" si="67"/>
        <v>2064652.8955018148</v>
      </c>
      <c r="X268" s="61">
        <f t="shared" si="15"/>
        <v>1.0457311841790322</v>
      </c>
      <c r="Y268" s="145"/>
      <c r="Z268" s="196">
        <f t="shared" si="76"/>
        <v>45540</v>
      </c>
      <c r="AA268" s="197">
        <f t="shared" si="76"/>
        <v>45540</v>
      </c>
      <c r="AB268" s="1"/>
      <c r="AC268" s="1"/>
      <c r="AD268" s="1"/>
      <c r="AE268" s="1"/>
      <c r="AF268" s="145"/>
      <c r="AG268" s="198">
        <f t="shared" si="72"/>
        <v>165</v>
      </c>
      <c r="AH268" s="145"/>
      <c r="AI268" s="145"/>
      <c r="AJ268" s="145"/>
      <c r="AK268" s="145"/>
      <c r="AL268" s="145"/>
      <c r="AM268" s="145"/>
      <c r="AN268" s="145"/>
    </row>
    <row r="269" spans="1:40" ht="20">
      <c r="A269" s="145"/>
      <c r="B269" s="152"/>
      <c r="C269" s="50">
        <f t="shared" si="68"/>
        <v>250</v>
      </c>
      <c r="D269" s="51">
        <v>1</v>
      </c>
      <c r="E269" s="187" t="str">
        <f t="shared" si="8"/>
        <v>9</v>
      </c>
      <c r="F269" s="188">
        <f t="shared" si="69"/>
        <v>45541</v>
      </c>
      <c r="G269" s="189" t="str">
        <f t="shared" si="70"/>
        <v>Fri</v>
      </c>
      <c r="H269" s="190"/>
      <c r="I269" s="200"/>
      <c r="J269" s="201">
        <v>317100</v>
      </c>
      <c r="K269" s="202"/>
      <c r="L269" s="59">
        <f t="shared" si="77"/>
        <v>234116.88564013838</v>
      </c>
      <c r="M269" s="60">
        <f t="shared" si="65"/>
        <v>82983.114359861618</v>
      </c>
      <c r="N269" s="61">
        <f t="shared" si="11"/>
        <v>1.3544516412516061</v>
      </c>
      <c r="O269" s="194"/>
      <c r="P269" s="106">
        <f>IF(D269=0,0,SUM($L$264:L269))</f>
        <v>1170584.4282006919</v>
      </c>
      <c r="Q269" s="59">
        <f>IF(D269=0,0,SUM($J$264:J269))</f>
        <v>1300730</v>
      </c>
      <c r="R269" s="63">
        <f t="shared" si="66"/>
        <v>130145.57179930806</v>
      </c>
      <c r="S269" s="61">
        <f t="shared" si="13"/>
        <v>1.1111799957900987</v>
      </c>
      <c r="T269" s="80"/>
      <c r="U269" s="59">
        <f>IF(D269=0,0,SUM($L$20:L269))</f>
        <v>45381709.990138322</v>
      </c>
      <c r="V269" s="59">
        <f>IF(D269=0,0,SUM($J$20:J269))</f>
        <v>47529346</v>
      </c>
      <c r="W269" s="63">
        <f t="shared" si="67"/>
        <v>2147636.0098616779</v>
      </c>
      <c r="X269" s="61">
        <f t="shared" si="15"/>
        <v>1.0473238229746824</v>
      </c>
      <c r="Y269" s="145"/>
      <c r="Z269" s="196">
        <f t="shared" si="76"/>
        <v>45541</v>
      </c>
      <c r="AA269" s="197">
        <f t="shared" si="76"/>
        <v>45541</v>
      </c>
      <c r="AB269" s="1"/>
      <c r="AC269" s="1"/>
      <c r="AD269" s="1"/>
      <c r="AE269" s="1"/>
      <c r="AF269" s="145"/>
      <c r="AG269" s="198">
        <f t="shared" si="72"/>
        <v>166</v>
      </c>
      <c r="AH269" s="145"/>
      <c r="AI269" s="145"/>
      <c r="AJ269" s="145"/>
      <c r="AK269" s="145"/>
      <c r="AL269" s="145"/>
      <c r="AM269" s="145"/>
      <c r="AN269" s="145"/>
    </row>
    <row r="270" spans="1:40" ht="20">
      <c r="A270" s="145"/>
      <c r="B270" s="152"/>
      <c r="C270" s="50">
        <f t="shared" si="68"/>
        <v>251</v>
      </c>
      <c r="D270" s="51">
        <v>1</v>
      </c>
      <c r="E270" s="187" t="str">
        <f t="shared" si="8"/>
        <v>9</v>
      </c>
      <c r="F270" s="188">
        <f t="shared" si="69"/>
        <v>45542</v>
      </c>
      <c r="G270" s="189" t="str">
        <f t="shared" si="70"/>
        <v>Sat</v>
      </c>
      <c r="H270" s="190"/>
      <c r="I270" s="200"/>
      <c r="J270" s="201">
        <v>168990</v>
      </c>
      <c r="K270" s="202"/>
      <c r="L270" s="59">
        <f t="shared" si="77"/>
        <v>234116.88564013838</v>
      </c>
      <c r="M270" s="60">
        <f t="shared" si="65"/>
        <v>-65126.885640138382</v>
      </c>
      <c r="N270" s="61">
        <f t="shared" si="11"/>
        <v>0.72181893047968748</v>
      </c>
      <c r="O270" s="194"/>
      <c r="P270" s="106">
        <f>IF(D270=0,0,SUM($L$264:L270))</f>
        <v>1404701.3138408302</v>
      </c>
      <c r="Q270" s="59">
        <f>IF(D270=0,0,SUM($J$264:J270))</f>
        <v>1469720</v>
      </c>
      <c r="R270" s="63">
        <f t="shared" si="66"/>
        <v>65018.686159169767</v>
      </c>
      <c r="S270" s="61">
        <f t="shared" si="13"/>
        <v>1.0462864849050302</v>
      </c>
      <c r="T270" s="81"/>
      <c r="U270" s="59">
        <f>IF(D270=0,0,SUM($L$20:L270))</f>
        <v>45615826.875778459</v>
      </c>
      <c r="V270" s="59">
        <f>IF(D270=0,0,SUM($J$20:J270))</f>
        <v>47698336</v>
      </c>
      <c r="W270" s="63">
        <f t="shared" si="67"/>
        <v>2082509.124221541</v>
      </c>
      <c r="X270" s="61">
        <f t="shared" si="15"/>
        <v>1.0456532143962369</v>
      </c>
      <c r="Y270" s="145"/>
      <c r="Z270" s="196">
        <f t="shared" si="76"/>
        <v>45542</v>
      </c>
      <c r="AA270" s="197">
        <f t="shared" si="76"/>
        <v>45542</v>
      </c>
      <c r="AB270" s="1"/>
      <c r="AC270" s="1"/>
      <c r="AD270" s="1"/>
      <c r="AE270" s="1"/>
      <c r="AF270" s="145"/>
      <c r="AG270" s="198">
        <f t="shared" si="72"/>
        <v>167</v>
      </c>
      <c r="AH270" s="145"/>
      <c r="AI270" s="145"/>
      <c r="AJ270" s="145"/>
      <c r="AK270" s="145"/>
      <c r="AL270" s="145"/>
      <c r="AM270" s="145"/>
      <c r="AN270" s="145"/>
    </row>
    <row r="271" spans="1:40" ht="20">
      <c r="A271" s="145"/>
      <c r="B271" s="152"/>
      <c r="C271" s="50">
        <f t="shared" si="68"/>
        <v>252</v>
      </c>
      <c r="D271" s="51">
        <v>0</v>
      </c>
      <c r="E271" s="187" t="str">
        <f t="shared" si="8"/>
        <v>9</v>
      </c>
      <c r="F271" s="188">
        <f t="shared" si="69"/>
        <v>45543</v>
      </c>
      <c r="G271" s="189" t="str">
        <f t="shared" si="70"/>
        <v>Sun</v>
      </c>
      <c r="H271" s="190" t="s">
        <v>58</v>
      </c>
      <c r="I271" s="200"/>
      <c r="J271" s="201">
        <v>0</v>
      </c>
      <c r="K271" s="202"/>
      <c r="L271" s="59">
        <f t="shared" si="77"/>
        <v>0</v>
      </c>
      <c r="M271" s="60">
        <f t="shared" si="65"/>
        <v>0</v>
      </c>
      <c r="N271" s="61" t="str">
        <f t="shared" si="11"/>
        <v>0%</v>
      </c>
      <c r="O271" s="194"/>
      <c r="P271" s="106">
        <f>IF(D271=0,0,SUM($L$264:L271))</f>
        <v>0</v>
      </c>
      <c r="Q271" s="59">
        <f>IF(D271=0,0,SUM($J$264:J271))</f>
        <v>0</v>
      </c>
      <c r="R271" s="63">
        <f t="shared" si="66"/>
        <v>0</v>
      </c>
      <c r="S271" s="61" t="str">
        <f t="shared" si="13"/>
        <v>0%</v>
      </c>
      <c r="T271" s="80"/>
      <c r="U271" s="59">
        <f>IF(D271=0,0,SUM($L$20:L271))</f>
        <v>0</v>
      </c>
      <c r="V271" s="59">
        <f>IF(D271=0,0,SUM($J$20:J271))</f>
        <v>0</v>
      </c>
      <c r="W271" s="63">
        <f t="shared" si="67"/>
        <v>0</v>
      </c>
      <c r="X271" s="61" t="str">
        <f t="shared" si="15"/>
        <v>0%</v>
      </c>
      <c r="Y271" s="145"/>
      <c r="Z271" s="196">
        <f t="shared" si="76"/>
        <v>45543</v>
      </c>
      <c r="AA271" s="197">
        <f t="shared" si="76"/>
        <v>45543</v>
      </c>
      <c r="AB271" s="1"/>
      <c r="AC271" s="1"/>
      <c r="AD271" s="1"/>
      <c r="AE271" s="1"/>
      <c r="AF271" s="145"/>
      <c r="AG271" s="198">
        <f t="shared" si="72"/>
        <v>168</v>
      </c>
      <c r="AH271" s="145"/>
      <c r="AI271" s="145"/>
      <c r="AJ271" s="145"/>
      <c r="AK271" s="145"/>
      <c r="AL271" s="145"/>
      <c r="AM271" s="145"/>
      <c r="AN271" s="145"/>
    </row>
    <row r="272" spans="1:40" ht="20">
      <c r="A272" s="145"/>
      <c r="B272" s="152"/>
      <c r="C272" s="50">
        <f t="shared" si="68"/>
        <v>253</v>
      </c>
      <c r="D272" s="51">
        <v>1</v>
      </c>
      <c r="E272" s="187" t="str">
        <f t="shared" si="8"/>
        <v>9</v>
      </c>
      <c r="F272" s="188">
        <f t="shared" si="69"/>
        <v>45544</v>
      </c>
      <c r="G272" s="189" t="str">
        <f t="shared" si="70"/>
        <v>Mon</v>
      </c>
      <c r="H272" s="190"/>
      <c r="I272" s="200"/>
      <c r="J272" s="201">
        <v>232040</v>
      </c>
      <c r="K272" s="202"/>
      <c r="L272" s="59">
        <f t="shared" si="77"/>
        <v>234116.88564013838</v>
      </c>
      <c r="M272" s="60">
        <f t="shared" si="65"/>
        <v>-2076.8856401383819</v>
      </c>
      <c r="N272" s="61">
        <f t="shared" si="11"/>
        <v>0.99112885158001474</v>
      </c>
      <c r="O272" s="194"/>
      <c r="P272" s="106">
        <f>IF(D272=0,0,SUM($L$264:L272))</f>
        <v>1638818.1994809685</v>
      </c>
      <c r="Q272" s="59">
        <f>IF(D272=0,0,SUM($J$264:J272))</f>
        <v>1701760</v>
      </c>
      <c r="R272" s="63">
        <f t="shared" si="66"/>
        <v>62941.800519031473</v>
      </c>
      <c r="S272" s="61">
        <f t="shared" si="13"/>
        <v>1.0384068230014567</v>
      </c>
      <c r="T272" s="80"/>
      <c r="U272" s="59">
        <f>IF(D272=0,0,SUM($L$20:L272))</f>
        <v>45849943.761418596</v>
      </c>
      <c r="V272" s="59">
        <f>IF(D272=0,0,SUM($J$20:J272))</f>
        <v>47930376</v>
      </c>
      <c r="W272" s="63">
        <f t="shared" si="67"/>
        <v>2080432.2385814041</v>
      </c>
      <c r="X272" s="61">
        <f t="shared" si="15"/>
        <v>1.0453748045887905</v>
      </c>
      <c r="Y272" s="145"/>
      <c r="Z272" s="196">
        <f t="shared" si="76"/>
        <v>45544</v>
      </c>
      <c r="AA272" s="197">
        <f t="shared" si="76"/>
        <v>45544</v>
      </c>
      <c r="AB272" s="1"/>
      <c r="AC272" s="1"/>
      <c r="AD272" s="1"/>
      <c r="AE272" s="1"/>
      <c r="AF272" s="145"/>
      <c r="AG272" s="198">
        <f t="shared" si="72"/>
        <v>169</v>
      </c>
      <c r="AH272" s="145"/>
      <c r="AI272" s="145"/>
      <c r="AJ272" s="145"/>
      <c r="AK272" s="145"/>
      <c r="AL272" s="145"/>
      <c r="AM272" s="145"/>
      <c r="AN272" s="145"/>
    </row>
    <row r="273" spans="1:40" ht="20">
      <c r="A273" s="145"/>
      <c r="B273" s="152"/>
      <c r="C273" s="50">
        <f t="shared" si="68"/>
        <v>254</v>
      </c>
      <c r="D273" s="51">
        <v>1</v>
      </c>
      <c r="E273" s="187" t="str">
        <f t="shared" si="8"/>
        <v>9</v>
      </c>
      <c r="F273" s="188">
        <f t="shared" si="69"/>
        <v>45545</v>
      </c>
      <c r="G273" s="189" t="str">
        <f t="shared" si="70"/>
        <v>Tue</v>
      </c>
      <c r="H273" s="190"/>
      <c r="I273" s="200"/>
      <c r="J273" s="201">
        <v>326150</v>
      </c>
      <c r="K273" s="202"/>
      <c r="L273" s="59">
        <f t="shared" si="77"/>
        <v>234116.88564013838</v>
      </c>
      <c r="M273" s="60">
        <f t="shared" si="65"/>
        <v>92033.114359861618</v>
      </c>
      <c r="N273" s="61">
        <f t="shared" si="11"/>
        <v>1.393107545866324</v>
      </c>
      <c r="O273" s="194"/>
      <c r="P273" s="106">
        <f>IF(D273=0,0,SUM($L$264:L273))</f>
        <v>1872935.0851211068</v>
      </c>
      <c r="Q273" s="59">
        <f>IF(D273=0,0,SUM($J$264:J273))</f>
        <v>2027910</v>
      </c>
      <c r="R273" s="63">
        <f t="shared" si="66"/>
        <v>154974.91487889318</v>
      </c>
      <c r="S273" s="61">
        <f t="shared" si="13"/>
        <v>1.0827444133595652</v>
      </c>
      <c r="T273" s="80"/>
      <c r="U273" s="59">
        <f>IF(D273=0,0,SUM($L$20:L273))</f>
        <v>46084060.647058733</v>
      </c>
      <c r="V273" s="59">
        <f>IF(D273=0,0,SUM($J$20:J273))</f>
        <v>48256526</v>
      </c>
      <c r="W273" s="63">
        <f t="shared" si="67"/>
        <v>2172465.3529412672</v>
      </c>
      <c r="X273" s="61">
        <f t="shared" si="15"/>
        <v>1.0471413612958154</v>
      </c>
      <c r="Y273" s="145"/>
      <c r="Z273" s="196">
        <f t="shared" si="76"/>
        <v>45545</v>
      </c>
      <c r="AA273" s="197">
        <f t="shared" si="76"/>
        <v>45545</v>
      </c>
      <c r="AB273" s="1"/>
      <c r="AC273" s="1"/>
      <c r="AD273" s="1"/>
      <c r="AE273" s="1"/>
      <c r="AF273" s="145"/>
      <c r="AG273" s="198">
        <f t="shared" si="72"/>
        <v>170</v>
      </c>
      <c r="AH273" s="145"/>
      <c r="AI273" s="145"/>
      <c r="AJ273" s="145"/>
      <c r="AK273" s="145"/>
      <c r="AL273" s="145"/>
      <c r="AM273" s="145"/>
      <c r="AN273" s="145"/>
    </row>
    <row r="274" spans="1:40" ht="20">
      <c r="A274" s="145"/>
      <c r="B274" s="152"/>
      <c r="C274" s="50">
        <f t="shared" si="68"/>
        <v>255</v>
      </c>
      <c r="D274" s="51">
        <v>1</v>
      </c>
      <c r="E274" s="187" t="str">
        <f t="shared" si="8"/>
        <v>9</v>
      </c>
      <c r="F274" s="188">
        <f t="shared" si="69"/>
        <v>45546</v>
      </c>
      <c r="G274" s="189" t="str">
        <f t="shared" si="70"/>
        <v>Wed</v>
      </c>
      <c r="H274" s="190"/>
      <c r="I274" s="200"/>
      <c r="J274" s="201">
        <v>155250</v>
      </c>
      <c r="K274" s="202"/>
      <c r="L274" s="59">
        <f t="shared" si="77"/>
        <v>234116.88564013838</v>
      </c>
      <c r="M274" s="60">
        <f t="shared" si="65"/>
        <v>-78866.885640138382</v>
      </c>
      <c r="N274" s="61">
        <f t="shared" si="11"/>
        <v>0.66313029739612694</v>
      </c>
      <c r="O274" s="194"/>
      <c r="P274" s="106">
        <f>IF(D274=0,0,SUM($L$264:L274))</f>
        <v>2107051.9707612451</v>
      </c>
      <c r="Q274" s="59">
        <f>IF(D274=0,0,SUM($J$264:J274))</f>
        <v>2183160</v>
      </c>
      <c r="R274" s="63">
        <f t="shared" si="66"/>
        <v>76108.029238754883</v>
      </c>
      <c r="S274" s="61">
        <f t="shared" si="13"/>
        <v>1.036120622696961</v>
      </c>
      <c r="T274" s="80"/>
      <c r="U274" s="59">
        <f>IF(D274=0,0,SUM($L$20:L274))</f>
        <v>46318177.53269887</v>
      </c>
      <c r="V274" s="59">
        <f>IF(D274=0,0,SUM($J$20:J274))</f>
        <v>48411776</v>
      </c>
      <c r="W274" s="63">
        <f t="shared" si="67"/>
        <v>2093598.4673011303</v>
      </c>
      <c r="X274" s="61">
        <f t="shared" si="15"/>
        <v>1.0452003636331142</v>
      </c>
      <c r="Y274" s="145"/>
      <c r="Z274" s="196">
        <f t="shared" si="76"/>
        <v>45546</v>
      </c>
      <c r="AA274" s="197">
        <f t="shared" si="76"/>
        <v>45546</v>
      </c>
      <c r="AB274" s="1"/>
      <c r="AC274" s="1"/>
      <c r="AD274" s="1"/>
      <c r="AE274" s="1"/>
      <c r="AF274" s="145"/>
      <c r="AG274" s="198">
        <f t="shared" si="72"/>
        <v>171</v>
      </c>
      <c r="AH274" s="145"/>
      <c r="AI274" s="145"/>
      <c r="AJ274" s="145"/>
      <c r="AK274" s="145"/>
      <c r="AL274" s="145"/>
      <c r="AM274" s="145"/>
      <c r="AN274" s="145"/>
    </row>
    <row r="275" spans="1:40" ht="20">
      <c r="A275" s="145"/>
      <c r="B275" s="152"/>
      <c r="C275" s="50">
        <f t="shared" si="68"/>
        <v>256</v>
      </c>
      <c r="D275" s="51">
        <v>1</v>
      </c>
      <c r="E275" s="187" t="str">
        <f t="shared" ref="E275:E385" si="78">TEXT(AA275,"m")</f>
        <v>9</v>
      </c>
      <c r="F275" s="188">
        <f t="shared" si="69"/>
        <v>45547</v>
      </c>
      <c r="G275" s="189" t="str">
        <f t="shared" si="70"/>
        <v>Thu</v>
      </c>
      <c r="H275" s="190"/>
      <c r="I275" s="200"/>
      <c r="J275" s="201">
        <v>242920</v>
      </c>
      <c r="K275" s="202"/>
      <c r="L275" s="59">
        <f t="shared" si="77"/>
        <v>234116.88564013838</v>
      </c>
      <c r="M275" s="60">
        <f t="shared" si="65"/>
        <v>8803.1143598616181</v>
      </c>
      <c r="N275" s="61">
        <f t="shared" ref="N275:N385" si="79">IFERROR(J275/L275,"0%")</f>
        <v>1.0376013645311895</v>
      </c>
      <c r="O275" s="194"/>
      <c r="P275" s="106">
        <f>IF(D275=0,0,SUM($L$264:L275))</f>
        <v>2341168.8564013834</v>
      </c>
      <c r="Q275" s="59">
        <f>IF(D275=0,0,SUM($J$264:J275))</f>
        <v>2426080</v>
      </c>
      <c r="R275" s="63">
        <f t="shared" si="66"/>
        <v>84911.143598616589</v>
      </c>
      <c r="S275" s="61">
        <f t="shared" ref="S275:S385" si="80">IFERROR(Q275/P275,"0%")</f>
        <v>1.0362686968803838</v>
      </c>
      <c r="T275" s="80"/>
      <c r="U275" s="59">
        <f>IF(D275=0,0,SUM($L$20:L275))</f>
        <v>46552294.418339007</v>
      </c>
      <c r="V275" s="59">
        <f>IF(D275=0,0,SUM($J$20:J275))</f>
        <v>48654696</v>
      </c>
      <c r="W275" s="63">
        <f t="shared" si="67"/>
        <v>2102401.5816609934</v>
      </c>
      <c r="X275" s="61">
        <f t="shared" ref="X275:X385" si="81">IFERROR(V275/U275,"0%")</f>
        <v>1.0451621473856456</v>
      </c>
      <c r="Y275" s="145"/>
      <c r="Z275" s="196">
        <f t="shared" si="76"/>
        <v>45547</v>
      </c>
      <c r="AA275" s="197">
        <f t="shared" si="76"/>
        <v>45547</v>
      </c>
      <c r="AB275" s="1"/>
      <c r="AC275" s="1"/>
      <c r="AD275" s="1"/>
      <c r="AE275" s="1"/>
      <c r="AF275" s="145"/>
      <c r="AG275" s="198">
        <f t="shared" si="72"/>
        <v>172</v>
      </c>
      <c r="AH275" s="145"/>
      <c r="AI275" s="145"/>
      <c r="AJ275" s="145"/>
      <c r="AK275" s="145"/>
      <c r="AL275" s="145"/>
      <c r="AM275" s="145"/>
      <c r="AN275" s="145"/>
    </row>
    <row r="276" spans="1:40" ht="20">
      <c r="A276" s="145"/>
      <c r="B276" s="152"/>
      <c r="C276" s="50">
        <f t="shared" si="68"/>
        <v>257</v>
      </c>
      <c r="D276" s="51">
        <v>1</v>
      </c>
      <c r="E276" s="187" t="str">
        <f t="shared" si="78"/>
        <v>9</v>
      </c>
      <c r="F276" s="188">
        <f t="shared" si="69"/>
        <v>45548</v>
      </c>
      <c r="G276" s="189" t="str">
        <f t="shared" si="70"/>
        <v>Fri</v>
      </c>
      <c r="H276" s="190"/>
      <c r="I276" s="200"/>
      <c r="J276" s="201">
        <v>303730</v>
      </c>
      <c r="K276" s="202"/>
      <c r="L276" s="59">
        <f t="shared" si="77"/>
        <v>234116.88564013838</v>
      </c>
      <c r="M276" s="60">
        <f t="shared" ref="M276:M339" si="82">IF(D276=0,0,J276-L276)</f>
        <v>69613.114359861618</v>
      </c>
      <c r="N276" s="61">
        <f t="shared" si="79"/>
        <v>1.2973434153180394</v>
      </c>
      <c r="O276" s="194"/>
      <c r="P276" s="106">
        <f>IF(D276=0,0,SUM($L$264:L276))</f>
        <v>2575285.7420415217</v>
      </c>
      <c r="Q276" s="59">
        <f>IF(D276=0,0,SUM($J$264:J276))</f>
        <v>2729810</v>
      </c>
      <c r="R276" s="63">
        <f t="shared" ref="R276:R339" si="83">IF(D276=0,0,Q276-P276)</f>
        <v>154524.25795847829</v>
      </c>
      <c r="S276" s="61">
        <f t="shared" si="80"/>
        <v>1.060002762192898</v>
      </c>
      <c r="T276" s="80"/>
      <c r="U276" s="59">
        <f>IF(D276=0,0,SUM($L$20:L276))</f>
        <v>46786411.303979144</v>
      </c>
      <c r="V276" s="59">
        <f>IF(D276=0,0,SUM($J$20:J276))</f>
        <v>48958426</v>
      </c>
      <c r="W276" s="63">
        <f t="shared" ref="W276:W339" si="84">IF(D276=0,0,V276-U276)</f>
        <v>2172014.6960208565</v>
      </c>
      <c r="X276" s="61">
        <f t="shared" si="81"/>
        <v>1.0464240499641855</v>
      </c>
      <c r="Y276" s="145"/>
      <c r="Z276" s="196">
        <f t="shared" si="76"/>
        <v>45548</v>
      </c>
      <c r="AA276" s="197">
        <f t="shared" si="76"/>
        <v>45548</v>
      </c>
      <c r="AB276" s="1"/>
      <c r="AC276" s="1"/>
      <c r="AD276" s="1"/>
      <c r="AE276" s="1"/>
      <c r="AF276" s="145"/>
      <c r="AG276" s="198">
        <f t="shared" si="72"/>
        <v>173</v>
      </c>
      <c r="AH276" s="145"/>
      <c r="AI276" s="145"/>
      <c r="AJ276" s="145"/>
      <c r="AK276" s="145"/>
      <c r="AL276" s="145"/>
      <c r="AM276" s="145"/>
      <c r="AN276" s="145"/>
    </row>
    <row r="277" spans="1:40" ht="20">
      <c r="A277" s="145"/>
      <c r="B277" s="152"/>
      <c r="C277" s="50">
        <f t="shared" ref="C277:C340" si="85">C276+1</f>
        <v>258</v>
      </c>
      <c r="D277" s="51">
        <v>1</v>
      </c>
      <c r="E277" s="187" t="str">
        <f t="shared" si="78"/>
        <v>9</v>
      </c>
      <c r="F277" s="188">
        <f t="shared" ref="F277:F340" si="86">F276+1</f>
        <v>45549</v>
      </c>
      <c r="G277" s="189" t="str">
        <f t="shared" ref="G277:G340" si="87">TEXT(Z277,"ddd")</f>
        <v>Sat</v>
      </c>
      <c r="H277" s="190"/>
      <c r="I277" s="200"/>
      <c r="J277" s="201">
        <v>113250</v>
      </c>
      <c r="K277" s="202"/>
      <c r="L277" s="59">
        <f t="shared" si="77"/>
        <v>234116.88564013838</v>
      </c>
      <c r="M277" s="60">
        <f t="shared" si="82"/>
        <v>-120866.88564013838</v>
      </c>
      <c r="N277" s="61">
        <f t="shared" si="79"/>
        <v>0.48373272901843073</v>
      </c>
      <c r="O277" s="194"/>
      <c r="P277" s="106">
        <f>IF(D277=0,0,SUM($L$264:L277))</f>
        <v>2809402.62768166</v>
      </c>
      <c r="Q277" s="59">
        <f>IF(D277=0,0,SUM($J$264:J277))</f>
        <v>2843060</v>
      </c>
      <c r="R277" s="63">
        <f t="shared" si="83"/>
        <v>33657.37231834</v>
      </c>
      <c r="S277" s="61">
        <f t="shared" si="80"/>
        <v>1.0119802594283591</v>
      </c>
      <c r="T277" s="81"/>
      <c r="U277" s="59">
        <f>IF(D277=0,0,SUM($L$20:L277))</f>
        <v>47020528.18961928</v>
      </c>
      <c r="V277" s="59">
        <f>IF(D277=0,0,SUM($J$20:J277))</f>
        <v>49071676</v>
      </c>
      <c r="W277" s="63">
        <f t="shared" si="84"/>
        <v>2051147.8103807196</v>
      </c>
      <c r="X277" s="61">
        <f t="shared" si="81"/>
        <v>1.0436223898232082</v>
      </c>
      <c r="Y277" s="145"/>
      <c r="Z277" s="196">
        <f t="shared" ref="Z277:AA292" si="88">Z276+1</f>
        <v>45549</v>
      </c>
      <c r="AA277" s="197">
        <f t="shared" si="88"/>
        <v>45549</v>
      </c>
      <c r="AB277" s="1"/>
      <c r="AC277" s="1"/>
      <c r="AD277" s="1"/>
      <c r="AE277" s="1"/>
      <c r="AF277" s="145"/>
      <c r="AG277" s="198">
        <f t="shared" si="72"/>
        <v>174</v>
      </c>
      <c r="AH277" s="145"/>
      <c r="AI277" s="145"/>
      <c r="AJ277" s="145"/>
      <c r="AK277" s="145"/>
      <c r="AL277" s="145"/>
      <c r="AM277" s="145"/>
      <c r="AN277" s="145"/>
    </row>
    <row r="278" spans="1:40" ht="20">
      <c r="A278" s="145"/>
      <c r="B278" s="152"/>
      <c r="C278" s="50">
        <f t="shared" si="85"/>
        <v>259</v>
      </c>
      <c r="D278" s="51">
        <v>0</v>
      </c>
      <c r="E278" s="187" t="str">
        <f t="shared" si="78"/>
        <v>9</v>
      </c>
      <c r="F278" s="188">
        <f t="shared" si="86"/>
        <v>45550</v>
      </c>
      <c r="G278" s="189" t="str">
        <f t="shared" si="87"/>
        <v>Sun</v>
      </c>
      <c r="H278" s="190" t="s">
        <v>58</v>
      </c>
      <c r="I278" s="200"/>
      <c r="J278" s="201">
        <v>0</v>
      </c>
      <c r="K278" s="202"/>
      <c r="L278" s="59">
        <f t="shared" si="77"/>
        <v>0</v>
      </c>
      <c r="M278" s="60">
        <f t="shared" si="82"/>
        <v>0</v>
      </c>
      <c r="N278" s="61" t="str">
        <f t="shared" si="79"/>
        <v>0%</v>
      </c>
      <c r="O278" s="194"/>
      <c r="P278" s="106">
        <f>IF(D278=0,0,SUM($L$264:L278))</f>
        <v>0</v>
      </c>
      <c r="Q278" s="59">
        <f>IF(D278=0,0,SUM($J$264:J278))</f>
        <v>0</v>
      </c>
      <c r="R278" s="63">
        <f t="shared" si="83"/>
        <v>0</v>
      </c>
      <c r="S278" s="61" t="str">
        <f t="shared" si="80"/>
        <v>0%</v>
      </c>
      <c r="T278" s="81"/>
      <c r="U278" s="59">
        <f>IF(D278=0,0,SUM($L$20:L278))</f>
        <v>0</v>
      </c>
      <c r="V278" s="59">
        <f>IF(D278=0,0,SUM($J$20:J278))</f>
        <v>0</v>
      </c>
      <c r="W278" s="63">
        <f t="shared" si="84"/>
        <v>0</v>
      </c>
      <c r="X278" s="61" t="str">
        <f t="shared" si="81"/>
        <v>0%</v>
      </c>
      <c r="Y278" s="145"/>
      <c r="Z278" s="196">
        <f t="shared" si="88"/>
        <v>45550</v>
      </c>
      <c r="AA278" s="197">
        <f t="shared" si="88"/>
        <v>45550</v>
      </c>
      <c r="AB278" s="1"/>
      <c r="AC278" s="1"/>
      <c r="AD278" s="1"/>
      <c r="AE278" s="1"/>
      <c r="AF278" s="145"/>
      <c r="AG278" s="198">
        <f t="shared" ref="AG278:AG341" si="89">AG277+1</f>
        <v>175</v>
      </c>
      <c r="AH278" s="145"/>
      <c r="AI278" s="145"/>
      <c r="AJ278" s="145"/>
      <c r="AK278" s="145"/>
      <c r="AL278" s="145"/>
      <c r="AM278" s="145"/>
      <c r="AN278" s="145"/>
    </row>
    <row r="279" spans="1:40" ht="20">
      <c r="A279" s="145"/>
      <c r="B279" s="152"/>
      <c r="C279" s="50">
        <f t="shared" si="85"/>
        <v>260</v>
      </c>
      <c r="D279" s="51">
        <v>0</v>
      </c>
      <c r="E279" s="187" t="str">
        <f t="shared" si="78"/>
        <v>9</v>
      </c>
      <c r="F279" s="188">
        <f t="shared" si="86"/>
        <v>45551</v>
      </c>
      <c r="G279" s="189" t="str">
        <f t="shared" si="87"/>
        <v>Mon</v>
      </c>
      <c r="H279" s="190" t="s">
        <v>115</v>
      </c>
      <c r="I279" s="200"/>
      <c r="J279" s="201">
        <v>0</v>
      </c>
      <c r="K279" s="202"/>
      <c r="L279" s="59">
        <f t="shared" si="77"/>
        <v>0</v>
      </c>
      <c r="M279" s="60">
        <f t="shared" si="82"/>
        <v>0</v>
      </c>
      <c r="N279" s="61" t="str">
        <f t="shared" si="79"/>
        <v>0%</v>
      </c>
      <c r="O279" s="194"/>
      <c r="P279" s="106">
        <f>IF(D279=0,0,SUM($L$264:L279))</f>
        <v>0</v>
      </c>
      <c r="Q279" s="59">
        <f>IF(D279=0,0,SUM($J$264:J279))</f>
        <v>0</v>
      </c>
      <c r="R279" s="63">
        <f t="shared" si="83"/>
        <v>0</v>
      </c>
      <c r="S279" s="61" t="str">
        <f t="shared" si="80"/>
        <v>0%</v>
      </c>
      <c r="T279" s="80"/>
      <c r="U279" s="59">
        <f>IF(D279=0,0,SUM($L$20:L279))</f>
        <v>0</v>
      </c>
      <c r="V279" s="59">
        <f>IF(D279=0,0,SUM($J$20:J279))</f>
        <v>0</v>
      </c>
      <c r="W279" s="63">
        <f t="shared" si="84"/>
        <v>0</v>
      </c>
      <c r="X279" s="61" t="str">
        <f t="shared" si="81"/>
        <v>0%</v>
      </c>
      <c r="Y279" s="145"/>
      <c r="Z279" s="196">
        <f t="shared" si="88"/>
        <v>45551</v>
      </c>
      <c r="AA279" s="197">
        <f t="shared" si="88"/>
        <v>45551</v>
      </c>
      <c r="AB279" s="1"/>
      <c r="AC279" s="1"/>
      <c r="AD279" s="1"/>
      <c r="AE279" s="1"/>
      <c r="AF279" s="145"/>
      <c r="AG279" s="198">
        <f t="shared" si="89"/>
        <v>176</v>
      </c>
      <c r="AH279" s="145"/>
      <c r="AI279" s="145"/>
      <c r="AJ279" s="145"/>
      <c r="AK279" s="145"/>
      <c r="AL279" s="145"/>
      <c r="AM279" s="145"/>
      <c r="AN279" s="145"/>
    </row>
    <row r="280" spans="1:40" ht="20">
      <c r="A280" s="145"/>
      <c r="B280" s="152"/>
      <c r="C280" s="50">
        <f t="shared" si="85"/>
        <v>261</v>
      </c>
      <c r="D280" s="51">
        <v>1</v>
      </c>
      <c r="E280" s="187" t="str">
        <f t="shared" si="78"/>
        <v>9</v>
      </c>
      <c r="F280" s="188">
        <f t="shared" si="86"/>
        <v>45552</v>
      </c>
      <c r="G280" s="189" t="str">
        <f t="shared" si="87"/>
        <v>Tue</v>
      </c>
      <c r="H280" s="190"/>
      <c r="I280" s="200"/>
      <c r="J280" s="201">
        <v>156480</v>
      </c>
      <c r="K280" s="202"/>
      <c r="L280" s="59">
        <f t="shared" si="77"/>
        <v>234116.88564013838</v>
      </c>
      <c r="M280" s="60">
        <f t="shared" si="82"/>
        <v>-77636.885640138382</v>
      </c>
      <c r="N280" s="61">
        <f t="shared" si="79"/>
        <v>0.66838408332718802</v>
      </c>
      <c r="O280" s="194"/>
      <c r="P280" s="106">
        <f>IF(D280=0,0,SUM($L$264:L280))</f>
        <v>3043519.5133217983</v>
      </c>
      <c r="Q280" s="59">
        <f>IF(D280=0,0,SUM($J$264:J280))</f>
        <v>2999540</v>
      </c>
      <c r="R280" s="63">
        <f t="shared" si="83"/>
        <v>-43979.513321798295</v>
      </c>
      <c r="S280" s="61">
        <f t="shared" si="80"/>
        <v>0.98554978434365359</v>
      </c>
      <c r="T280" s="80"/>
      <c r="U280" s="59">
        <f>IF(D280=0,0,SUM($L$20:L280))</f>
        <v>47254645.075259417</v>
      </c>
      <c r="V280" s="59">
        <f>IF(D280=0,0,SUM($J$20:J280))</f>
        <v>49228156</v>
      </c>
      <c r="W280" s="63">
        <f t="shared" si="84"/>
        <v>1973510.9247405827</v>
      </c>
      <c r="X280" s="61">
        <f t="shared" si="81"/>
        <v>1.0417633212903725</v>
      </c>
      <c r="Y280" s="145"/>
      <c r="Z280" s="196">
        <f t="shared" si="88"/>
        <v>45552</v>
      </c>
      <c r="AA280" s="197">
        <f t="shared" si="88"/>
        <v>45552</v>
      </c>
      <c r="AB280" s="1"/>
      <c r="AC280" s="1"/>
      <c r="AD280" s="1"/>
      <c r="AE280" s="1"/>
      <c r="AF280" s="145"/>
      <c r="AG280" s="198">
        <f t="shared" si="89"/>
        <v>177</v>
      </c>
      <c r="AH280" s="145"/>
      <c r="AI280" s="145"/>
      <c r="AJ280" s="145"/>
      <c r="AK280" s="145"/>
      <c r="AL280" s="145"/>
      <c r="AM280" s="145"/>
      <c r="AN280" s="145"/>
    </row>
    <row r="281" spans="1:40" ht="20">
      <c r="A281" s="145"/>
      <c r="B281" s="152"/>
      <c r="C281" s="50">
        <f t="shared" si="85"/>
        <v>262</v>
      </c>
      <c r="D281" s="51">
        <v>1</v>
      </c>
      <c r="E281" s="187" t="str">
        <f t="shared" si="78"/>
        <v>9</v>
      </c>
      <c r="F281" s="188">
        <f t="shared" si="86"/>
        <v>45553</v>
      </c>
      <c r="G281" s="189" t="str">
        <f t="shared" si="87"/>
        <v>Wed</v>
      </c>
      <c r="H281" s="190"/>
      <c r="I281" s="200"/>
      <c r="J281" s="201">
        <v>167950</v>
      </c>
      <c r="K281" s="202"/>
      <c r="L281" s="59">
        <f t="shared" si="77"/>
        <v>234116.88564013838</v>
      </c>
      <c r="M281" s="60">
        <f t="shared" si="82"/>
        <v>-66166.885640138382</v>
      </c>
      <c r="N281" s="61">
        <f t="shared" si="79"/>
        <v>0.71737670497700168</v>
      </c>
      <c r="O281" s="194"/>
      <c r="P281" s="106">
        <f>IF(D281=0,0,SUM($L$264:L281))</f>
        <v>3277636.3989619366</v>
      </c>
      <c r="Q281" s="59">
        <f>IF(D281=0,0,SUM($J$264:J281))</f>
        <v>3167490</v>
      </c>
      <c r="R281" s="63">
        <f t="shared" si="83"/>
        <v>-110146.39896193659</v>
      </c>
      <c r="S281" s="61">
        <f t="shared" si="80"/>
        <v>0.96639456438889282</v>
      </c>
      <c r="T281" s="80"/>
      <c r="U281" s="59">
        <f>IF(D281=0,0,SUM($L$20:L281))</f>
        <v>47488761.960899554</v>
      </c>
      <c r="V281" s="59">
        <f>IF(D281=0,0,SUM($J$20:J281))</f>
        <v>49396106</v>
      </c>
      <c r="W281" s="63">
        <f t="shared" si="84"/>
        <v>1907344.0391004458</v>
      </c>
      <c r="X281" s="61">
        <f t="shared" si="81"/>
        <v>1.0401641137890871</v>
      </c>
      <c r="Y281" s="145"/>
      <c r="Z281" s="196">
        <f t="shared" si="88"/>
        <v>45553</v>
      </c>
      <c r="AA281" s="197">
        <f t="shared" si="88"/>
        <v>45553</v>
      </c>
      <c r="AB281" s="1"/>
      <c r="AC281" s="1"/>
      <c r="AD281" s="1"/>
      <c r="AE281" s="1"/>
      <c r="AF281" s="145"/>
      <c r="AG281" s="198">
        <f t="shared" si="89"/>
        <v>178</v>
      </c>
      <c r="AH281" s="145"/>
      <c r="AI281" s="145"/>
      <c r="AJ281" s="145"/>
      <c r="AK281" s="145"/>
      <c r="AL281" s="145"/>
      <c r="AM281" s="145"/>
      <c r="AN281" s="145"/>
    </row>
    <row r="282" spans="1:40" ht="20">
      <c r="A282" s="145"/>
      <c r="B282" s="152"/>
      <c r="C282" s="50">
        <f t="shared" si="85"/>
        <v>263</v>
      </c>
      <c r="D282" s="51">
        <v>1</v>
      </c>
      <c r="E282" s="187" t="str">
        <f t="shared" si="78"/>
        <v>9</v>
      </c>
      <c r="F282" s="188">
        <f t="shared" si="86"/>
        <v>45554</v>
      </c>
      <c r="G282" s="189" t="str">
        <f t="shared" si="87"/>
        <v>Thu</v>
      </c>
      <c r="H282" s="190"/>
      <c r="I282" s="200"/>
      <c r="J282" s="201">
        <v>221950</v>
      </c>
      <c r="K282" s="202"/>
      <c r="L282" s="59">
        <f t="shared" si="77"/>
        <v>234116.88564013838</v>
      </c>
      <c r="M282" s="60">
        <f t="shared" si="82"/>
        <v>-12166.885640138382</v>
      </c>
      <c r="N282" s="61">
        <f t="shared" si="79"/>
        <v>0.94803072146261103</v>
      </c>
      <c r="O282" s="194"/>
      <c r="P282" s="106">
        <f>IF(D282=0,0,SUM($L$264:L282))</f>
        <v>3511753.2846020749</v>
      </c>
      <c r="Q282" s="59">
        <f>IF(D282=0,0,SUM($J$264:J282))</f>
        <v>3389440</v>
      </c>
      <c r="R282" s="63">
        <f t="shared" si="83"/>
        <v>-122313.28460207488</v>
      </c>
      <c r="S282" s="61">
        <f t="shared" si="80"/>
        <v>0.96517030819380734</v>
      </c>
      <c r="T282" s="80"/>
      <c r="U282" s="59">
        <f>IF(D282=0,0,SUM($L$20:L282))</f>
        <v>47722878.846539691</v>
      </c>
      <c r="V282" s="59">
        <f>IF(D282=0,0,SUM($J$20:J282))</f>
        <v>49618056</v>
      </c>
      <c r="W282" s="63">
        <f t="shared" si="84"/>
        <v>1895177.1534603089</v>
      </c>
      <c r="X282" s="61">
        <f t="shared" si="81"/>
        <v>1.0397121296800753</v>
      </c>
      <c r="Y282" s="145"/>
      <c r="Z282" s="196">
        <f t="shared" si="88"/>
        <v>45554</v>
      </c>
      <c r="AA282" s="197">
        <f t="shared" si="88"/>
        <v>45554</v>
      </c>
      <c r="AB282" s="1"/>
      <c r="AC282" s="1"/>
      <c r="AD282" s="1"/>
      <c r="AE282" s="1"/>
      <c r="AF282" s="145"/>
      <c r="AG282" s="198">
        <f t="shared" si="89"/>
        <v>179</v>
      </c>
      <c r="AH282" s="145"/>
      <c r="AI282" s="145"/>
      <c r="AJ282" s="145"/>
      <c r="AK282" s="145"/>
      <c r="AL282" s="145"/>
      <c r="AM282" s="145"/>
      <c r="AN282" s="145"/>
    </row>
    <row r="283" spans="1:40" ht="20">
      <c r="A283" s="145"/>
      <c r="B283" s="152"/>
      <c r="C283" s="50">
        <f t="shared" si="85"/>
        <v>264</v>
      </c>
      <c r="D283" s="51">
        <v>1</v>
      </c>
      <c r="E283" s="187" t="str">
        <f t="shared" si="78"/>
        <v>9</v>
      </c>
      <c r="F283" s="188">
        <f t="shared" si="86"/>
        <v>45555</v>
      </c>
      <c r="G283" s="189" t="str">
        <f t="shared" si="87"/>
        <v>Fri</v>
      </c>
      <c r="H283" s="190"/>
      <c r="I283" s="200"/>
      <c r="J283" s="201">
        <v>364650</v>
      </c>
      <c r="K283" s="202"/>
      <c r="L283" s="59">
        <f t="shared" si="77"/>
        <v>234116.88564013838</v>
      </c>
      <c r="M283" s="60">
        <f t="shared" si="82"/>
        <v>130533.11435986162</v>
      </c>
      <c r="N283" s="61">
        <f t="shared" si="79"/>
        <v>1.557555316879212</v>
      </c>
      <c r="O283" s="194"/>
      <c r="P283" s="106">
        <f>IF(D283=0,0,SUM($L$264:L283))</f>
        <v>3745870.1702422132</v>
      </c>
      <c r="Q283" s="59">
        <f>IF(D283=0,0,SUM($J$264:J283))</f>
        <v>3754090</v>
      </c>
      <c r="R283" s="63">
        <f t="shared" si="83"/>
        <v>8219.8297577868216</v>
      </c>
      <c r="S283" s="61">
        <f t="shared" si="80"/>
        <v>1.0021943712366452</v>
      </c>
      <c r="T283" s="80"/>
      <c r="U283" s="59">
        <f>IF(D283=0,0,SUM($L$20:L283))</f>
        <v>47956995.732179828</v>
      </c>
      <c r="V283" s="59">
        <f>IF(D283=0,0,SUM($J$20:J283))</f>
        <v>49982706</v>
      </c>
      <c r="W283" s="63">
        <f t="shared" si="84"/>
        <v>2025710.267820172</v>
      </c>
      <c r="X283" s="61">
        <f t="shared" si="81"/>
        <v>1.0422401411283755</v>
      </c>
      <c r="Y283" s="145"/>
      <c r="Z283" s="196">
        <f t="shared" si="88"/>
        <v>45555</v>
      </c>
      <c r="AA283" s="197">
        <f t="shared" si="88"/>
        <v>45555</v>
      </c>
      <c r="AB283" s="1"/>
      <c r="AC283" s="1"/>
      <c r="AD283" s="1"/>
      <c r="AE283" s="1"/>
      <c r="AF283" s="145"/>
      <c r="AG283" s="198">
        <f t="shared" si="89"/>
        <v>180</v>
      </c>
      <c r="AH283" s="145"/>
      <c r="AI283" s="145"/>
      <c r="AJ283" s="145"/>
      <c r="AK283" s="145"/>
      <c r="AL283" s="145"/>
      <c r="AM283" s="145"/>
      <c r="AN283" s="145"/>
    </row>
    <row r="284" spans="1:40" ht="20">
      <c r="A284" s="145"/>
      <c r="B284" s="152"/>
      <c r="C284" s="50">
        <f t="shared" si="85"/>
        <v>265</v>
      </c>
      <c r="D284" s="51">
        <v>1</v>
      </c>
      <c r="E284" s="187" t="str">
        <f t="shared" si="78"/>
        <v>9</v>
      </c>
      <c r="F284" s="188">
        <f t="shared" si="86"/>
        <v>45556</v>
      </c>
      <c r="G284" s="189" t="str">
        <f t="shared" si="87"/>
        <v>Sat</v>
      </c>
      <c r="H284" s="190"/>
      <c r="I284" s="200"/>
      <c r="J284" s="201">
        <v>135400</v>
      </c>
      <c r="K284" s="202"/>
      <c r="L284" s="59">
        <f t="shared" si="77"/>
        <v>234116.88564013838</v>
      </c>
      <c r="M284" s="60">
        <f t="shared" si="82"/>
        <v>-98716.885640138382</v>
      </c>
      <c r="N284" s="61">
        <f t="shared" si="79"/>
        <v>0.57834358948428721</v>
      </c>
      <c r="O284" s="194"/>
      <c r="P284" s="106">
        <f>IF(D284=0,0,SUM($L$264:L284))</f>
        <v>3979987.0558823515</v>
      </c>
      <c r="Q284" s="59">
        <f>IF(D284=0,0,SUM($J$264:J284))</f>
        <v>3889490</v>
      </c>
      <c r="R284" s="63">
        <f t="shared" si="83"/>
        <v>-90497.055882351473</v>
      </c>
      <c r="S284" s="61">
        <f t="shared" si="80"/>
        <v>0.97726197231003598</v>
      </c>
      <c r="T284" s="81"/>
      <c r="U284" s="59">
        <f>IF(D284=0,0,SUM($L$20:L284))</f>
        <v>48191112.617819965</v>
      </c>
      <c r="V284" s="59">
        <f>IF(D284=0,0,SUM($J$20:J284))</f>
        <v>50118106</v>
      </c>
      <c r="W284" s="63">
        <f t="shared" si="84"/>
        <v>1926993.3821800351</v>
      </c>
      <c r="X284" s="61">
        <f t="shared" si="81"/>
        <v>1.0399864887424799</v>
      </c>
      <c r="Y284" s="145"/>
      <c r="Z284" s="196">
        <f t="shared" si="88"/>
        <v>45556</v>
      </c>
      <c r="AA284" s="197">
        <f t="shared" si="88"/>
        <v>45556</v>
      </c>
      <c r="AB284" s="1"/>
      <c r="AC284" s="1"/>
      <c r="AD284" s="1"/>
      <c r="AE284" s="1"/>
      <c r="AF284" s="145"/>
      <c r="AG284" s="198">
        <f t="shared" si="89"/>
        <v>181</v>
      </c>
      <c r="AH284" s="145"/>
      <c r="AI284" s="145"/>
      <c r="AJ284" s="145"/>
      <c r="AK284" s="145"/>
      <c r="AL284" s="145"/>
      <c r="AM284" s="145"/>
      <c r="AN284" s="145"/>
    </row>
    <row r="285" spans="1:40" ht="20">
      <c r="A285" s="145"/>
      <c r="B285" s="152"/>
      <c r="C285" s="50">
        <f t="shared" si="85"/>
        <v>266</v>
      </c>
      <c r="D285" s="51">
        <v>0</v>
      </c>
      <c r="E285" s="187" t="str">
        <f t="shared" si="78"/>
        <v>9</v>
      </c>
      <c r="F285" s="188">
        <f t="shared" si="86"/>
        <v>45557</v>
      </c>
      <c r="G285" s="189" t="str">
        <f t="shared" si="87"/>
        <v>Sun</v>
      </c>
      <c r="H285" s="190" t="s">
        <v>58</v>
      </c>
      <c r="I285" s="200"/>
      <c r="J285" s="201">
        <v>0</v>
      </c>
      <c r="K285" s="202"/>
      <c r="L285" s="59">
        <f t="shared" si="77"/>
        <v>0</v>
      </c>
      <c r="M285" s="60">
        <f t="shared" si="82"/>
        <v>0</v>
      </c>
      <c r="N285" s="61" t="str">
        <f t="shared" si="79"/>
        <v>0%</v>
      </c>
      <c r="O285" s="194"/>
      <c r="P285" s="106">
        <f>IF(D285=0,0,SUM($L$264:L285))</f>
        <v>0</v>
      </c>
      <c r="Q285" s="59">
        <f>IF(D285=0,0,SUM($J$264:J285))</f>
        <v>0</v>
      </c>
      <c r="R285" s="63">
        <f t="shared" si="83"/>
        <v>0</v>
      </c>
      <c r="S285" s="61" t="str">
        <f t="shared" si="80"/>
        <v>0%</v>
      </c>
      <c r="T285" s="80"/>
      <c r="U285" s="59">
        <f>IF(D285=0,0,SUM($L$20:L285))</f>
        <v>0</v>
      </c>
      <c r="V285" s="59">
        <f>IF(D285=0,0,SUM($J$20:J285))</f>
        <v>0</v>
      </c>
      <c r="W285" s="63">
        <f t="shared" si="84"/>
        <v>0</v>
      </c>
      <c r="X285" s="61" t="str">
        <f t="shared" si="81"/>
        <v>0%</v>
      </c>
      <c r="Y285" s="145"/>
      <c r="Z285" s="196">
        <f t="shared" si="88"/>
        <v>45557</v>
      </c>
      <c r="AA285" s="197">
        <f t="shared" si="88"/>
        <v>45557</v>
      </c>
      <c r="AB285" s="1"/>
      <c r="AC285" s="1"/>
      <c r="AD285" s="1"/>
      <c r="AE285" s="1"/>
      <c r="AF285" s="145"/>
      <c r="AG285" s="198">
        <f t="shared" si="89"/>
        <v>182</v>
      </c>
      <c r="AH285" s="145"/>
      <c r="AI285" s="145"/>
      <c r="AJ285" s="145"/>
      <c r="AK285" s="145"/>
      <c r="AL285" s="145"/>
      <c r="AM285" s="145"/>
      <c r="AN285" s="145"/>
    </row>
    <row r="286" spans="1:40" ht="20">
      <c r="A286" s="145"/>
      <c r="B286" s="152"/>
      <c r="C286" s="50">
        <f t="shared" si="85"/>
        <v>267</v>
      </c>
      <c r="D286" s="51">
        <v>0</v>
      </c>
      <c r="E286" s="187" t="str">
        <f t="shared" si="78"/>
        <v>9</v>
      </c>
      <c r="F286" s="188">
        <f t="shared" si="86"/>
        <v>45558</v>
      </c>
      <c r="G286" s="189" t="str">
        <f t="shared" si="87"/>
        <v>Mon</v>
      </c>
      <c r="H286" s="190" t="s">
        <v>115</v>
      </c>
      <c r="I286" s="200"/>
      <c r="J286" s="201">
        <v>0</v>
      </c>
      <c r="K286" s="202"/>
      <c r="L286" s="59">
        <f t="shared" si="77"/>
        <v>0</v>
      </c>
      <c r="M286" s="60">
        <f t="shared" si="82"/>
        <v>0</v>
      </c>
      <c r="N286" s="61" t="str">
        <f t="shared" si="79"/>
        <v>0%</v>
      </c>
      <c r="O286" s="194"/>
      <c r="P286" s="106">
        <f>IF(D286=0,0,SUM($L$264:L286))</f>
        <v>0</v>
      </c>
      <c r="Q286" s="59">
        <f>IF(D286=0,0,SUM($J$264:J286))</f>
        <v>0</v>
      </c>
      <c r="R286" s="63">
        <f t="shared" si="83"/>
        <v>0</v>
      </c>
      <c r="S286" s="61" t="str">
        <f t="shared" si="80"/>
        <v>0%</v>
      </c>
      <c r="T286" s="81"/>
      <c r="U286" s="59">
        <f>IF(D286=0,0,SUM($L$20:L286))</f>
        <v>0</v>
      </c>
      <c r="V286" s="59">
        <f>IF(D286=0,0,SUM($J$20:J286))</f>
        <v>0</v>
      </c>
      <c r="W286" s="63">
        <f t="shared" si="84"/>
        <v>0</v>
      </c>
      <c r="X286" s="61" t="str">
        <f t="shared" si="81"/>
        <v>0%</v>
      </c>
      <c r="Y286" s="145"/>
      <c r="Z286" s="196">
        <f t="shared" si="88"/>
        <v>45558</v>
      </c>
      <c r="AA286" s="197">
        <f t="shared" si="88"/>
        <v>45558</v>
      </c>
      <c r="AB286" s="1"/>
      <c r="AC286" s="1"/>
      <c r="AD286" s="1"/>
      <c r="AE286" s="1"/>
      <c r="AF286" s="145"/>
      <c r="AG286" s="198">
        <f t="shared" si="89"/>
        <v>183</v>
      </c>
      <c r="AH286" s="145"/>
      <c r="AI286" s="145"/>
      <c r="AJ286" s="145"/>
      <c r="AK286" s="145"/>
      <c r="AL286" s="145"/>
      <c r="AM286" s="145"/>
      <c r="AN286" s="145"/>
    </row>
    <row r="287" spans="1:40" ht="20">
      <c r="A287" s="145"/>
      <c r="B287" s="152"/>
      <c r="C287" s="50">
        <f t="shared" si="85"/>
        <v>268</v>
      </c>
      <c r="D287" s="51">
        <v>1</v>
      </c>
      <c r="E287" s="187" t="str">
        <f t="shared" si="78"/>
        <v>9</v>
      </c>
      <c r="F287" s="188">
        <f t="shared" si="86"/>
        <v>45559</v>
      </c>
      <c r="G287" s="189" t="str">
        <f t="shared" si="87"/>
        <v>Tue</v>
      </c>
      <c r="H287" s="190"/>
      <c r="I287" s="200"/>
      <c r="J287" s="201">
        <v>403600</v>
      </c>
      <c r="K287" s="202"/>
      <c r="L287" s="59">
        <f t="shared" si="77"/>
        <v>234116.88564013838</v>
      </c>
      <c r="M287" s="60">
        <f t="shared" si="82"/>
        <v>169483.11435986162</v>
      </c>
      <c r="N287" s="61">
        <f t="shared" si="79"/>
        <v>1.7239252046961471</v>
      </c>
      <c r="O287" s="194"/>
      <c r="P287" s="106">
        <f>IF(D287=0,0,SUM($L$264:L287))</f>
        <v>4214103.9415224902</v>
      </c>
      <c r="Q287" s="59">
        <f>IF(D287=0,0,SUM($J$264:J287))</f>
        <v>4293090</v>
      </c>
      <c r="R287" s="63">
        <f t="shared" si="83"/>
        <v>78986.058477509767</v>
      </c>
      <c r="S287" s="61">
        <f t="shared" si="80"/>
        <v>1.0187432629981532</v>
      </c>
      <c r="T287" s="80"/>
      <c r="U287" s="59">
        <f>IF(D287=0,0,SUM($L$20:L287))</f>
        <v>48425229.503460102</v>
      </c>
      <c r="V287" s="59">
        <f>IF(D287=0,0,SUM($J$20:J287))</f>
        <v>50521706</v>
      </c>
      <c r="W287" s="63">
        <f t="shared" si="84"/>
        <v>2096476.4965398982</v>
      </c>
      <c r="X287" s="61">
        <f t="shared" si="81"/>
        <v>1.043293062687294</v>
      </c>
      <c r="Y287" s="145"/>
      <c r="Z287" s="196">
        <f t="shared" si="88"/>
        <v>45559</v>
      </c>
      <c r="AA287" s="197">
        <f t="shared" si="88"/>
        <v>45559</v>
      </c>
      <c r="AB287" s="1"/>
      <c r="AC287" s="1"/>
      <c r="AD287" s="1"/>
      <c r="AE287" s="1"/>
      <c r="AF287" s="145"/>
      <c r="AG287" s="198">
        <f t="shared" si="89"/>
        <v>184</v>
      </c>
      <c r="AH287" s="145"/>
      <c r="AI287" s="145"/>
      <c r="AJ287" s="145"/>
      <c r="AK287" s="145"/>
      <c r="AL287" s="145"/>
      <c r="AM287" s="145"/>
      <c r="AN287" s="145"/>
    </row>
    <row r="288" spans="1:40" ht="20">
      <c r="A288" s="145"/>
      <c r="B288" s="152"/>
      <c r="C288" s="50">
        <f t="shared" si="85"/>
        <v>269</v>
      </c>
      <c r="D288" s="51">
        <v>1</v>
      </c>
      <c r="E288" s="187" t="str">
        <f t="shared" si="78"/>
        <v>9</v>
      </c>
      <c r="F288" s="188">
        <f t="shared" si="86"/>
        <v>45560</v>
      </c>
      <c r="G288" s="189" t="str">
        <f t="shared" si="87"/>
        <v>Wed</v>
      </c>
      <c r="H288" s="190"/>
      <c r="I288" s="200"/>
      <c r="J288" s="201">
        <v>309400</v>
      </c>
      <c r="K288" s="202"/>
      <c r="L288" s="59">
        <f t="shared" si="77"/>
        <v>234116.88564013838</v>
      </c>
      <c r="M288" s="60">
        <f t="shared" si="82"/>
        <v>75283.114359861618</v>
      </c>
      <c r="N288" s="61">
        <f t="shared" si="79"/>
        <v>1.3215620870490286</v>
      </c>
      <c r="O288" s="194"/>
      <c r="P288" s="106">
        <f>IF(D288=0,0,SUM($L$264:L288))</f>
        <v>4448220.827162629</v>
      </c>
      <c r="Q288" s="59">
        <f>IF(D288=0,0,SUM($J$264:J288))</f>
        <v>4602490</v>
      </c>
      <c r="R288" s="63">
        <f t="shared" si="83"/>
        <v>154269.17283737101</v>
      </c>
      <c r="S288" s="61">
        <f t="shared" si="80"/>
        <v>1.034681095842936</v>
      </c>
      <c r="T288" s="80"/>
      <c r="U288" s="59">
        <f>IF(D288=0,0,SUM($L$20:L288))</f>
        <v>48659346.389100239</v>
      </c>
      <c r="V288" s="59">
        <f>IF(D288=0,0,SUM($J$20:J288))</f>
        <v>50831106</v>
      </c>
      <c r="W288" s="63">
        <f t="shared" si="84"/>
        <v>2171759.6108997613</v>
      </c>
      <c r="X288" s="61">
        <f t="shared" si="81"/>
        <v>1.0446319108673074</v>
      </c>
      <c r="Y288" s="145"/>
      <c r="Z288" s="196">
        <f t="shared" si="88"/>
        <v>45560</v>
      </c>
      <c r="AA288" s="197">
        <f t="shared" si="88"/>
        <v>45560</v>
      </c>
      <c r="AB288" s="1"/>
      <c r="AC288" s="1"/>
      <c r="AD288" s="1"/>
      <c r="AE288" s="1"/>
      <c r="AF288" s="145"/>
      <c r="AG288" s="198">
        <f t="shared" si="89"/>
        <v>185</v>
      </c>
      <c r="AH288" s="145"/>
      <c r="AI288" s="145"/>
      <c r="AJ288" s="145"/>
      <c r="AK288" s="145"/>
      <c r="AL288" s="145"/>
      <c r="AM288" s="145"/>
      <c r="AN288" s="145"/>
    </row>
    <row r="289" spans="1:40" ht="20">
      <c r="A289" s="145"/>
      <c r="B289" s="152"/>
      <c r="C289" s="50">
        <f t="shared" si="85"/>
        <v>270</v>
      </c>
      <c r="D289" s="51">
        <v>1</v>
      </c>
      <c r="E289" s="187" t="str">
        <f t="shared" si="78"/>
        <v>9</v>
      </c>
      <c r="F289" s="188">
        <f t="shared" si="86"/>
        <v>45561</v>
      </c>
      <c r="G289" s="189" t="str">
        <f t="shared" si="87"/>
        <v>Thu</v>
      </c>
      <c r="H289" s="190"/>
      <c r="I289" s="200"/>
      <c r="J289" s="201">
        <v>168650</v>
      </c>
      <c r="K289" s="202"/>
      <c r="L289" s="59">
        <f t="shared" si="77"/>
        <v>234116.88564013838</v>
      </c>
      <c r="M289" s="60">
        <f t="shared" si="82"/>
        <v>-65466.885640138382</v>
      </c>
      <c r="N289" s="61">
        <f t="shared" si="79"/>
        <v>0.72036666444996333</v>
      </c>
      <c r="O289" s="194"/>
      <c r="P289" s="106">
        <f>IF(D289=0,0,SUM($L$264:L289))</f>
        <v>4682337.7128027678</v>
      </c>
      <c r="Q289" s="59">
        <f>IF(D289=0,0,SUM($J$264:J289))</f>
        <v>4771140</v>
      </c>
      <c r="R289" s="63">
        <f t="shared" si="83"/>
        <v>88802.287197232246</v>
      </c>
      <c r="S289" s="61">
        <f t="shared" si="80"/>
        <v>1.0189653742732871</v>
      </c>
      <c r="T289" s="80"/>
      <c r="U289" s="59">
        <f>IF(D289=0,0,SUM($L$20:L289))</f>
        <v>48893463.274740376</v>
      </c>
      <c r="V289" s="59">
        <f>IF(D289=0,0,SUM($J$20:J289))</f>
        <v>50999756</v>
      </c>
      <c r="W289" s="63">
        <f t="shared" si="84"/>
        <v>2106292.7252596244</v>
      </c>
      <c r="X289" s="61">
        <f t="shared" si="81"/>
        <v>1.0430792294958535</v>
      </c>
      <c r="Y289" s="145"/>
      <c r="Z289" s="196">
        <f t="shared" si="88"/>
        <v>45561</v>
      </c>
      <c r="AA289" s="197">
        <f t="shared" si="88"/>
        <v>45561</v>
      </c>
      <c r="AB289" s="1"/>
      <c r="AC289" s="1"/>
      <c r="AD289" s="1"/>
      <c r="AE289" s="1"/>
      <c r="AF289" s="145"/>
      <c r="AG289" s="198">
        <f t="shared" si="89"/>
        <v>186</v>
      </c>
      <c r="AH289" s="145"/>
      <c r="AI289" s="145"/>
      <c r="AJ289" s="145"/>
      <c r="AK289" s="145"/>
      <c r="AL289" s="145"/>
      <c r="AM289" s="145"/>
      <c r="AN289" s="145"/>
    </row>
    <row r="290" spans="1:40" ht="20">
      <c r="A290" s="145"/>
      <c r="B290" s="152"/>
      <c r="C290" s="50">
        <f t="shared" si="85"/>
        <v>271</v>
      </c>
      <c r="D290" s="51">
        <v>1</v>
      </c>
      <c r="E290" s="187" t="str">
        <f t="shared" si="78"/>
        <v>9</v>
      </c>
      <c r="F290" s="188">
        <f t="shared" si="86"/>
        <v>45562</v>
      </c>
      <c r="G290" s="189" t="str">
        <f t="shared" si="87"/>
        <v>Fri</v>
      </c>
      <c r="H290" s="190"/>
      <c r="I290" s="200"/>
      <c r="J290" s="201">
        <v>339485</v>
      </c>
      <c r="K290" s="202"/>
      <c r="L290" s="59">
        <f t="shared" si="77"/>
        <v>234116.88564013838</v>
      </c>
      <c r="M290" s="60">
        <f t="shared" si="82"/>
        <v>105368.11435986162</v>
      </c>
      <c r="N290" s="61">
        <f t="shared" si="79"/>
        <v>1.4500662738262424</v>
      </c>
      <c r="O290" s="194"/>
      <c r="P290" s="106">
        <f>IF(D290=0,0,SUM($L$264:L290))</f>
        <v>4916454.5984429065</v>
      </c>
      <c r="Q290" s="59">
        <f>IF(D290=0,0,SUM($J$264:J290))</f>
        <v>5110625</v>
      </c>
      <c r="R290" s="63">
        <f t="shared" si="83"/>
        <v>194170.40155709349</v>
      </c>
      <c r="S290" s="61">
        <f t="shared" si="80"/>
        <v>1.0394939885377137</v>
      </c>
      <c r="T290" s="80"/>
      <c r="U290" s="59">
        <f>IF(D290=0,0,SUM($L$20:L290))</f>
        <v>49127580.160380512</v>
      </c>
      <c r="V290" s="59">
        <f>IF(D290=0,0,SUM($J$20:J290))</f>
        <v>51339241</v>
      </c>
      <c r="W290" s="63">
        <f t="shared" si="84"/>
        <v>2211660.8396194875</v>
      </c>
      <c r="X290" s="61">
        <f t="shared" si="81"/>
        <v>1.0450187213048019</v>
      </c>
      <c r="Y290" s="145"/>
      <c r="Z290" s="196">
        <f t="shared" si="88"/>
        <v>45562</v>
      </c>
      <c r="AA290" s="197">
        <f t="shared" si="88"/>
        <v>45562</v>
      </c>
      <c r="AB290" s="1"/>
      <c r="AC290" s="1"/>
      <c r="AD290" s="1"/>
      <c r="AE290" s="1"/>
      <c r="AF290" s="145"/>
      <c r="AG290" s="198">
        <f t="shared" si="89"/>
        <v>187</v>
      </c>
      <c r="AH290" s="145"/>
      <c r="AI290" s="145"/>
      <c r="AJ290" s="145"/>
      <c r="AK290" s="145"/>
      <c r="AL290" s="145"/>
      <c r="AM290" s="145"/>
      <c r="AN290" s="145"/>
    </row>
    <row r="291" spans="1:40" ht="20">
      <c r="A291" s="145"/>
      <c r="B291" s="152"/>
      <c r="C291" s="50">
        <f t="shared" si="85"/>
        <v>272</v>
      </c>
      <c r="D291" s="51">
        <v>1</v>
      </c>
      <c r="E291" s="187" t="str">
        <f t="shared" si="78"/>
        <v>9</v>
      </c>
      <c r="F291" s="188">
        <f t="shared" si="86"/>
        <v>45563</v>
      </c>
      <c r="G291" s="189" t="str">
        <f t="shared" si="87"/>
        <v>Sat</v>
      </c>
      <c r="H291" s="190"/>
      <c r="I291" s="200"/>
      <c r="J291" s="201">
        <v>116650</v>
      </c>
      <c r="K291" s="202"/>
      <c r="L291" s="59">
        <f t="shared" si="77"/>
        <v>234116.88564013838</v>
      </c>
      <c r="M291" s="60">
        <f t="shared" si="82"/>
        <v>-117466.88564013838</v>
      </c>
      <c r="N291" s="61">
        <f t="shared" si="79"/>
        <v>0.49825538931567281</v>
      </c>
      <c r="O291" s="194"/>
      <c r="P291" s="106">
        <f>IF(D291=0,0,SUM($L$264:L291))</f>
        <v>5150571.4840830453</v>
      </c>
      <c r="Q291" s="59">
        <f>IF(D291=0,0,SUM($J$264:J291))</f>
        <v>5227275</v>
      </c>
      <c r="R291" s="63">
        <f t="shared" si="83"/>
        <v>76703.515916954726</v>
      </c>
      <c r="S291" s="61">
        <f t="shared" si="80"/>
        <v>1.0148922340276207</v>
      </c>
      <c r="T291" s="81"/>
      <c r="U291" s="59">
        <f>IF(D291=0,0,SUM($L$20:L291))</f>
        <v>49361697.046020649</v>
      </c>
      <c r="V291" s="59">
        <f>IF(D291=0,0,SUM($J$20:J291))</f>
        <v>51455891</v>
      </c>
      <c r="W291" s="63">
        <f t="shared" si="84"/>
        <v>2094193.9539793506</v>
      </c>
      <c r="X291" s="61">
        <f t="shared" si="81"/>
        <v>1.0424254853318131</v>
      </c>
      <c r="Y291" s="145"/>
      <c r="Z291" s="196">
        <f t="shared" si="88"/>
        <v>45563</v>
      </c>
      <c r="AA291" s="197">
        <f t="shared" si="88"/>
        <v>45563</v>
      </c>
      <c r="AB291" s="1"/>
      <c r="AC291" s="1"/>
      <c r="AD291" s="1"/>
      <c r="AE291" s="1"/>
      <c r="AF291" s="145"/>
      <c r="AG291" s="198">
        <f t="shared" si="89"/>
        <v>188</v>
      </c>
      <c r="AH291" s="145"/>
      <c r="AI291" s="145"/>
      <c r="AJ291" s="145"/>
      <c r="AK291" s="145"/>
      <c r="AL291" s="145"/>
      <c r="AM291" s="145"/>
      <c r="AN291" s="145"/>
    </row>
    <row r="292" spans="1:40" ht="20">
      <c r="A292" s="145"/>
      <c r="B292" s="152"/>
      <c r="C292" s="50">
        <f t="shared" si="85"/>
        <v>273</v>
      </c>
      <c r="D292" s="51">
        <v>0</v>
      </c>
      <c r="E292" s="187" t="str">
        <f t="shared" si="78"/>
        <v>9</v>
      </c>
      <c r="F292" s="188">
        <f t="shared" si="86"/>
        <v>45564</v>
      </c>
      <c r="G292" s="189" t="str">
        <f t="shared" si="87"/>
        <v>Sun</v>
      </c>
      <c r="H292" s="190" t="s">
        <v>58</v>
      </c>
      <c r="I292" s="200"/>
      <c r="J292" s="201">
        <v>0</v>
      </c>
      <c r="K292" s="202"/>
      <c r="L292" s="59">
        <f t="shared" si="77"/>
        <v>0</v>
      </c>
      <c r="M292" s="60">
        <f t="shared" si="82"/>
        <v>0</v>
      </c>
      <c r="N292" s="61" t="str">
        <f t="shared" si="79"/>
        <v>0%</v>
      </c>
      <c r="O292" s="194"/>
      <c r="P292" s="106">
        <f>IF(D292=0,0,SUM($L$264:L292))</f>
        <v>0</v>
      </c>
      <c r="Q292" s="59">
        <f>IF(D292=0,0,SUM($J$264:J292))</f>
        <v>0</v>
      </c>
      <c r="R292" s="63">
        <f t="shared" si="83"/>
        <v>0</v>
      </c>
      <c r="S292" s="61" t="str">
        <f t="shared" si="80"/>
        <v>0%</v>
      </c>
      <c r="T292" s="80"/>
      <c r="U292" s="59">
        <f>IF(D292=0,0,SUM($L$20:L292))</f>
        <v>0</v>
      </c>
      <c r="V292" s="59">
        <f>IF(D292=0,0,SUM($J$20:J292))</f>
        <v>0</v>
      </c>
      <c r="W292" s="63">
        <f t="shared" si="84"/>
        <v>0</v>
      </c>
      <c r="X292" s="61" t="str">
        <f t="shared" si="81"/>
        <v>0%</v>
      </c>
      <c r="Y292" s="145"/>
      <c r="Z292" s="196">
        <f t="shared" si="88"/>
        <v>45564</v>
      </c>
      <c r="AA292" s="197">
        <f t="shared" si="88"/>
        <v>45564</v>
      </c>
      <c r="AB292" s="1"/>
      <c r="AC292" s="1"/>
      <c r="AD292" s="1"/>
      <c r="AE292" s="1"/>
      <c r="AF292" s="145"/>
      <c r="AG292" s="198">
        <f t="shared" si="89"/>
        <v>189</v>
      </c>
      <c r="AH292" s="145"/>
      <c r="AI292" s="145"/>
      <c r="AJ292" s="145"/>
      <c r="AK292" s="145"/>
      <c r="AL292" s="145"/>
      <c r="AM292" s="145"/>
      <c r="AN292" s="145"/>
    </row>
    <row r="293" spans="1:40" ht="21" thickBot="1">
      <c r="A293" s="145"/>
      <c r="B293" s="152"/>
      <c r="C293" s="100">
        <f t="shared" si="85"/>
        <v>274</v>
      </c>
      <c r="D293" s="85">
        <v>1</v>
      </c>
      <c r="E293" s="203" t="str">
        <f t="shared" si="78"/>
        <v>9</v>
      </c>
      <c r="F293" s="204">
        <f t="shared" si="86"/>
        <v>45565</v>
      </c>
      <c r="G293" s="205" t="str">
        <f t="shared" si="87"/>
        <v>Mon</v>
      </c>
      <c r="H293" s="206"/>
      <c r="I293" s="207"/>
      <c r="J293" s="208">
        <v>197800</v>
      </c>
      <c r="K293" s="202"/>
      <c r="L293" s="103">
        <f t="shared" si="77"/>
        <v>234116.88564013838</v>
      </c>
      <c r="M293" s="91">
        <f t="shared" si="82"/>
        <v>-36316.885640138382</v>
      </c>
      <c r="N293" s="108">
        <f t="shared" si="79"/>
        <v>0.84487711964543577</v>
      </c>
      <c r="O293" s="209"/>
      <c r="P293" s="210">
        <f>IF(D293=0,0,SUM($L$264:L293))</f>
        <v>5384688.369723184</v>
      </c>
      <c r="Q293" s="103">
        <f>IF(D293=0,0,SUM($J$264:J293))</f>
        <v>5425075</v>
      </c>
      <c r="R293" s="105">
        <f t="shared" si="83"/>
        <v>40386.630276815966</v>
      </c>
      <c r="S293" s="108">
        <f t="shared" si="80"/>
        <v>1.0075002725327431</v>
      </c>
      <c r="T293" s="211"/>
      <c r="U293" s="103">
        <f>IF(D293=0,0,SUM($L$20:L293))</f>
        <v>49595813.931660786</v>
      </c>
      <c r="V293" s="103">
        <f>IF(D293=0,0,SUM($J$20:J293))</f>
        <v>51653691</v>
      </c>
      <c r="W293" s="105">
        <f t="shared" si="84"/>
        <v>2057877.0683392137</v>
      </c>
      <c r="X293" s="108">
        <f t="shared" si="81"/>
        <v>1.0414929588850947</v>
      </c>
      <c r="Y293" s="145"/>
      <c r="Z293" s="196">
        <f t="shared" ref="Z293:AA308" si="90">Z292+1</f>
        <v>45565</v>
      </c>
      <c r="AA293" s="197">
        <f t="shared" si="90"/>
        <v>45565</v>
      </c>
      <c r="AB293" s="1"/>
      <c r="AC293" s="1"/>
      <c r="AD293" s="1"/>
      <c r="AE293" s="1"/>
      <c r="AF293" s="145"/>
      <c r="AG293" s="198">
        <f t="shared" si="89"/>
        <v>190</v>
      </c>
      <c r="AH293" s="145"/>
      <c r="AI293" s="145"/>
      <c r="AJ293" s="145"/>
      <c r="AK293" s="145"/>
      <c r="AL293" s="145"/>
      <c r="AM293" s="145"/>
      <c r="AN293" s="145"/>
    </row>
    <row r="294" spans="1:40" ht="21" thickTop="1">
      <c r="A294" s="145"/>
      <c r="B294" s="152"/>
      <c r="C294" s="50">
        <f t="shared" si="85"/>
        <v>275</v>
      </c>
      <c r="D294" s="96">
        <v>1</v>
      </c>
      <c r="E294" s="187" t="str">
        <f t="shared" si="78"/>
        <v>10</v>
      </c>
      <c r="F294" s="188">
        <f t="shared" si="86"/>
        <v>45566</v>
      </c>
      <c r="G294" s="189" t="str">
        <f t="shared" si="87"/>
        <v>Tue</v>
      </c>
      <c r="H294" s="190"/>
      <c r="I294" s="200"/>
      <c r="J294" s="201">
        <v>265250</v>
      </c>
      <c r="K294" s="202"/>
      <c r="L294" s="59">
        <f>IF(D294=0,0,$K$15)</f>
        <v>308048.53373702423</v>
      </c>
      <c r="M294" s="63">
        <f t="shared" si="82"/>
        <v>-42798.533737024234</v>
      </c>
      <c r="N294" s="97">
        <f t="shared" si="79"/>
        <v>0.86106561450618491</v>
      </c>
      <c r="O294" s="194"/>
      <c r="P294" s="107">
        <f>IF(D294=0,0,$L$294)</f>
        <v>308048.53373702423</v>
      </c>
      <c r="Q294" s="59">
        <f>IF(D294=0,0,$J$294)</f>
        <v>265250</v>
      </c>
      <c r="R294" s="63">
        <f t="shared" si="83"/>
        <v>-42798.533737024234</v>
      </c>
      <c r="S294" s="97">
        <f t="shared" si="80"/>
        <v>0.86106561450618491</v>
      </c>
      <c r="T294" s="80"/>
      <c r="U294" s="59">
        <f>IF(D294=0,0,SUM($L$20:L294))</f>
        <v>49903862.465397812</v>
      </c>
      <c r="V294" s="59">
        <f>IF(D294=0,0,SUM($J$20:J294))</f>
        <v>51918941</v>
      </c>
      <c r="W294" s="63">
        <f t="shared" si="84"/>
        <v>2015078.5346021876</v>
      </c>
      <c r="X294" s="97">
        <f t="shared" si="81"/>
        <v>1.0403792098457187</v>
      </c>
      <c r="Y294" s="145"/>
      <c r="Z294" s="196">
        <f t="shared" si="90"/>
        <v>45566</v>
      </c>
      <c r="AA294" s="197">
        <f t="shared" si="90"/>
        <v>45566</v>
      </c>
      <c r="AB294" s="1"/>
      <c r="AC294" s="1"/>
      <c r="AD294" s="1"/>
      <c r="AE294" s="1"/>
      <c r="AF294" s="145"/>
      <c r="AG294" s="198">
        <f t="shared" si="89"/>
        <v>191</v>
      </c>
      <c r="AH294" s="145"/>
      <c r="AI294" s="145"/>
      <c r="AJ294" s="145"/>
      <c r="AK294" s="145"/>
      <c r="AL294" s="145"/>
      <c r="AM294" s="145"/>
      <c r="AN294" s="145"/>
    </row>
    <row r="295" spans="1:40" ht="20">
      <c r="A295" s="145"/>
      <c r="B295" s="152"/>
      <c r="C295" s="50">
        <f t="shared" si="85"/>
        <v>276</v>
      </c>
      <c r="D295" s="51">
        <v>1</v>
      </c>
      <c r="E295" s="187" t="str">
        <f t="shared" si="78"/>
        <v>10</v>
      </c>
      <c r="F295" s="188">
        <f t="shared" si="86"/>
        <v>45567</v>
      </c>
      <c r="G295" s="189" t="str">
        <f t="shared" si="87"/>
        <v>Wed</v>
      </c>
      <c r="H295" s="190"/>
      <c r="I295" s="200"/>
      <c r="J295" s="201">
        <v>241150</v>
      </c>
      <c r="K295" s="202"/>
      <c r="L295" s="59">
        <f t="shared" ref="L295:L324" si="91">IF(D295=0,0,$K$15)</f>
        <v>308048.53373702423</v>
      </c>
      <c r="M295" s="60">
        <f t="shared" si="82"/>
        <v>-66898.533737024234</v>
      </c>
      <c r="N295" s="61">
        <f t="shared" si="79"/>
        <v>0.78283118921080674</v>
      </c>
      <c r="O295" s="194"/>
      <c r="P295" s="106">
        <f>IF(D295=0,0,SUM($L$294:L295))</f>
        <v>616097.06747404847</v>
      </c>
      <c r="Q295" s="59">
        <f>IF(D295=0,0,SUM($J$294:J295))</f>
        <v>506400</v>
      </c>
      <c r="R295" s="63">
        <f t="shared" si="83"/>
        <v>-109697.06747404847</v>
      </c>
      <c r="S295" s="61">
        <f t="shared" si="80"/>
        <v>0.82194840185849583</v>
      </c>
      <c r="T295" s="80"/>
      <c r="U295" s="59">
        <f>IF(D295=0,0,SUM($L$20:L295))</f>
        <v>50211910.999134839</v>
      </c>
      <c r="V295" s="59">
        <f>IF(D295=0,0,SUM($J$20:J295))</f>
        <v>52160091</v>
      </c>
      <c r="W295" s="63">
        <f t="shared" si="84"/>
        <v>1948180.0008651614</v>
      </c>
      <c r="X295" s="61">
        <f t="shared" si="81"/>
        <v>1.0387991606393696</v>
      </c>
      <c r="Y295" s="145"/>
      <c r="Z295" s="196">
        <f t="shared" si="90"/>
        <v>45567</v>
      </c>
      <c r="AA295" s="197">
        <f t="shared" si="90"/>
        <v>45567</v>
      </c>
      <c r="AB295" s="1"/>
      <c r="AC295" s="1"/>
      <c r="AD295" s="1"/>
      <c r="AE295" s="1"/>
      <c r="AF295" s="145"/>
      <c r="AG295" s="198">
        <f t="shared" si="89"/>
        <v>192</v>
      </c>
      <c r="AH295" s="145"/>
      <c r="AI295" s="145"/>
      <c r="AJ295" s="145"/>
      <c r="AK295" s="145"/>
      <c r="AL295" s="145"/>
      <c r="AM295" s="145"/>
      <c r="AN295" s="145"/>
    </row>
    <row r="296" spans="1:40" ht="20">
      <c r="A296" s="145"/>
      <c r="B296" s="152"/>
      <c r="C296" s="50">
        <f t="shared" si="85"/>
        <v>277</v>
      </c>
      <c r="D296" s="51">
        <v>1</v>
      </c>
      <c r="E296" s="187" t="str">
        <f t="shared" si="78"/>
        <v>10</v>
      </c>
      <c r="F296" s="188">
        <f t="shared" si="86"/>
        <v>45568</v>
      </c>
      <c r="G296" s="189" t="str">
        <f t="shared" si="87"/>
        <v>Thu</v>
      </c>
      <c r="H296" s="190"/>
      <c r="I296" s="200"/>
      <c r="J296" s="201">
        <v>229100</v>
      </c>
      <c r="K296" s="202"/>
      <c r="L296" s="59">
        <f t="shared" si="91"/>
        <v>308048.53373702423</v>
      </c>
      <c r="M296" s="60">
        <f t="shared" si="82"/>
        <v>-78948.533737024234</v>
      </c>
      <c r="N296" s="61">
        <f t="shared" si="79"/>
        <v>0.74371397656311766</v>
      </c>
      <c r="O296" s="194"/>
      <c r="P296" s="106">
        <f>IF(D296=0,0,SUM($L$294:L296))</f>
        <v>924145.60121107264</v>
      </c>
      <c r="Q296" s="59">
        <f>IF(D296=0,0,SUM($J$294:J296))</f>
        <v>735500</v>
      </c>
      <c r="R296" s="63">
        <f t="shared" si="83"/>
        <v>-188645.60121107264</v>
      </c>
      <c r="S296" s="61">
        <f t="shared" si="80"/>
        <v>0.79587026009336981</v>
      </c>
      <c r="T296" s="80"/>
      <c r="U296" s="59">
        <f>IF(D296=0,0,SUM($L$20:L296))</f>
        <v>50519959.532871865</v>
      </c>
      <c r="V296" s="59">
        <f>IF(D296=0,0,SUM($J$20:J296))</f>
        <v>52389191</v>
      </c>
      <c r="W296" s="63">
        <f t="shared" si="84"/>
        <v>1869231.4671281353</v>
      </c>
      <c r="X296" s="61">
        <f t="shared" si="81"/>
        <v>1.0369998607364657</v>
      </c>
      <c r="Y296" s="145"/>
      <c r="Z296" s="196">
        <f t="shared" si="90"/>
        <v>45568</v>
      </c>
      <c r="AA296" s="197">
        <f t="shared" si="90"/>
        <v>45568</v>
      </c>
      <c r="AB296" s="1"/>
      <c r="AC296" s="1"/>
      <c r="AD296" s="1"/>
      <c r="AE296" s="1"/>
      <c r="AF296" s="145"/>
      <c r="AG296" s="198">
        <f t="shared" si="89"/>
        <v>193</v>
      </c>
      <c r="AH296" s="145"/>
      <c r="AI296" s="145"/>
      <c r="AJ296" s="145"/>
      <c r="AK296" s="145"/>
      <c r="AL296" s="145"/>
      <c r="AM296" s="145"/>
      <c r="AN296" s="145"/>
    </row>
    <row r="297" spans="1:40" ht="20">
      <c r="A297" s="145"/>
      <c r="B297" s="152"/>
      <c r="C297" s="50">
        <f t="shared" si="85"/>
        <v>278</v>
      </c>
      <c r="D297" s="51">
        <v>1</v>
      </c>
      <c r="E297" s="187" t="str">
        <f t="shared" si="78"/>
        <v>10</v>
      </c>
      <c r="F297" s="188">
        <f t="shared" si="86"/>
        <v>45569</v>
      </c>
      <c r="G297" s="189" t="str">
        <f t="shared" si="87"/>
        <v>Fri</v>
      </c>
      <c r="H297" s="190"/>
      <c r="I297" s="200"/>
      <c r="J297" s="201">
        <v>293550</v>
      </c>
      <c r="K297" s="202"/>
      <c r="L297" s="59">
        <f t="shared" si="91"/>
        <v>308048.53373702423</v>
      </c>
      <c r="M297" s="60">
        <f t="shared" si="82"/>
        <v>-14498.533737024234</v>
      </c>
      <c r="N297" s="61">
        <f t="shared" si="79"/>
        <v>0.952934254998268</v>
      </c>
      <c r="O297" s="194"/>
      <c r="P297" s="106">
        <f>IF(D297=0,0,SUM($L$294:L297))</f>
        <v>1232194.1349480969</v>
      </c>
      <c r="Q297" s="59">
        <f>IF(D297=0,0,SUM($J$294:J297))</f>
        <v>1029050</v>
      </c>
      <c r="R297" s="63">
        <f t="shared" si="83"/>
        <v>-203144.13494809694</v>
      </c>
      <c r="S297" s="61">
        <f t="shared" si="80"/>
        <v>0.8351362588195943</v>
      </c>
      <c r="T297" s="80"/>
      <c r="U297" s="59">
        <f>IF(D297=0,0,SUM($L$20:L297))</f>
        <v>50828008.066608891</v>
      </c>
      <c r="V297" s="59">
        <f>IF(D297=0,0,SUM($J$20:J297))</f>
        <v>52682741</v>
      </c>
      <c r="W297" s="63">
        <f t="shared" si="84"/>
        <v>1854732.9333911091</v>
      </c>
      <c r="X297" s="61">
        <f t="shared" si="81"/>
        <v>1.0364903722168402</v>
      </c>
      <c r="Y297" s="145"/>
      <c r="Z297" s="196">
        <f t="shared" si="90"/>
        <v>45569</v>
      </c>
      <c r="AA297" s="197">
        <f t="shared" si="90"/>
        <v>45569</v>
      </c>
      <c r="AB297" s="1"/>
      <c r="AC297" s="1"/>
      <c r="AD297" s="1"/>
      <c r="AE297" s="1"/>
      <c r="AF297" s="145"/>
      <c r="AG297" s="198">
        <f t="shared" si="89"/>
        <v>194</v>
      </c>
      <c r="AH297" s="145"/>
      <c r="AI297" s="145"/>
      <c r="AJ297" s="145"/>
      <c r="AK297" s="145"/>
      <c r="AL297" s="145"/>
      <c r="AM297" s="145"/>
      <c r="AN297" s="145"/>
    </row>
    <row r="298" spans="1:40" ht="20">
      <c r="A298" s="145"/>
      <c r="B298" s="152"/>
      <c r="C298" s="50">
        <f t="shared" si="85"/>
        <v>279</v>
      </c>
      <c r="D298" s="51">
        <v>1</v>
      </c>
      <c r="E298" s="187" t="str">
        <f t="shared" si="78"/>
        <v>10</v>
      </c>
      <c r="F298" s="188">
        <f t="shared" si="86"/>
        <v>45570</v>
      </c>
      <c r="G298" s="189" t="str">
        <f t="shared" si="87"/>
        <v>Sat</v>
      </c>
      <c r="H298" s="190"/>
      <c r="I298" s="200"/>
      <c r="J298" s="201">
        <v>76900</v>
      </c>
      <c r="K298" s="202"/>
      <c r="L298" s="59">
        <f t="shared" si="91"/>
        <v>308048.53373702423</v>
      </c>
      <c r="M298" s="60">
        <f t="shared" si="82"/>
        <v>-231148.53373702423</v>
      </c>
      <c r="N298" s="61">
        <f t="shared" si="79"/>
        <v>0.24963598776823984</v>
      </c>
      <c r="O298" s="194"/>
      <c r="P298" s="106">
        <f>IF(D298=0,0,SUM($L$294:L298))</f>
        <v>1540242.6686851212</v>
      </c>
      <c r="Q298" s="59">
        <f>IF(D298=0,0,SUM($J$294:J298))</f>
        <v>1105950</v>
      </c>
      <c r="R298" s="63">
        <f t="shared" si="83"/>
        <v>-434292.66868512123</v>
      </c>
      <c r="S298" s="61">
        <f t="shared" si="80"/>
        <v>0.71803620460932338</v>
      </c>
      <c r="T298" s="81"/>
      <c r="U298" s="59">
        <f>IF(D298=0,0,SUM($L$20:L298))</f>
        <v>51136056.600345917</v>
      </c>
      <c r="V298" s="59">
        <f>IF(D298=0,0,SUM($J$20:J298))</f>
        <v>52759641</v>
      </c>
      <c r="W298" s="63">
        <f t="shared" si="84"/>
        <v>1623584.399654083</v>
      </c>
      <c r="X298" s="61">
        <f t="shared" si="81"/>
        <v>1.0317502855635352</v>
      </c>
      <c r="Y298" s="145"/>
      <c r="Z298" s="196">
        <f t="shared" si="90"/>
        <v>45570</v>
      </c>
      <c r="AA298" s="197">
        <f t="shared" si="90"/>
        <v>45570</v>
      </c>
      <c r="AB298" s="1"/>
      <c r="AC298" s="1"/>
      <c r="AD298" s="1"/>
      <c r="AE298" s="1"/>
      <c r="AF298" s="145"/>
      <c r="AG298" s="198">
        <f t="shared" si="89"/>
        <v>195</v>
      </c>
      <c r="AH298" s="145"/>
      <c r="AI298" s="145"/>
      <c r="AJ298" s="145"/>
      <c r="AK298" s="145"/>
      <c r="AL298" s="145"/>
      <c r="AM298" s="145"/>
      <c r="AN298" s="145"/>
    </row>
    <row r="299" spans="1:40" ht="20">
      <c r="A299" s="145"/>
      <c r="B299" s="152"/>
      <c r="C299" s="50">
        <f t="shared" si="85"/>
        <v>280</v>
      </c>
      <c r="D299" s="51">
        <v>0</v>
      </c>
      <c r="E299" s="187" t="str">
        <f t="shared" si="78"/>
        <v>10</v>
      </c>
      <c r="F299" s="188">
        <f t="shared" si="86"/>
        <v>45571</v>
      </c>
      <c r="G299" s="189" t="str">
        <f t="shared" si="87"/>
        <v>Sun</v>
      </c>
      <c r="H299" s="190" t="s">
        <v>58</v>
      </c>
      <c r="I299" s="200"/>
      <c r="J299" s="201">
        <v>0</v>
      </c>
      <c r="K299" s="202"/>
      <c r="L299" s="59">
        <f t="shared" si="91"/>
        <v>0</v>
      </c>
      <c r="M299" s="60">
        <f t="shared" si="82"/>
        <v>0</v>
      </c>
      <c r="N299" s="61" t="str">
        <f t="shared" si="79"/>
        <v>0%</v>
      </c>
      <c r="O299" s="194"/>
      <c r="P299" s="106">
        <f>IF(D299=0,0,SUM($L$294:L299))</f>
        <v>0</v>
      </c>
      <c r="Q299" s="59">
        <f>IF(D299=0,0,SUM($J$294:J299))</f>
        <v>0</v>
      </c>
      <c r="R299" s="63">
        <f t="shared" si="83"/>
        <v>0</v>
      </c>
      <c r="S299" s="61" t="str">
        <f t="shared" si="80"/>
        <v>0%</v>
      </c>
      <c r="T299" s="80"/>
      <c r="U299" s="59">
        <f>IF(D299=0,0,SUM($L$20:L299))</f>
        <v>0</v>
      </c>
      <c r="V299" s="59">
        <f>IF(D299=0,0,SUM($J$20:J299))</f>
        <v>0</v>
      </c>
      <c r="W299" s="63">
        <f t="shared" si="84"/>
        <v>0</v>
      </c>
      <c r="X299" s="61" t="str">
        <f t="shared" si="81"/>
        <v>0%</v>
      </c>
      <c r="Y299" s="145"/>
      <c r="Z299" s="196">
        <f t="shared" si="90"/>
        <v>45571</v>
      </c>
      <c r="AA299" s="197">
        <f t="shared" si="90"/>
        <v>45571</v>
      </c>
      <c r="AB299" s="1"/>
      <c r="AC299" s="1"/>
      <c r="AD299" s="1"/>
      <c r="AE299" s="1"/>
      <c r="AF299" s="145"/>
      <c r="AG299" s="198">
        <f t="shared" si="89"/>
        <v>196</v>
      </c>
      <c r="AH299" s="145"/>
      <c r="AI299" s="145"/>
      <c r="AJ299" s="145"/>
      <c r="AK299" s="145"/>
      <c r="AL299" s="145"/>
      <c r="AM299" s="145"/>
      <c r="AN299" s="145"/>
    </row>
    <row r="300" spans="1:40" ht="20">
      <c r="A300" s="145"/>
      <c r="B300" s="152"/>
      <c r="C300" s="50">
        <f t="shared" si="85"/>
        <v>281</v>
      </c>
      <c r="D300" s="51">
        <v>1</v>
      </c>
      <c r="E300" s="187" t="str">
        <f t="shared" si="78"/>
        <v>10</v>
      </c>
      <c r="F300" s="188">
        <f t="shared" si="86"/>
        <v>45572</v>
      </c>
      <c r="G300" s="189" t="str">
        <f t="shared" si="87"/>
        <v>Mon</v>
      </c>
      <c r="H300" s="190"/>
      <c r="I300" s="200"/>
      <c r="J300" s="201">
        <v>292800</v>
      </c>
      <c r="K300" s="202"/>
      <c r="L300" s="59">
        <f t="shared" si="91"/>
        <v>308048.53373702423</v>
      </c>
      <c r="M300" s="60">
        <f t="shared" si="82"/>
        <v>-15248.533737024234</v>
      </c>
      <c r="N300" s="61">
        <f t="shared" si="79"/>
        <v>0.95049957371314209</v>
      </c>
      <c r="O300" s="194"/>
      <c r="P300" s="106">
        <f>IF(D300=0,0,SUM($L$294:L300))</f>
        <v>1848291.2024221455</v>
      </c>
      <c r="Q300" s="59">
        <f>IF(D300=0,0,SUM($J$294:J300))</f>
        <v>1398750</v>
      </c>
      <c r="R300" s="63">
        <f t="shared" si="83"/>
        <v>-449541.20242214552</v>
      </c>
      <c r="S300" s="61">
        <f t="shared" si="80"/>
        <v>0.75678009945995983</v>
      </c>
      <c r="T300" s="80"/>
      <c r="U300" s="59">
        <f>IF(D300=0,0,SUM($L$20:L300))</f>
        <v>51444105.134082943</v>
      </c>
      <c r="V300" s="59">
        <f>IF(D300=0,0,SUM($J$20:J300))</f>
        <v>53052441</v>
      </c>
      <c r="W300" s="63">
        <f t="shared" si="84"/>
        <v>1608335.8659170568</v>
      </c>
      <c r="X300" s="61">
        <f t="shared" si="81"/>
        <v>1.0312637543548502</v>
      </c>
      <c r="Y300" s="145"/>
      <c r="Z300" s="196">
        <f t="shared" si="90"/>
        <v>45572</v>
      </c>
      <c r="AA300" s="197">
        <f t="shared" si="90"/>
        <v>45572</v>
      </c>
      <c r="AB300" s="1"/>
      <c r="AC300" s="1"/>
      <c r="AD300" s="1"/>
      <c r="AE300" s="1"/>
      <c r="AF300" s="145"/>
      <c r="AG300" s="198">
        <f t="shared" si="89"/>
        <v>197</v>
      </c>
      <c r="AH300" s="145"/>
      <c r="AI300" s="145"/>
      <c r="AJ300" s="145"/>
      <c r="AK300" s="145"/>
      <c r="AL300" s="145"/>
      <c r="AM300" s="145"/>
      <c r="AN300" s="145"/>
    </row>
    <row r="301" spans="1:40" ht="20">
      <c r="A301" s="145"/>
      <c r="B301" s="152"/>
      <c r="C301" s="50">
        <f t="shared" si="85"/>
        <v>282</v>
      </c>
      <c r="D301" s="51">
        <v>1</v>
      </c>
      <c r="E301" s="187" t="str">
        <f t="shared" si="78"/>
        <v>10</v>
      </c>
      <c r="F301" s="188">
        <f t="shared" si="86"/>
        <v>45573</v>
      </c>
      <c r="G301" s="189" t="str">
        <f t="shared" si="87"/>
        <v>Tue</v>
      </c>
      <c r="H301" s="190"/>
      <c r="I301" s="200"/>
      <c r="J301" s="201">
        <v>172250</v>
      </c>
      <c r="K301" s="202"/>
      <c r="L301" s="59">
        <f t="shared" si="91"/>
        <v>308048.53373702423</v>
      </c>
      <c r="M301" s="60">
        <f t="shared" si="82"/>
        <v>-135798.53373702423</v>
      </c>
      <c r="N301" s="61">
        <f t="shared" si="79"/>
        <v>0.5591651351505762</v>
      </c>
      <c r="O301" s="194"/>
      <c r="P301" s="106">
        <f>IF(D301=0,0,SUM($L$294:L301))</f>
        <v>2156339.7361591696</v>
      </c>
      <c r="Q301" s="59">
        <f>IF(D301=0,0,SUM($J$294:J301))</f>
        <v>1571000</v>
      </c>
      <c r="R301" s="63">
        <f t="shared" si="83"/>
        <v>-585339.73615916958</v>
      </c>
      <c r="S301" s="61">
        <f t="shared" si="80"/>
        <v>0.72854939027290511</v>
      </c>
      <c r="T301" s="80"/>
      <c r="U301" s="59">
        <f>IF(D301=0,0,SUM($L$20:L301))</f>
        <v>51752153.667819969</v>
      </c>
      <c r="V301" s="59">
        <f>IF(D301=0,0,SUM($J$20:J301))</f>
        <v>53224691</v>
      </c>
      <c r="W301" s="63">
        <f t="shared" si="84"/>
        <v>1472537.3321800306</v>
      </c>
      <c r="X301" s="61">
        <f t="shared" si="81"/>
        <v>1.0284536435262532</v>
      </c>
      <c r="Y301" s="145"/>
      <c r="Z301" s="196">
        <f t="shared" si="90"/>
        <v>45573</v>
      </c>
      <c r="AA301" s="197">
        <f t="shared" si="90"/>
        <v>45573</v>
      </c>
      <c r="AB301" s="1"/>
      <c r="AC301" s="1"/>
      <c r="AD301" s="1"/>
      <c r="AE301" s="1"/>
      <c r="AF301" s="145"/>
      <c r="AG301" s="198">
        <f t="shared" si="89"/>
        <v>198</v>
      </c>
      <c r="AH301" s="145"/>
      <c r="AI301" s="145"/>
      <c r="AJ301" s="145"/>
      <c r="AK301" s="145"/>
      <c r="AL301" s="145"/>
      <c r="AM301" s="145"/>
      <c r="AN301" s="145"/>
    </row>
    <row r="302" spans="1:40" ht="20">
      <c r="A302" s="145"/>
      <c r="B302" s="152"/>
      <c r="C302" s="50">
        <f t="shared" si="85"/>
        <v>283</v>
      </c>
      <c r="D302" s="51">
        <v>1</v>
      </c>
      <c r="E302" s="187" t="str">
        <f t="shared" si="78"/>
        <v>10</v>
      </c>
      <c r="F302" s="188">
        <f t="shared" si="86"/>
        <v>45574</v>
      </c>
      <c r="G302" s="189" t="str">
        <f t="shared" si="87"/>
        <v>Wed</v>
      </c>
      <c r="H302" s="190"/>
      <c r="I302" s="200"/>
      <c r="J302" s="201">
        <v>160180</v>
      </c>
      <c r="K302" s="202"/>
      <c r="L302" s="59">
        <f t="shared" si="91"/>
        <v>308048.53373702423</v>
      </c>
      <c r="M302" s="60">
        <f t="shared" si="82"/>
        <v>-147868.53373702423</v>
      </c>
      <c r="N302" s="61">
        <f t="shared" si="79"/>
        <v>0.51998299766861711</v>
      </c>
      <c r="O302" s="194"/>
      <c r="P302" s="106">
        <f>IF(D302=0,0,SUM($L$294:L302))</f>
        <v>2464388.2698961939</v>
      </c>
      <c r="Q302" s="59">
        <f>IF(D302=0,0,SUM($J$294:J302))</f>
        <v>1731180</v>
      </c>
      <c r="R302" s="63">
        <f t="shared" si="83"/>
        <v>-733208.26989619387</v>
      </c>
      <c r="S302" s="61">
        <f t="shared" si="80"/>
        <v>0.70247859119736911</v>
      </c>
      <c r="T302" s="80"/>
      <c r="U302" s="59">
        <f>IF(D302=0,0,SUM($L$20:L302))</f>
        <v>52060202.201556996</v>
      </c>
      <c r="V302" s="59">
        <f>IF(D302=0,0,SUM($J$20:J302))</f>
        <v>53384871</v>
      </c>
      <c r="W302" s="63">
        <f t="shared" si="84"/>
        <v>1324668.7984430045</v>
      </c>
      <c r="X302" s="61">
        <f t="shared" si="81"/>
        <v>1.0254449414797584</v>
      </c>
      <c r="Y302" s="145"/>
      <c r="Z302" s="196">
        <f t="shared" si="90"/>
        <v>45574</v>
      </c>
      <c r="AA302" s="197">
        <f t="shared" si="90"/>
        <v>45574</v>
      </c>
      <c r="AB302" s="1"/>
      <c r="AC302" s="1"/>
      <c r="AD302" s="1"/>
      <c r="AE302" s="1"/>
      <c r="AF302" s="145"/>
      <c r="AG302" s="198">
        <f t="shared" si="89"/>
        <v>199</v>
      </c>
      <c r="AH302" s="145"/>
      <c r="AI302" s="145"/>
      <c r="AJ302" s="145"/>
      <c r="AK302" s="145"/>
      <c r="AL302" s="145"/>
      <c r="AM302" s="145"/>
      <c r="AN302" s="145"/>
    </row>
    <row r="303" spans="1:40" ht="20">
      <c r="A303" s="145"/>
      <c r="B303" s="152"/>
      <c r="C303" s="50">
        <f t="shared" si="85"/>
        <v>284</v>
      </c>
      <c r="D303" s="51">
        <v>1</v>
      </c>
      <c r="E303" s="187" t="str">
        <f t="shared" si="78"/>
        <v>10</v>
      </c>
      <c r="F303" s="188">
        <f t="shared" si="86"/>
        <v>45575</v>
      </c>
      <c r="G303" s="189" t="str">
        <f t="shared" si="87"/>
        <v>Thu</v>
      </c>
      <c r="H303" s="190"/>
      <c r="I303" s="200"/>
      <c r="J303" s="201">
        <v>316700</v>
      </c>
      <c r="K303" s="202"/>
      <c r="L303" s="59">
        <f t="shared" si="91"/>
        <v>308048.53373702423</v>
      </c>
      <c r="M303" s="60">
        <f t="shared" si="82"/>
        <v>8651.4662629757659</v>
      </c>
      <c r="N303" s="61">
        <f t="shared" si="79"/>
        <v>1.0280847506658199</v>
      </c>
      <c r="O303" s="194"/>
      <c r="P303" s="106">
        <f>IF(D303=0,0,SUM($L$294:L303))</f>
        <v>2772436.8036332182</v>
      </c>
      <c r="Q303" s="59">
        <f>IF(D303=0,0,SUM($J$294:J303))</f>
        <v>2047880</v>
      </c>
      <c r="R303" s="63">
        <f t="shared" si="83"/>
        <v>-724556.80363321817</v>
      </c>
      <c r="S303" s="61">
        <f t="shared" si="80"/>
        <v>0.73865705336053022</v>
      </c>
      <c r="T303" s="80"/>
      <c r="U303" s="59">
        <f>IF(D303=0,0,SUM($L$20:L303))</f>
        <v>52368250.735294022</v>
      </c>
      <c r="V303" s="59">
        <f>IF(D303=0,0,SUM($J$20:J303))</f>
        <v>53701571</v>
      </c>
      <c r="W303" s="63">
        <f t="shared" si="84"/>
        <v>1333320.2647059783</v>
      </c>
      <c r="X303" s="61">
        <f t="shared" si="81"/>
        <v>1.0254604697690881</v>
      </c>
      <c r="Y303" s="145"/>
      <c r="Z303" s="196">
        <f t="shared" si="90"/>
        <v>45575</v>
      </c>
      <c r="AA303" s="197">
        <f t="shared" si="90"/>
        <v>45575</v>
      </c>
      <c r="AB303" s="1"/>
      <c r="AC303" s="1"/>
      <c r="AD303" s="1"/>
      <c r="AE303" s="1"/>
      <c r="AF303" s="145"/>
      <c r="AG303" s="198">
        <f t="shared" si="89"/>
        <v>200</v>
      </c>
      <c r="AH303" s="145"/>
      <c r="AI303" s="145"/>
      <c r="AJ303" s="145"/>
      <c r="AK303" s="145"/>
      <c r="AL303" s="145"/>
      <c r="AM303" s="145"/>
      <c r="AN303" s="145"/>
    </row>
    <row r="304" spans="1:40" ht="20">
      <c r="A304" s="145"/>
      <c r="B304" s="152"/>
      <c r="C304" s="50">
        <f t="shared" si="85"/>
        <v>285</v>
      </c>
      <c r="D304" s="51">
        <v>1</v>
      </c>
      <c r="E304" s="187" t="str">
        <f t="shared" si="78"/>
        <v>10</v>
      </c>
      <c r="F304" s="188">
        <f t="shared" si="86"/>
        <v>45576</v>
      </c>
      <c r="G304" s="189" t="str">
        <f t="shared" si="87"/>
        <v>Fri</v>
      </c>
      <c r="H304" s="190"/>
      <c r="I304" s="200"/>
      <c r="J304" s="201">
        <v>205250</v>
      </c>
      <c r="K304" s="202"/>
      <c r="L304" s="59">
        <f t="shared" si="91"/>
        <v>308048.53373702423</v>
      </c>
      <c r="M304" s="60">
        <f t="shared" si="82"/>
        <v>-102798.53373702423</v>
      </c>
      <c r="N304" s="61">
        <f t="shared" si="79"/>
        <v>0.66629111169611477</v>
      </c>
      <c r="O304" s="194"/>
      <c r="P304" s="106">
        <f>IF(D304=0,0,SUM($L$294:L304))</f>
        <v>3080485.3373702425</v>
      </c>
      <c r="Q304" s="59">
        <f>IF(D304=0,0,SUM($J$294:J304))</f>
        <v>2253130</v>
      </c>
      <c r="R304" s="63">
        <f t="shared" si="83"/>
        <v>-827355.33737024246</v>
      </c>
      <c r="S304" s="61">
        <f t="shared" si="80"/>
        <v>0.73142045919408871</v>
      </c>
      <c r="T304" s="80"/>
      <c r="U304" s="59">
        <f>IF(D304=0,0,SUM($L$20:L304))</f>
        <v>52676299.269031048</v>
      </c>
      <c r="V304" s="59">
        <f>IF(D304=0,0,SUM($J$20:J304))</f>
        <v>53906821</v>
      </c>
      <c r="W304" s="63">
        <f t="shared" si="84"/>
        <v>1230521.7309689522</v>
      </c>
      <c r="X304" s="61">
        <f t="shared" si="81"/>
        <v>1.0233600641663221</v>
      </c>
      <c r="Y304" s="145"/>
      <c r="Z304" s="196">
        <f t="shared" si="90"/>
        <v>45576</v>
      </c>
      <c r="AA304" s="197">
        <f t="shared" si="90"/>
        <v>45576</v>
      </c>
      <c r="AB304" s="1"/>
      <c r="AC304" s="1"/>
      <c r="AD304" s="1"/>
      <c r="AE304" s="1"/>
      <c r="AF304" s="145"/>
      <c r="AG304" s="198">
        <f t="shared" si="89"/>
        <v>201</v>
      </c>
      <c r="AH304" s="145"/>
      <c r="AI304" s="145"/>
      <c r="AJ304" s="145"/>
      <c r="AK304" s="145"/>
      <c r="AL304" s="145"/>
      <c r="AM304" s="145"/>
      <c r="AN304" s="145"/>
    </row>
    <row r="305" spans="1:40" ht="20">
      <c r="A305" s="145"/>
      <c r="B305" s="152"/>
      <c r="C305" s="50">
        <f t="shared" si="85"/>
        <v>286</v>
      </c>
      <c r="D305" s="51">
        <v>1</v>
      </c>
      <c r="E305" s="187" t="str">
        <f t="shared" si="78"/>
        <v>10</v>
      </c>
      <c r="F305" s="188">
        <f t="shared" si="86"/>
        <v>45577</v>
      </c>
      <c r="G305" s="189" t="str">
        <f t="shared" si="87"/>
        <v>Sat</v>
      </c>
      <c r="H305" s="190"/>
      <c r="I305" s="200"/>
      <c r="J305" s="201">
        <v>174460</v>
      </c>
      <c r="K305" s="202"/>
      <c r="L305" s="59">
        <f t="shared" si="91"/>
        <v>308048.53373702423</v>
      </c>
      <c r="M305" s="60">
        <f t="shared" si="82"/>
        <v>-133588.53373702423</v>
      </c>
      <c r="N305" s="61">
        <f t="shared" si="79"/>
        <v>0.56633932933741382</v>
      </c>
      <c r="O305" s="194"/>
      <c r="P305" s="106">
        <f>IF(D305=0,0,SUM($L$294:L305))</f>
        <v>3388533.8711072668</v>
      </c>
      <c r="Q305" s="59">
        <f>IF(D305=0,0,SUM($J$294:J305))</f>
        <v>2427590</v>
      </c>
      <c r="R305" s="63">
        <f t="shared" si="83"/>
        <v>-960943.87110726675</v>
      </c>
      <c r="S305" s="61">
        <f t="shared" si="80"/>
        <v>0.71641308375257284</v>
      </c>
      <c r="T305" s="81"/>
      <c r="U305" s="59">
        <f>IF(D305=0,0,SUM($L$20:L305))</f>
        <v>52984347.802768074</v>
      </c>
      <c r="V305" s="59">
        <f>IF(D305=0,0,SUM($J$20:J305))</f>
        <v>54081281</v>
      </c>
      <c r="W305" s="63">
        <f t="shared" si="84"/>
        <v>1096933.197231926</v>
      </c>
      <c r="X305" s="61">
        <f t="shared" si="81"/>
        <v>1.0207029668708052</v>
      </c>
      <c r="Y305" s="145"/>
      <c r="Z305" s="196">
        <f t="shared" si="90"/>
        <v>45577</v>
      </c>
      <c r="AA305" s="197">
        <f t="shared" si="90"/>
        <v>45577</v>
      </c>
      <c r="AB305" s="1"/>
      <c r="AC305" s="1"/>
      <c r="AD305" s="1"/>
      <c r="AE305" s="1"/>
      <c r="AF305" s="145"/>
      <c r="AG305" s="198">
        <f t="shared" si="89"/>
        <v>202</v>
      </c>
      <c r="AH305" s="145"/>
      <c r="AI305" s="145"/>
      <c r="AJ305" s="145"/>
      <c r="AK305" s="145"/>
      <c r="AL305" s="145"/>
      <c r="AM305" s="145"/>
      <c r="AN305" s="145"/>
    </row>
    <row r="306" spans="1:40" ht="20">
      <c r="A306" s="145"/>
      <c r="B306" s="152"/>
      <c r="C306" s="50">
        <f t="shared" si="85"/>
        <v>287</v>
      </c>
      <c r="D306" s="51">
        <v>0</v>
      </c>
      <c r="E306" s="187" t="str">
        <f t="shared" si="78"/>
        <v>10</v>
      </c>
      <c r="F306" s="188">
        <f t="shared" si="86"/>
        <v>45578</v>
      </c>
      <c r="G306" s="189" t="str">
        <f t="shared" si="87"/>
        <v>Sun</v>
      </c>
      <c r="H306" s="190" t="s">
        <v>58</v>
      </c>
      <c r="I306" s="200"/>
      <c r="J306" s="201">
        <v>0</v>
      </c>
      <c r="K306" s="202"/>
      <c r="L306" s="59">
        <f t="shared" si="91"/>
        <v>0</v>
      </c>
      <c r="M306" s="60">
        <f t="shared" si="82"/>
        <v>0</v>
      </c>
      <c r="N306" s="61" t="str">
        <f t="shared" si="79"/>
        <v>0%</v>
      </c>
      <c r="O306" s="194"/>
      <c r="P306" s="106">
        <f>IF(D306=0,0,SUM($L$294:L306))</f>
        <v>0</v>
      </c>
      <c r="Q306" s="59">
        <f>IF(D306=0,0,SUM($J$294:J306))</f>
        <v>0</v>
      </c>
      <c r="R306" s="63">
        <f t="shared" si="83"/>
        <v>0</v>
      </c>
      <c r="S306" s="61" t="str">
        <f t="shared" si="80"/>
        <v>0%</v>
      </c>
      <c r="T306" s="81"/>
      <c r="U306" s="59">
        <f>IF(D306=0,0,SUM($L$20:L306))</f>
        <v>0</v>
      </c>
      <c r="V306" s="59">
        <f>IF(D306=0,0,SUM($J$20:J306))</f>
        <v>0</v>
      </c>
      <c r="W306" s="63">
        <f t="shared" si="84"/>
        <v>0</v>
      </c>
      <c r="X306" s="61" t="str">
        <f t="shared" si="81"/>
        <v>0%</v>
      </c>
      <c r="Y306" s="145"/>
      <c r="Z306" s="196">
        <f t="shared" si="90"/>
        <v>45578</v>
      </c>
      <c r="AA306" s="197">
        <f t="shared" si="90"/>
        <v>45578</v>
      </c>
      <c r="AB306" s="1"/>
      <c r="AC306" s="1"/>
      <c r="AD306" s="1"/>
      <c r="AE306" s="1"/>
      <c r="AF306" s="145"/>
      <c r="AG306" s="198">
        <f t="shared" si="89"/>
        <v>203</v>
      </c>
      <c r="AH306" s="145"/>
      <c r="AI306" s="145"/>
      <c r="AJ306" s="145"/>
      <c r="AK306" s="145"/>
      <c r="AL306" s="145"/>
      <c r="AM306" s="145"/>
      <c r="AN306" s="145"/>
    </row>
    <row r="307" spans="1:40" ht="20">
      <c r="A307" s="145"/>
      <c r="B307" s="152"/>
      <c r="C307" s="50">
        <f t="shared" si="85"/>
        <v>288</v>
      </c>
      <c r="D307" s="51">
        <v>0</v>
      </c>
      <c r="E307" s="187" t="str">
        <f t="shared" si="78"/>
        <v>10</v>
      </c>
      <c r="F307" s="188">
        <f t="shared" si="86"/>
        <v>45579</v>
      </c>
      <c r="G307" s="189" t="str">
        <f t="shared" si="87"/>
        <v>Mon</v>
      </c>
      <c r="H307" s="190" t="s">
        <v>115</v>
      </c>
      <c r="I307" s="200"/>
      <c r="J307" s="201">
        <v>0</v>
      </c>
      <c r="K307" s="202"/>
      <c r="L307" s="59">
        <f t="shared" si="91"/>
        <v>0</v>
      </c>
      <c r="M307" s="60">
        <f t="shared" si="82"/>
        <v>0</v>
      </c>
      <c r="N307" s="61" t="str">
        <f t="shared" si="79"/>
        <v>0%</v>
      </c>
      <c r="O307" s="194"/>
      <c r="P307" s="106">
        <f>IF(D307=0,0,SUM($L$294:L307))</f>
        <v>0</v>
      </c>
      <c r="Q307" s="59">
        <f>IF(D307=0,0,SUM($J$294:J307))</f>
        <v>0</v>
      </c>
      <c r="R307" s="63">
        <f t="shared" si="83"/>
        <v>0</v>
      </c>
      <c r="S307" s="61" t="str">
        <f t="shared" si="80"/>
        <v>0%</v>
      </c>
      <c r="T307" s="80"/>
      <c r="U307" s="59">
        <f>IF(D307=0,0,SUM($L$20:L307))</f>
        <v>0</v>
      </c>
      <c r="V307" s="59">
        <f>IF(D307=0,0,SUM($J$20:J307))</f>
        <v>0</v>
      </c>
      <c r="W307" s="63">
        <f t="shared" si="84"/>
        <v>0</v>
      </c>
      <c r="X307" s="61" t="str">
        <f t="shared" si="81"/>
        <v>0%</v>
      </c>
      <c r="Y307" s="145"/>
      <c r="Z307" s="196">
        <f t="shared" si="90"/>
        <v>45579</v>
      </c>
      <c r="AA307" s="197">
        <f t="shared" si="90"/>
        <v>45579</v>
      </c>
      <c r="AB307" s="1"/>
      <c r="AC307" s="1"/>
      <c r="AD307" s="1"/>
      <c r="AE307" s="1"/>
      <c r="AF307" s="145"/>
      <c r="AG307" s="198">
        <f t="shared" si="89"/>
        <v>204</v>
      </c>
      <c r="AH307" s="145"/>
      <c r="AI307" s="145"/>
      <c r="AJ307" s="145"/>
      <c r="AK307" s="145"/>
      <c r="AL307" s="145"/>
      <c r="AM307" s="145"/>
      <c r="AN307" s="145"/>
    </row>
    <row r="308" spans="1:40" ht="20">
      <c r="A308" s="145"/>
      <c r="B308" s="152"/>
      <c r="C308" s="50">
        <f t="shared" si="85"/>
        <v>289</v>
      </c>
      <c r="D308" s="51">
        <v>1</v>
      </c>
      <c r="E308" s="187" t="str">
        <f t="shared" si="78"/>
        <v>10</v>
      </c>
      <c r="F308" s="188">
        <f t="shared" si="86"/>
        <v>45580</v>
      </c>
      <c r="G308" s="189" t="str">
        <f t="shared" si="87"/>
        <v>Tue</v>
      </c>
      <c r="H308" s="190"/>
      <c r="I308" s="200"/>
      <c r="J308" s="201">
        <v>214800</v>
      </c>
      <c r="K308" s="202"/>
      <c r="L308" s="59">
        <f t="shared" si="91"/>
        <v>308048.53373702423</v>
      </c>
      <c r="M308" s="60">
        <f t="shared" si="82"/>
        <v>-93248.533737024234</v>
      </c>
      <c r="N308" s="61">
        <f t="shared" si="79"/>
        <v>0.69729272006005094</v>
      </c>
      <c r="O308" s="194"/>
      <c r="P308" s="106">
        <f>IF(D308=0,0,SUM($L$294:L308))</f>
        <v>3696582.404844291</v>
      </c>
      <c r="Q308" s="59">
        <f>IF(D308=0,0,SUM($J$294:J308))</f>
        <v>2642390</v>
      </c>
      <c r="R308" s="63">
        <f t="shared" si="83"/>
        <v>-1054192.404844291</v>
      </c>
      <c r="S308" s="61">
        <f t="shared" si="80"/>
        <v>0.71481972011152928</v>
      </c>
      <c r="T308" s="80"/>
      <c r="U308" s="59">
        <f>IF(D308=0,0,SUM($L$20:L308))</f>
        <v>53292396.3365051</v>
      </c>
      <c r="V308" s="59">
        <f>IF(D308=0,0,SUM($J$20:J308))</f>
        <v>54296081</v>
      </c>
      <c r="W308" s="63">
        <f t="shared" si="84"/>
        <v>1003684.6634948999</v>
      </c>
      <c r="X308" s="61">
        <f t="shared" si="81"/>
        <v>1.0188335434788354</v>
      </c>
      <c r="Y308" s="145"/>
      <c r="Z308" s="196">
        <f t="shared" si="90"/>
        <v>45580</v>
      </c>
      <c r="AA308" s="197">
        <f t="shared" si="90"/>
        <v>45580</v>
      </c>
      <c r="AB308" s="1"/>
      <c r="AC308" s="1"/>
      <c r="AD308" s="1"/>
      <c r="AE308" s="1"/>
      <c r="AF308" s="145"/>
      <c r="AG308" s="198">
        <f t="shared" si="89"/>
        <v>205</v>
      </c>
      <c r="AH308" s="145"/>
      <c r="AI308" s="145"/>
      <c r="AJ308" s="145"/>
      <c r="AK308" s="145"/>
      <c r="AL308" s="145"/>
      <c r="AM308" s="145"/>
      <c r="AN308" s="145"/>
    </row>
    <row r="309" spans="1:40" ht="20">
      <c r="A309" s="145"/>
      <c r="B309" s="152"/>
      <c r="C309" s="50">
        <f t="shared" si="85"/>
        <v>290</v>
      </c>
      <c r="D309" s="51">
        <v>1</v>
      </c>
      <c r="E309" s="187" t="str">
        <f t="shared" si="78"/>
        <v>10</v>
      </c>
      <c r="F309" s="188">
        <f t="shared" si="86"/>
        <v>45581</v>
      </c>
      <c r="G309" s="189" t="str">
        <f t="shared" si="87"/>
        <v>Wed</v>
      </c>
      <c r="H309" s="190"/>
      <c r="I309" s="200"/>
      <c r="J309" s="201">
        <v>166400</v>
      </c>
      <c r="K309" s="202"/>
      <c r="L309" s="59">
        <f t="shared" si="91"/>
        <v>308048.53373702423</v>
      </c>
      <c r="M309" s="60">
        <f t="shared" si="82"/>
        <v>-141648.53373702423</v>
      </c>
      <c r="N309" s="61">
        <f t="shared" si="79"/>
        <v>0.54017462112659442</v>
      </c>
      <c r="O309" s="194"/>
      <c r="P309" s="106">
        <f>IF(D309=0,0,SUM($L$294:L309))</f>
        <v>4004630.9385813153</v>
      </c>
      <c r="Q309" s="59">
        <f>IF(D309=0,0,SUM($J$294:J309))</f>
        <v>2808790</v>
      </c>
      <c r="R309" s="63">
        <f t="shared" si="83"/>
        <v>-1195840.9385813153</v>
      </c>
      <c r="S309" s="61">
        <f t="shared" si="80"/>
        <v>0.7013854817280728</v>
      </c>
      <c r="T309" s="80"/>
      <c r="U309" s="59">
        <f>IF(D309=0,0,SUM($L$20:L309))</f>
        <v>53600444.870242126</v>
      </c>
      <c r="V309" s="59">
        <f>IF(D309=0,0,SUM($J$20:J309))</f>
        <v>54462481</v>
      </c>
      <c r="W309" s="63">
        <f t="shared" si="84"/>
        <v>862036.12975787371</v>
      </c>
      <c r="X309" s="61">
        <f t="shared" si="81"/>
        <v>1.0160826301319834</v>
      </c>
      <c r="Y309" s="145"/>
      <c r="Z309" s="196">
        <f t="shared" ref="Z309:AA324" si="92">Z308+1</f>
        <v>45581</v>
      </c>
      <c r="AA309" s="197">
        <f t="shared" si="92"/>
        <v>45581</v>
      </c>
      <c r="AB309" s="1"/>
      <c r="AC309" s="1"/>
      <c r="AD309" s="1"/>
      <c r="AE309" s="1"/>
      <c r="AF309" s="145"/>
      <c r="AG309" s="198">
        <f t="shared" si="89"/>
        <v>206</v>
      </c>
      <c r="AH309" s="145"/>
      <c r="AI309" s="145"/>
      <c r="AJ309" s="145"/>
      <c r="AK309" s="145"/>
      <c r="AL309" s="145"/>
      <c r="AM309" s="145"/>
      <c r="AN309" s="145"/>
    </row>
    <row r="310" spans="1:40" ht="20">
      <c r="A310" s="145"/>
      <c r="B310" s="152"/>
      <c r="C310" s="50">
        <f t="shared" si="85"/>
        <v>291</v>
      </c>
      <c r="D310" s="51">
        <v>1</v>
      </c>
      <c r="E310" s="187" t="str">
        <f t="shared" si="78"/>
        <v>10</v>
      </c>
      <c r="F310" s="188">
        <f t="shared" si="86"/>
        <v>45582</v>
      </c>
      <c r="G310" s="189" t="str">
        <f t="shared" si="87"/>
        <v>Thu</v>
      </c>
      <c r="H310" s="190"/>
      <c r="I310" s="200"/>
      <c r="J310" s="201">
        <v>95000</v>
      </c>
      <c r="K310" s="202"/>
      <c r="L310" s="59">
        <f t="shared" si="91"/>
        <v>308048.53373702423</v>
      </c>
      <c r="M310" s="60">
        <f t="shared" si="82"/>
        <v>-213048.53373702423</v>
      </c>
      <c r="N310" s="61">
        <f t="shared" si="79"/>
        <v>0.30839296278261097</v>
      </c>
      <c r="O310" s="194"/>
      <c r="P310" s="106">
        <f>IF(D310=0,0,SUM($L$294:L310))</f>
        <v>4312679.4723183392</v>
      </c>
      <c r="Q310" s="59">
        <f>IF(D310=0,0,SUM($J$294:J310))</f>
        <v>2903790</v>
      </c>
      <c r="R310" s="63">
        <f t="shared" si="83"/>
        <v>-1408889.4723183392</v>
      </c>
      <c r="S310" s="61">
        <f t="shared" si="80"/>
        <v>0.67331458751768269</v>
      </c>
      <c r="T310" s="80"/>
      <c r="U310" s="59">
        <f>IF(D310=0,0,SUM($L$20:L310))</f>
        <v>53908493.403979152</v>
      </c>
      <c r="V310" s="59">
        <f>IF(D310=0,0,SUM($J$20:J310))</f>
        <v>54557481</v>
      </c>
      <c r="W310" s="63">
        <f t="shared" si="84"/>
        <v>648987.59602084756</v>
      </c>
      <c r="X310" s="61">
        <f t="shared" si="81"/>
        <v>1.0120386891757012</v>
      </c>
      <c r="Y310" s="145"/>
      <c r="Z310" s="196">
        <f t="shared" si="92"/>
        <v>45582</v>
      </c>
      <c r="AA310" s="197">
        <f t="shared" si="92"/>
        <v>45582</v>
      </c>
      <c r="AB310" s="1"/>
      <c r="AC310" s="1"/>
      <c r="AD310" s="1"/>
      <c r="AE310" s="1"/>
      <c r="AF310" s="145"/>
      <c r="AG310" s="198">
        <f t="shared" si="89"/>
        <v>207</v>
      </c>
      <c r="AH310" s="145"/>
      <c r="AI310" s="145"/>
      <c r="AJ310" s="145"/>
      <c r="AK310" s="145"/>
      <c r="AL310" s="145"/>
      <c r="AM310" s="145"/>
      <c r="AN310" s="145"/>
    </row>
    <row r="311" spans="1:40" ht="20">
      <c r="A311" s="145"/>
      <c r="B311" s="152"/>
      <c r="C311" s="50">
        <f t="shared" si="85"/>
        <v>292</v>
      </c>
      <c r="D311" s="51">
        <v>1</v>
      </c>
      <c r="E311" s="187" t="str">
        <f t="shared" si="78"/>
        <v>10</v>
      </c>
      <c r="F311" s="188">
        <f t="shared" si="86"/>
        <v>45583</v>
      </c>
      <c r="G311" s="189" t="str">
        <f t="shared" si="87"/>
        <v>Fri</v>
      </c>
      <c r="H311" s="190"/>
      <c r="I311" s="200"/>
      <c r="J311" s="201">
        <v>148400</v>
      </c>
      <c r="K311" s="202"/>
      <c r="L311" s="59">
        <f t="shared" si="91"/>
        <v>308048.53373702423</v>
      </c>
      <c r="M311" s="60">
        <f t="shared" si="82"/>
        <v>-159648.53373702423</v>
      </c>
      <c r="N311" s="61">
        <f t="shared" si="79"/>
        <v>0.48174227028357336</v>
      </c>
      <c r="O311" s="194"/>
      <c r="P311" s="106">
        <f>IF(D311=0,0,SUM($L$294:L311))</f>
        <v>4620728.0060553635</v>
      </c>
      <c r="Q311" s="59">
        <f>IF(D311=0,0,SUM($J$294:J311))</f>
        <v>3052190</v>
      </c>
      <c r="R311" s="63">
        <f t="shared" si="83"/>
        <v>-1568538.0060553635</v>
      </c>
      <c r="S311" s="61">
        <f t="shared" si="80"/>
        <v>0.66054309970207536</v>
      </c>
      <c r="T311" s="80"/>
      <c r="U311" s="59">
        <f>IF(D311=0,0,SUM($L$20:L311))</f>
        <v>54216541.937716179</v>
      </c>
      <c r="V311" s="59">
        <f>IF(D311=0,0,SUM($J$20:J311))</f>
        <v>54705881</v>
      </c>
      <c r="W311" s="63">
        <f t="shared" si="84"/>
        <v>489339.0622838214</v>
      </c>
      <c r="X311" s="61">
        <f t="shared" si="81"/>
        <v>1.009025641341087</v>
      </c>
      <c r="Y311" s="145"/>
      <c r="Z311" s="196">
        <f t="shared" si="92"/>
        <v>45583</v>
      </c>
      <c r="AA311" s="197">
        <f t="shared" si="92"/>
        <v>45583</v>
      </c>
      <c r="AB311" s="1"/>
      <c r="AC311" s="1"/>
      <c r="AD311" s="1"/>
      <c r="AE311" s="1"/>
      <c r="AF311" s="145"/>
      <c r="AG311" s="198">
        <f t="shared" si="89"/>
        <v>208</v>
      </c>
      <c r="AH311" s="145"/>
      <c r="AI311" s="145"/>
      <c r="AJ311" s="145"/>
      <c r="AK311" s="145"/>
      <c r="AL311" s="145"/>
      <c r="AM311" s="145"/>
      <c r="AN311" s="145"/>
    </row>
    <row r="312" spans="1:40" ht="20">
      <c r="A312" s="145"/>
      <c r="B312" s="152"/>
      <c r="C312" s="50">
        <f t="shared" si="85"/>
        <v>293</v>
      </c>
      <c r="D312" s="51">
        <v>1</v>
      </c>
      <c r="E312" s="187" t="str">
        <f t="shared" si="78"/>
        <v>10</v>
      </c>
      <c r="F312" s="188">
        <f t="shared" si="86"/>
        <v>45584</v>
      </c>
      <c r="G312" s="189" t="str">
        <f t="shared" si="87"/>
        <v>Sat</v>
      </c>
      <c r="H312" s="190"/>
      <c r="I312" s="200"/>
      <c r="J312" s="201">
        <v>105860</v>
      </c>
      <c r="K312" s="202"/>
      <c r="L312" s="59">
        <f t="shared" si="91"/>
        <v>308048.53373702423</v>
      </c>
      <c r="M312" s="60">
        <f t="shared" si="82"/>
        <v>-202188.53373702423</v>
      </c>
      <c r="N312" s="61">
        <f t="shared" si="79"/>
        <v>0.34364714779123368</v>
      </c>
      <c r="O312" s="194"/>
      <c r="P312" s="106">
        <f>IF(D312=0,0,SUM($L$294:L312))</f>
        <v>4928776.5397923877</v>
      </c>
      <c r="Q312" s="59">
        <f>IF(D312=0,0,SUM($J$294:J312))</f>
        <v>3158050</v>
      </c>
      <c r="R312" s="63">
        <f t="shared" si="83"/>
        <v>-1770726.5397923877</v>
      </c>
      <c r="S312" s="61">
        <f t="shared" si="80"/>
        <v>0.64073710270764783</v>
      </c>
      <c r="T312" s="81"/>
      <c r="U312" s="59">
        <f>IF(D312=0,0,SUM($L$20:L312))</f>
        <v>54524590.471453205</v>
      </c>
      <c r="V312" s="59">
        <f>IF(D312=0,0,SUM($J$20:J312))</f>
        <v>54811741</v>
      </c>
      <c r="W312" s="63">
        <f t="shared" si="84"/>
        <v>287150.52854679525</v>
      </c>
      <c r="X312" s="61">
        <f t="shared" si="81"/>
        <v>1.0052664408125567</v>
      </c>
      <c r="Y312" s="145"/>
      <c r="Z312" s="196">
        <f t="shared" si="92"/>
        <v>45584</v>
      </c>
      <c r="AA312" s="197">
        <f t="shared" si="92"/>
        <v>45584</v>
      </c>
      <c r="AB312" s="1"/>
      <c r="AC312" s="1"/>
      <c r="AD312" s="1"/>
      <c r="AE312" s="1"/>
      <c r="AF312" s="145"/>
      <c r="AG312" s="198">
        <f t="shared" si="89"/>
        <v>209</v>
      </c>
      <c r="AH312" s="145"/>
      <c r="AI312" s="145"/>
      <c r="AJ312" s="145"/>
      <c r="AK312" s="145"/>
      <c r="AL312" s="145"/>
      <c r="AM312" s="145"/>
      <c r="AN312" s="145"/>
    </row>
    <row r="313" spans="1:40" ht="20">
      <c r="A313" s="145"/>
      <c r="B313" s="152"/>
      <c r="C313" s="50">
        <f t="shared" si="85"/>
        <v>294</v>
      </c>
      <c r="D313" s="51">
        <v>0</v>
      </c>
      <c r="E313" s="187" t="str">
        <f t="shared" si="78"/>
        <v>10</v>
      </c>
      <c r="F313" s="188">
        <f t="shared" si="86"/>
        <v>45585</v>
      </c>
      <c r="G313" s="189" t="str">
        <f t="shared" si="87"/>
        <v>Sun</v>
      </c>
      <c r="H313" s="190" t="s">
        <v>58</v>
      </c>
      <c r="I313" s="200"/>
      <c r="J313" s="201">
        <v>0</v>
      </c>
      <c r="K313" s="202"/>
      <c r="L313" s="59">
        <f t="shared" si="91"/>
        <v>0</v>
      </c>
      <c r="M313" s="60">
        <f t="shared" si="82"/>
        <v>0</v>
      </c>
      <c r="N313" s="61" t="str">
        <f t="shared" si="79"/>
        <v>0%</v>
      </c>
      <c r="O313" s="194"/>
      <c r="P313" s="106">
        <f>IF(D313=0,0,SUM($L$294:L313))</f>
        <v>0</v>
      </c>
      <c r="Q313" s="59">
        <f>IF(D313=0,0,SUM($J$294:J313))</f>
        <v>0</v>
      </c>
      <c r="R313" s="63">
        <f t="shared" si="83"/>
        <v>0</v>
      </c>
      <c r="S313" s="61" t="str">
        <f t="shared" si="80"/>
        <v>0%</v>
      </c>
      <c r="T313" s="80"/>
      <c r="U313" s="59">
        <f>IF(D313=0,0,SUM($L$20:L313))</f>
        <v>0</v>
      </c>
      <c r="V313" s="59">
        <f>IF(D313=0,0,SUM($J$20:J313))</f>
        <v>0</v>
      </c>
      <c r="W313" s="63">
        <f t="shared" si="84"/>
        <v>0</v>
      </c>
      <c r="X313" s="61" t="str">
        <f t="shared" si="81"/>
        <v>0%</v>
      </c>
      <c r="Y313" s="145"/>
      <c r="Z313" s="196">
        <f t="shared" si="92"/>
        <v>45585</v>
      </c>
      <c r="AA313" s="197">
        <f t="shared" si="92"/>
        <v>45585</v>
      </c>
      <c r="AB313" s="1"/>
      <c r="AC313" s="1"/>
      <c r="AD313" s="1"/>
      <c r="AE313" s="1"/>
      <c r="AF313" s="145"/>
      <c r="AG313" s="198">
        <f t="shared" si="89"/>
        <v>210</v>
      </c>
      <c r="AH313" s="145"/>
      <c r="AI313" s="145"/>
      <c r="AJ313" s="145"/>
      <c r="AK313" s="145"/>
      <c r="AL313" s="145"/>
      <c r="AM313" s="145"/>
      <c r="AN313" s="145"/>
    </row>
    <row r="314" spans="1:40" ht="20">
      <c r="A314" s="145"/>
      <c r="B314" s="152"/>
      <c r="C314" s="50">
        <f t="shared" si="85"/>
        <v>295</v>
      </c>
      <c r="D314" s="51">
        <v>1</v>
      </c>
      <c r="E314" s="187" t="str">
        <f t="shared" si="78"/>
        <v>10</v>
      </c>
      <c r="F314" s="188">
        <f t="shared" si="86"/>
        <v>45586</v>
      </c>
      <c r="G314" s="189" t="str">
        <f t="shared" si="87"/>
        <v>Mon</v>
      </c>
      <c r="H314" s="190"/>
      <c r="I314" s="200"/>
      <c r="J314" s="201">
        <v>234050</v>
      </c>
      <c r="K314" s="202"/>
      <c r="L314" s="59">
        <f t="shared" si="91"/>
        <v>308048.53373702423</v>
      </c>
      <c r="M314" s="60">
        <f t="shared" si="82"/>
        <v>-73998.533737024234</v>
      </c>
      <c r="N314" s="61">
        <f t="shared" si="79"/>
        <v>0.7597828730449484</v>
      </c>
      <c r="O314" s="194"/>
      <c r="P314" s="106">
        <f>IF(D314=0,0,SUM($L$294:L314))</f>
        <v>5236825.073529412</v>
      </c>
      <c r="Q314" s="59">
        <f>IF(D314=0,0,SUM($J$294:J314))</f>
        <v>3392100</v>
      </c>
      <c r="R314" s="63">
        <f t="shared" si="83"/>
        <v>-1844725.073529412</v>
      </c>
      <c r="S314" s="61">
        <f t="shared" si="80"/>
        <v>0.64773979508043011</v>
      </c>
      <c r="T314" s="80"/>
      <c r="U314" s="59">
        <f>IF(D314=0,0,SUM($L$20:L314))</f>
        <v>54832639.005190231</v>
      </c>
      <c r="V314" s="59">
        <f>IF(D314=0,0,SUM($J$20:J314))</f>
        <v>55045791</v>
      </c>
      <c r="W314" s="63">
        <f t="shared" si="84"/>
        <v>213151.99480976909</v>
      </c>
      <c r="X314" s="61">
        <f t="shared" si="81"/>
        <v>1.0038873196453229</v>
      </c>
      <c r="Y314" s="145"/>
      <c r="Z314" s="196">
        <f t="shared" si="92"/>
        <v>45586</v>
      </c>
      <c r="AA314" s="197">
        <f t="shared" si="92"/>
        <v>45586</v>
      </c>
      <c r="AB314" s="1"/>
      <c r="AC314" s="1"/>
      <c r="AD314" s="1"/>
      <c r="AE314" s="1"/>
      <c r="AF314" s="145"/>
      <c r="AG314" s="198">
        <f t="shared" si="89"/>
        <v>211</v>
      </c>
      <c r="AH314" s="145"/>
      <c r="AI314" s="145"/>
      <c r="AJ314" s="145"/>
      <c r="AK314" s="145"/>
      <c r="AL314" s="145"/>
      <c r="AM314" s="145"/>
      <c r="AN314" s="145"/>
    </row>
    <row r="315" spans="1:40" ht="20">
      <c r="A315" s="145"/>
      <c r="B315" s="152"/>
      <c r="C315" s="50">
        <f t="shared" si="85"/>
        <v>296</v>
      </c>
      <c r="D315" s="51">
        <v>1</v>
      </c>
      <c r="E315" s="187" t="str">
        <f t="shared" si="78"/>
        <v>10</v>
      </c>
      <c r="F315" s="188">
        <f t="shared" si="86"/>
        <v>45587</v>
      </c>
      <c r="G315" s="189" t="str">
        <f t="shared" si="87"/>
        <v>Tue</v>
      </c>
      <c r="H315" s="190"/>
      <c r="I315" s="200"/>
      <c r="J315" s="201">
        <v>173600</v>
      </c>
      <c r="K315" s="202"/>
      <c r="L315" s="59">
        <f t="shared" si="91"/>
        <v>308048.53373702423</v>
      </c>
      <c r="M315" s="60">
        <f t="shared" si="82"/>
        <v>-134448.53373702423</v>
      </c>
      <c r="N315" s="61">
        <f t="shared" si="79"/>
        <v>0.5635475614638028</v>
      </c>
      <c r="O315" s="194"/>
      <c r="P315" s="106">
        <f>IF(D315=0,0,SUM($L$294:L315))</f>
        <v>5544873.6072664363</v>
      </c>
      <c r="Q315" s="59">
        <f>IF(D315=0,0,SUM($J$294:J315))</f>
        <v>3565700</v>
      </c>
      <c r="R315" s="63">
        <f t="shared" si="83"/>
        <v>-1979173.6072664363</v>
      </c>
      <c r="S315" s="61">
        <f t="shared" si="80"/>
        <v>0.64306244876839536</v>
      </c>
      <c r="T315" s="80"/>
      <c r="U315" s="59">
        <f>IF(D315=0,0,SUM($L$20:L315))</f>
        <v>55140687.538927257</v>
      </c>
      <c r="V315" s="59">
        <f>IF(D315=0,0,SUM($J$20:J315))</f>
        <v>55219391</v>
      </c>
      <c r="W315" s="63">
        <f t="shared" si="84"/>
        <v>78703.461072742939</v>
      </c>
      <c r="X315" s="61">
        <f t="shared" si="81"/>
        <v>1.0014273209962641</v>
      </c>
      <c r="Y315" s="145"/>
      <c r="Z315" s="196">
        <f t="shared" si="92"/>
        <v>45587</v>
      </c>
      <c r="AA315" s="197">
        <f t="shared" si="92"/>
        <v>45587</v>
      </c>
      <c r="AB315" s="1"/>
      <c r="AC315" s="1"/>
      <c r="AD315" s="1"/>
      <c r="AE315" s="1"/>
      <c r="AF315" s="145"/>
      <c r="AG315" s="198">
        <f t="shared" si="89"/>
        <v>212</v>
      </c>
      <c r="AH315" s="145"/>
      <c r="AI315" s="145"/>
      <c r="AJ315" s="145"/>
      <c r="AK315" s="145"/>
      <c r="AL315" s="145"/>
      <c r="AM315" s="145"/>
      <c r="AN315" s="145"/>
    </row>
    <row r="316" spans="1:40" ht="20">
      <c r="A316" s="145"/>
      <c r="B316" s="152"/>
      <c r="C316" s="50">
        <f t="shared" si="85"/>
        <v>297</v>
      </c>
      <c r="D316" s="51">
        <v>1</v>
      </c>
      <c r="E316" s="187" t="str">
        <f t="shared" si="78"/>
        <v>10</v>
      </c>
      <c r="F316" s="188">
        <f t="shared" si="86"/>
        <v>45588</v>
      </c>
      <c r="G316" s="189" t="str">
        <f t="shared" si="87"/>
        <v>Wed</v>
      </c>
      <c r="H316" s="190"/>
      <c r="I316" s="200"/>
      <c r="J316" s="201">
        <v>330800</v>
      </c>
      <c r="K316" s="202"/>
      <c r="L316" s="59">
        <f t="shared" si="91"/>
        <v>308048.53373702423</v>
      </c>
      <c r="M316" s="60">
        <f t="shared" si="82"/>
        <v>22751.466262975766</v>
      </c>
      <c r="N316" s="61">
        <f t="shared" si="79"/>
        <v>1.0738567588261865</v>
      </c>
      <c r="O316" s="194"/>
      <c r="P316" s="106">
        <f>IF(D316=0,0,SUM($L$294:L316))</f>
        <v>5852922.1410034606</v>
      </c>
      <c r="Q316" s="59">
        <f>IF(D316=0,0,SUM($J$294:J316))</f>
        <v>3896500</v>
      </c>
      <c r="R316" s="63">
        <f t="shared" si="83"/>
        <v>-1956422.1410034606</v>
      </c>
      <c r="S316" s="61">
        <f t="shared" si="80"/>
        <v>0.66573583350827903</v>
      </c>
      <c r="T316" s="80"/>
      <c r="U316" s="59">
        <f>IF(D316=0,0,SUM($L$20:L316))</f>
        <v>55448736.072664283</v>
      </c>
      <c r="V316" s="59">
        <f>IF(D316=0,0,SUM($J$20:J316))</f>
        <v>55550191</v>
      </c>
      <c r="W316" s="63">
        <f t="shared" si="84"/>
        <v>101454.92733571678</v>
      </c>
      <c r="X316" s="61">
        <f t="shared" si="81"/>
        <v>1.0018297067619857</v>
      </c>
      <c r="Y316" s="145"/>
      <c r="Z316" s="196">
        <f t="shared" si="92"/>
        <v>45588</v>
      </c>
      <c r="AA316" s="197">
        <f t="shared" si="92"/>
        <v>45588</v>
      </c>
      <c r="AB316" s="1"/>
      <c r="AC316" s="1"/>
      <c r="AD316" s="1"/>
      <c r="AE316" s="1"/>
      <c r="AF316" s="145"/>
      <c r="AG316" s="198">
        <f t="shared" si="89"/>
        <v>213</v>
      </c>
      <c r="AH316" s="145"/>
      <c r="AI316" s="145"/>
      <c r="AJ316" s="145"/>
      <c r="AK316" s="145"/>
      <c r="AL316" s="145"/>
      <c r="AM316" s="145"/>
      <c r="AN316" s="145"/>
    </row>
    <row r="317" spans="1:40" ht="20">
      <c r="A317" s="145"/>
      <c r="B317" s="152"/>
      <c r="C317" s="50">
        <f t="shared" si="85"/>
        <v>298</v>
      </c>
      <c r="D317" s="51">
        <v>1</v>
      </c>
      <c r="E317" s="187" t="str">
        <f t="shared" si="78"/>
        <v>10</v>
      </c>
      <c r="F317" s="188">
        <f t="shared" si="86"/>
        <v>45589</v>
      </c>
      <c r="G317" s="189" t="str">
        <f t="shared" si="87"/>
        <v>Thu</v>
      </c>
      <c r="H317" s="190"/>
      <c r="I317" s="200"/>
      <c r="J317" s="201">
        <v>279200</v>
      </c>
      <c r="K317" s="202"/>
      <c r="L317" s="59">
        <f t="shared" si="91"/>
        <v>308048.53373702423</v>
      </c>
      <c r="M317" s="60">
        <f t="shared" si="82"/>
        <v>-28848.533737024234</v>
      </c>
      <c r="N317" s="61">
        <f t="shared" si="79"/>
        <v>0.90635068640952621</v>
      </c>
      <c r="O317" s="194"/>
      <c r="P317" s="106">
        <f>IF(D317=0,0,SUM($L$294:L317))</f>
        <v>6160970.6747404849</v>
      </c>
      <c r="Q317" s="59">
        <f>IF(D317=0,0,SUM($J$294:J317))</f>
        <v>4175700</v>
      </c>
      <c r="R317" s="63">
        <f t="shared" si="83"/>
        <v>-1985270.6747404849</v>
      </c>
      <c r="S317" s="61">
        <f t="shared" si="80"/>
        <v>0.67776657615334135</v>
      </c>
      <c r="T317" s="80"/>
      <c r="U317" s="59">
        <f>IF(D317=0,0,SUM($L$20:L317))</f>
        <v>55756784.606401309</v>
      </c>
      <c r="V317" s="59">
        <f>IF(D317=0,0,SUM($J$20:J317))</f>
        <v>55829391</v>
      </c>
      <c r="W317" s="63">
        <f t="shared" si="84"/>
        <v>72606.393598690629</v>
      </c>
      <c r="X317" s="61">
        <f t="shared" si="81"/>
        <v>1.0013021983622483</v>
      </c>
      <c r="Y317" s="145"/>
      <c r="Z317" s="196">
        <f t="shared" si="92"/>
        <v>45589</v>
      </c>
      <c r="AA317" s="197">
        <f t="shared" si="92"/>
        <v>45589</v>
      </c>
      <c r="AB317" s="1"/>
      <c r="AC317" s="1"/>
      <c r="AD317" s="1"/>
      <c r="AE317" s="1"/>
      <c r="AF317" s="145"/>
      <c r="AG317" s="198">
        <f t="shared" si="89"/>
        <v>214</v>
      </c>
      <c r="AH317" s="145"/>
      <c r="AI317" s="145"/>
      <c r="AJ317" s="145"/>
      <c r="AK317" s="145"/>
      <c r="AL317" s="145"/>
      <c r="AM317" s="145"/>
      <c r="AN317" s="145"/>
    </row>
    <row r="318" spans="1:40" ht="20">
      <c r="A318" s="145"/>
      <c r="B318" s="152"/>
      <c r="C318" s="50">
        <f t="shared" si="85"/>
        <v>299</v>
      </c>
      <c r="D318" s="51">
        <v>1</v>
      </c>
      <c r="E318" s="187" t="str">
        <f t="shared" si="78"/>
        <v>10</v>
      </c>
      <c r="F318" s="188">
        <f t="shared" si="86"/>
        <v>45590</v>
      </c>
      <c r="G318" s="189" t="str">
        <f t="shared" si="87"/>
        <v>Fri</v>
      </c>
      <c r="H318" s="190"/>
      <c r="I318" s="200"/>
      <c r="J318" s="201">
        <v>356530</v>
      </c>
      <c r="K318" s="202"/>
      <c r="L318" s="59">
        <f t="shared" si="91"/>
        <v>308048.53373702423</v>
      </c>
      <c r="M318" s="60">
        <f t="shared" si="82"/>
        <v>48481.466262975766</v>
      </c>
      <c r="N318" s="61">
        <f t="shared" si="79"/>
        <v>1.1573825581145716</v>
      </c>
      <c r="O318" s="194"/>
      <c r="P318" s="106">
        <f>IF(D318=0,0,SUM($L$294:L318))</f>
        <v>6469019.2084775092</v>
      </c>
      <c r="Q318" s="59">
        <f>IF(D318=0,0,SUM($J$294:J318))</f>
        <v>4532230</v>
      </c>
      <c r="R318" s="63">
        <f t="shared" si="83"/>
        <v>-1936789.2084775092</v>
      </c>
      <c r="S318" s="61">
        <f t="shared" si="80"/>
        <v>0.70060543243720952</v>
      </c>
      <c r="T318" s="80"/>
      <c r="U318" s="59">
        <f>IF(D318=0,0,SUM($L$20:L318))</f>
        <v>56064833.140138336</v>
      </c>
      <c r="V318" s="59">
        <f>IF(D318=0,0,SUM($J$20:J318))</f>
        <v>56185921</v>
      </c>
      <c r="W318" s="63">
        <f t="shared" si="84"/>
        <v>121087.85986166447</v>
      </c>
      <c r="X318" s="61">
        <f t="shared" si="81"/>
        <v>1.0021597827564919</v>
      </c>
      <c r="Y318" s="145"/>
      <c r="Z318" s="196">
        <f t="shared" si="92"/>
        <v>45590</v>
      </c>
      <c r="AA318" s="197">
        <f t="shared" si="92"/>
        <v>45590</v>
      </c>
      <c r="AB318" s="1"/>
      <c r="AC318" s="1"/>
      <c r="AD318" s="1"/>
      <c r="AE318" s="1"/>
      <c r="AF318" s="145"/>
      <c r="AG318" s="198">
        <f t="shared" si="89"/>
        <v>215</v>
      </c>
      <c r="AH318" s="145"/>
      <c r="AI318" s="145"/>
      <c r="AJ318" s="145"/>
      <c r="AK318" s="145"/>
      <c r="AL318" s="145"/>
      <c r="AM318" s="145"/>
      <c r="AN318" s="145"/>
    </row>
    <row r="319" spans="1:40" ht="20">
      <c r="A319" s="145"/>
      <c r="B319" s="152"/>
      <c r="C319" s="50">
        <f t="shared" si="85"/>
        <v>300</v>
      </c>
      <c r="D319" s="51">
        <v>1</v>
      </c>
      <c r="E319" s="187" t="str">
        <f t="shared" si="78"/>
        <v>10</v>
      </c>
      <c r="F319" s="188">
        <f t="shared" si="86"/>
        <v>45591</v>
      </c>
      <c r="G319" s="189" t="str">
        <f t="shared" si="87"/>
        <v>Sat</v>
      </c>
      <c r="H319" s="190"/>
      <c r="I319" s="200"/>
      <c r="J319" s="201">
        <v>187950</v>
      </c>
      <c r="K319" s="202"/>
      <c r="L319" s="59">
        <f t="shared" si="91"/>
        <v>308048.53373702423</v>
      </c>
      <c r="M319" s="60">
        <f t="shared" si="82"/>
        <v>-120098.53373702423</v>
      </c>
      <c r="N319" s="61">
        <f t="shared" si="79"/>
        <v>0.6101311300525446</v>
      </c>
      <c r="O319" s="194"/>
      <c r="P319" s="106">
        <f>IF(D319=0,0,SUM($L$294:L319))</f>
        <v>6777067.7422145335</v>
      </c>
      <c r="Q319" s="59">
        <f>IF(D319=0,0,SUM($J$294:J319))</f>
        <v>4720180</v>
      </c>
      <c r="R319" s="63">
        <f t="shared" si="83"/>
        <v>-2056887.7422145335</v>
      </c>
      <c r="S319" s="61">
        <f t="shared" si="80"/>
        <v>0.69649296414699746</v>
      </c>
      <c r="T319" s="81"/>
      <c r="U319" s="59">
        <f>IF(D319=0,0,SUM($L$20:L319))</f>
        <v>56372881.673875362</v>
      </c>
      <c r="V319" s="59">
        <f>IF(D319=0,0,SUM($J$20:J319))</f>
        <v>56373871</v>
      </c>
      <c r="W319" s="63">
        <f t="shared" si="84"/>
        <v>989.32612463831902</v>
      </c>
      <c r="X319" s="61">
        <f t="shared" si="81"/>
        <v>1.0000175496816068</v>
      </c>
      <c r="Y319" s="145"/>
      <c r="Z319" s="196">
        <f t="shared" si="92"/>
        <v>45591</v>
      </c>
      <c r="AA319" s="197">
        <f t="shared" si="92"/>
        <v>45591</v>
      </c>
      <c r="AB319" s="1"/>
      <c r="AC319" s="1"/>
      <c r="AD319" s="1"/>
      <c r="AE319" s="1"/>
      <c r="AF319" s="145"/>
      <c r="AG319" s="198">
        <f t="shared" si="89"/>
        <v>216</v>
      </c>
      <c r="AH319" s="145"/>
      <c r="AI319" s="145"/>
      <c r="AJ319" s="145"/>
      <c r="AK319" s="145"/>
      <c r="AL319" s="145"/>
      <c r="AM319" s="145"/>
      <c r="AN319" s="145"/>
    </row>
    <row r="320" spans="1:40" ht="20">
      <c r="A320" s="145"/>
      <c r="B320" s="152"/>
      <c r="C320" s="50">
        <f t="shared" si="85"/>
        <v>301</v>
      </c>
      <c r="D320" s="51">
        <v>0</v>
      </c>
      <c r="E320" s="187" t="str">
        <f t="shared" si="78"/>
        <v>10</v>
      </c>
      <c r="F320" s="188">
        <f t="shared" si="86"/>
        <v>45592</v>
      </c>
      <c r="G320" s="189" t="str">
        <f t="shared" si="87"/>
        <v>Sun</v>
      </c>
      <c r="H320" s="190" t="s">
        <v>58</v>
      </c>
      <c r="I320" s="200"/>
      <c r="J320" s="201">
        <v>0</v>
      </c>
      <c r="K320" s="202"/>
      <c r="L320" s="59">
        <f t="shared" si="91"/>
        <v>0</v>
      </c>
      <c r="M320" s="60">
        <f t="shared" si="82"/>
        <v>0</v>
      </c>
      <c r="N320" s="61" t="str">
        <f t="shared" si="79"/>
        <v>0%</v>
      </c>
      <c r="O320" s="194"/>
      <c r="P320" s="106">
        <f>IF(D320=0,0,SUM($L$294:L320))</f>
        <v>0</v>
      </c>
      <c r="Q320" s="59">
        <f>IF(D320=0,0,SUM($J$294:J320))</f>
        <v>0</v>
      </c>
      <c r="R320" s="63">
        <f t="shared" si="83"/>
        <v>0</v>
      </c>
      <c r="S320" s="61" t="str">
        <f t="shared" si="80"/>
        <v>0%</v>
      </c>
      <c r="T320" s="80"/>
      <c r="U320" s="59">
        <f>IF(D320=0,0,SUM($L$20:L320))</f>
        <v>0</v>
      </c>
      <c r="V320" s="59">
        <f>IF(D320=0,0,SUM($J$20:J320))</f>
        <v>0</v>
      </c>
      <c r="W320" s="63">
        <f t="shared" si="84"/>
        <v>0</v>
      </c>
      <c r="X320" s="61" t="str">
        <f t="shared" si="81"/>
        <v>0%</v>
      </c>
      <c r="Y320" s="145"/>
      <c r="Z320" s="196">
        <f t="shared" si="92"/>
        <v>45592</v>
      </c>
      <c r="AA320" s="197">
        <f t="shared" si="92"/>
        <v>45592</v>
      </c>
      <c r="AB320" s="1"/>
      <c r="AC320" s="1"/>
      <c r="AD320" s="1"/>
      <c r="AE320" s="1"/>
      <c r="AF320" s="145"/>
      <c r="AG320" s="198">
        <f t="shared" si="89"/>
        <v>217</v>
      </c>
      <c r="AH320" s="145"/>
      <c r="AI320" s="145"/>
      <c r="AJ320" s="145"/>
      <c r="AK320" s="145"/>
      <c r="AL320" s="145"/>
      <c r="AM320" s="145"/>
      <c r="AN320" s="145"/>
    </row>
    <row r="321" spans="1:40" ht="20">
      <c r="A321" s="145"/>
      <c r="B321" s="152"/>
      <c r="C321" s="50">
        <f t="shared" si="85"/>
        <v>302</v>
      </c>
      <c r="D321" s="51">
        <v>1</v>
      </c>
      <c r="E321" s="187" t="str">
        <f t="shared" si="78"/>
        <v>10</v>
      </c>
      <c r="F321" s="188">
        <f t="shared" si="86"/>
        <v>45593</v>
      </c>
      <c r="G321" s="189" t="str">
        <f t="shared" si="87"/>
        <v>Mon</v>
      </c>
      <c r="H321" s="190"/>
      <c r="I321" s="200"/>
      <c r="J321" s="201">
        <v>177200</v>
      </c>
      <c r="K321" s="202"/>
      <c r="L321" s="59">
        <f t="shared" si="91"/>
        <v>308048.53373702423</v>
      </c>
      <c r="M321" s="60">
        <f t="shared" si="82"/>
        <v>-130848.53373702423</v>
      </c>
      <c r="N321" s="61">
        <f t="shared" si="79"/>
        <v>0.57523403163240705</v>
      </c>
      <c r="O321" s="194"/>
      <c r="P321" s="106">
        <f>IF(D321=0,0,SUM($L$294:L321))</f>
        <v>7085116.2759515578</v>
      </c>
      <c r="Q321" s="59">
        <f>IF(D321=0,0,SUM($J$294:J321))</f>
        <v>4897380</v>
      </c>
      <c r="R321" s="63">
        <f t="shared" si="83"/>
        <v>-2187736.2759515578</v>
      </c>
      <c r="S321" s="61">
        <f t="shared" si="80"/>
        <v>0.69122083664636302</v>
      </c>
      <c r="T321" s="80"/>
      <c r="U321" s="59">
        <f>IF(D321=0,0,SUM($L$20:L321))</f>
        <v>56680930.207612388</v>
      </c>
      <c r="V321" s="59">
        <f>IF(D321=0,0,SUM($J$20:J321))</f>
        <v>56551071</v>
      </c>
      <c r="W321" s="63">
        <f t="shared" si="84"/>
        <v>-129859.20761238784</v>
      </c>
      <c r="X321" s="61">
        <f t="shared" si="81"/>
        <v>0.99770894360525253</v>
      </c>
      <c r="Y321" s="145"/>
      <c r="Z321" s="196">
        <f t="shared" si="92"/>
        <v>45593</v>
      </c>
      <c r="AA321" s="197">
        <f t="shared" si="92"/>
        <v>45593</v>
      </c>
      <c r="AB321" s="1"/>
      <c r="AC321" s="1"/>
      <c r="AD321" s="1"/>
      <c r="AE321" s="1"/>
      <c r="AF321" s="145"/>
      <c r="AG321" s="198">
        <f t="shared" si="89"/>
        <v>218</v>
      </c>
      <c r="AH321" s="145"/>
      <c r="AI321" s="145"/>
      <c r="AJ321" s="145"/>
      <c r="AK321" s="145"/>
      <c r="AL321" s="145"/>
      <c r="AM321" s="145"/>
      <c r="AN321" s="145"/>
    </row>
    <row r="322" spans="1:40" ht="20">
      <c r="A322" s="145"/>
      <c r="B322" s="152"/>
      <c r="C322" s="50">
        <f t="shared" si="85"/>
        <v>303</v>
      </c>
      <c r="D322" s="51">
        <v>1</v>
      </c>
      <c r="E322" s="187" t="str">
        <f t="shared" si="78"/>
        <v>10</v>
      </c>
      <c r="F322" s="188">
        <f t="shared" si="86"/>
        <v>45594</v>
      </c>
      <c r="G322" s="189" t="str">
        <f t="shared" si="87"/>
        <v>Tue</v>
      </c>
      <c r="H322" s="190"/>
      <c r="I322" s="200"/>
      <c r="J322" s="201">
        <v>163850</v>
      </c>
      <c r="K322" s="202"/>
      <c r="L322" s="59">
        <f t="shared" si="91"/>
        <v>308048.53373702423</v>
      </c>
      <c r="M322" s="60">
        <f t="shared" si="82"/>
        <v>-144198.53373702423</v>
      </c>
      <c r="N322" s="61">
        <f t="shared" si="79"/>
        <v>0.53189670475716644</v>
      </c>
      <c r="O322" s="194"/>
      <c r="P322" s="106">
        <f>IF(D322=0,0,SUM($L$294:L322))</f>
        <v>7393164.8096885821</v>
      </c>
      <c r="Q322" s="59">
        <f>IF(D322=0,0,SUM($J$294:J322))</f>
        <v>5061230</v>
      </c>
      <c r="R322" s="63">
        <f t="shared" si="83"/>
        <v>-2331934.8096885821</v>
      </c>
      <c r="S322" s="61">
        <f t="shared" si="80"/>
        <v>0.68458233115097988</v>
      </c>
      <c r="T322" s="80"/>
      <c r="U322" s="59">
        <f>IF(D322=0,0,SUM($L$20:L322))</f>
        <v>56988978.741349414</v>
      </c>
      <c r="V322" s="59">
        <f>IF(D322=0,0,SUM($J$20:J322))</f>
        <v>56714921</v>
      </c>
      <c r="W322" s="63">
        <f t="shared" si="84"/>
        <v>-274057.74134941399</v>
      </c>
      <c r="X322" s="61">
        <f t="shared" si="81"/>
        <v>0.99519103961147903</v>
      </c>
      <c r="Y322" s="145"/>
      <c r="Z322" s="196">
        <f t="shared" si="92"/>
        <v>45594</v>
      </c>
      <c r="AA322" s="197">
        <f t="shared" si="92"/>
        <v>45594</v>
      </c>
      <c r="AB322" s="1"/>
      <c r="AC322" s="1"/>
      <c r="AD322" s="1"/>
      <c r="AE322" s="1"/>
      <c r="AF322" s="145"/>
      <c r="AG322" s="198">
        <f t="shared" si="89"/>
        <v>219</v>
      </c>
      <c r="AH322" s="145"/>
      <c r="AI322" s="145"/>
      <c r="AJ322" s="145"/>
      <c r="AK322" s="145"/>
      <c r="AL322" s="145"/>
      <c r="AM322" s="145"/>
      <c r="AN322" s="145"/>
    </row>
    <row r="323" spans="1:40" ht="20">
      <c r="A323" s="145"/>
      <c r="B323" s="152"/>
      <c r="C323" s="50">
        <f t="shared" si="85"/>
        <v>304</v>
      </c>
      <c r="D323" s="51">
        <v>1</v>
      </c>
      <c r="E323" s="187" t="str">
        <f t="shared" si="78"/>
        <v>10</v>
      </c>
      <c r="F323" s="188">
        <f t="shared" si="86"/>
        <v>45595</v>
      </c>
      <c r="G323" s="189" t="str">
        <f t="shared" si="87"/>
        <v>Wed</v>
      </c>
      <c r="H323" s="190"/>
      <c r="I323" s="200"/>
      <c r="J323" s="201">
        <v>169200</v>
      </c>
      <c r="K323" s="202"/>
      <c r="L323" s="59">
        <f t="shared" si="91"/>
        <v>308048.53373702423</v>
      </c>
      <c r="M323" s="60">
        <f t="shared" si="82"/>
        <v>-138848.53373702423</v>
      </c>
      <c r="N323" s="61">
        <f t="shared" si="79"/>
        <v>0.54926409792439768</v>
      </c>
      <c r="O323" s="194"/>
      <c r="P323" s="106">
        <f>IF(D323=0,0,SUM($L$294:L323))</f>
        <v>7701213.3434256064</v>
      </c>
      <c r="Q323" s="59">
        <f>IF(D323=0,0,SUM($J$294:J323))</f>
        <v>5230430</v>
      </c>
      <c r="R323" s="63">
        <f t="shared" si="83"/>
        <v>-2470783.3434256064</v>
      </c>
      <c r="S323" s="61">
        <f t="shared" si="80"/>
        <v>0.67916960182191655</v>
      </c>
      <c r="T323" s="80"/>
      <c r="U323" s="59">
        <f>IF(D323=0,0,SUM($L$20:L323))</f>
        <v>57297027.27508644</v>
      </c>
      <c r="V323" s="59">
        <f>IF(D323=0,0,SUM($J$20:J323))</f>
        <v>56884121</v>
      </c>
      <c r="W323" s="63">
        <f t="shared" si="84"/>
        <v>-412906.27508644015</v>
      </c>
      <c r="X323" s="61">
        <f t="shared" si="81"/>
        <v>0.99279358293574194</v>
      </c>
      <c r="Y323" s="145"/>
      <c r="Z323" s="196">
        <f t="shared" si="92"/>
        <v>45595</v>
      </c>
      <c r="AA323" s="197">
        <f t="shared" si="92"/>
        <v>45595</v>
      </c>
      <c r="AB323" s="1"/>
      <c r="AC323" s="1"/>
      <c r="AD323" s="1"/>
      <c r="AE323" s="1"/>
      <c r="AF323" s="145"/>
      <c r="AG323" s="198">
        <f t="shared" si="89"/>
        <v>220</v>
      </c>
      <c r="AH323" s="145"/>
      <c r="AI323" s="145"/>
      <c r="AJ323" s="145"/>
      <c r="AK323" s="145"/>
      <c r="AL323" s="145"/>
      <c r="AM323" s="145"/>
      <c r="AN323" s="145"/>
    </row>
    <row r="324" spans="1:40" ht="21" thickBot="1">
      <c r="A324" s="145"/>
      <c r="B324" s="152"/>
      <c r="C324" s="100">
        <f t="shared" si="85"/>
        <v>305</v>
      </c>
      <c r="D324" s="85">
        <v>1</v>
      </c>
      <c r="E324" s="203" t="str">
        <f t="shared" si="78"/>
        <v>10</v>
      </c>
      <c r="F324" s="204">
        <f t="shared" si="86"/>
        <v>45596</v>
      </c>
      <c r="G324" s="205" t="str">
        <f t="shared" si="87"/>
        <v>Thu</v>
      </c>
      <c r="H324" s="206"/>
      <c r="I324" s="207"/>
      <c r="J324" s="208">
        <v>325100</v>
      </c>
      <c r="K324" s="202"/>
      <c r="L324" s="103">
        <f t="shared" si="91"/>
        <v>308048.53373702423</v>
      </c>
      <c r="M324" s="91">
        <f t="shared" si="82"/>
        <v>17051.466262975766</v>
      </c>
      <c r="N324" s="108">
        <f t="shared" si="79"/>
        <v>1.0553531810592298</v>
      </c>
      <c r="O324" s="209"/>
      <c r="P324" s="210">
        <f>IF(D324=0,0,SUM($L$294:L324))</f>
        <v>8009261.8771626307</v>
      </c>
      <c r="Q324" s="103">
        <f>IF(D324=0,0,SUM($J$294:J324))</f>
        <v>5555530</v>
      </c>
      <c r="R324" s="105">
        <f t="shared" si="83"/>
        <v>-2453731.8771626307</v>
      </c>
      <c r="S324" s="108">
        <f t="shared" si="80"/>
        <v>0.69363820102335172</v>
      </c>
      <c r="T324" s="211"/>
      <c r="U324" s="103">
        <f>IF(D324=0,0,SUM($L$20:L324))</f>
        <v>57605075.808823466</v>
      </c>
      <c r="V324" s="103">
        <f>IF(D324=0,0,SUM($J$20:J324))</f>
        <v>57209221</v>
      </c>
      <c r="W324" s="105">
        <f t="shared" si="84"/>
        <v>-395854.8088234663</v>
      </c>
      <c r="X324" s="108">
        <f t="shared" si="81"/>
        <v>0.99312812624121516</v>
      </c>
      <c r="Y324" s="145"/>
      <c r="Z324" s="196">
        <f t="shared" si="92"/>
        <v>45596</v>
      </c>
      <c r="AA324" s="197">
        <f t="shared" si="92"/>
        <v>45596</v>
      </c>
      <c r="AB324" s="1"/>
      <c r="AC324" s="1"/>
      <c r="AD324" s="1"/>
      <c r="AE324" s="1"/>
      <c r="AF324" s="145"/>
      <c r="AG324" s="198">
        <f t="shared" si="89"/>
        <v>221</v>
      </c>
      <c r="AH324" s="145"/>
      <c r="AI324" s="145"/>
      <c r="AJ324" s="145"/>
      <c r="AK324" s="145"/>
      <c r="AL324" s="145"/>
      <c r="AM324" s="145"/>
      <c r="AN324" s="145"/>
    </row>
    <row r="325" spans="1:40" ht="21" thickTop="1">
      <c r="A325" s="145"/>
      <c r="B325" s="152"/>
      <c r="C325" s="50">
        <f t="shared" si="85"/>
        <v>306</v>
      </c>
      <c r="D325" s="96">
        <v>1</v>
      </c>
      <c r="E325" s="187" t="str">
        <f t="shared" si="78"/>
        <v>11</v>
      </c>
      <c r="F325" s="188">
        <f t="shared" si="86"/>
        <v>45597</v>
      </c>
      <c r="G325" s="189" t="str">
        <f t="shared" si="87"/>
        <v>Fri</v>
      </c>
      <c r="H325" s="190"/>
      <c r="I325" s="200"/>
      <c r="J325" s="201">
        <v>288850</v>
      </c>
      <c r="K325" s="202"/>
      <c r="L325" s="59">
        <f>IF(D325=0,0,$K$16)</f>
        <v>258760.76833910032</v>
      </c>
      <c r="M325" s="63">
        <f t="shared" si="82"/>
        <v>30089.231660899677</v>
      </c>
      <c r="N325" s="97">
        <f t="shared" si="79"/>
        <v>1.1162820463628722</v>
      </c>
      <c r="O325" s="194"/>
      <c r="P325" s="107">
        <f>IF(D325=0,0,$L$325)</f>
        <v>258760.76833910032</v>
      </c>
      <c r="Q325" s="59">
        <f>IF(D325=0,0,$J$325)</f>
        <v>288850</v>
      </c>
      <c r="R325" s="63">
        <f t="shared" si="83"/>
        <v>30089.231660899677</v>
      </c>
      <c r="S325" s="97">
        <f t="shared" si="80"/>
        <v>1.1162820463628722</v>
      </c>
      <c r="T325" s="80"/>
      <c r="U325" s="59">
        <f>IF(D325=0,0,SUM($L$20:L325))</f>
        <v>57863836.577162564</v>
      </c>
      <c r="V325" s="59">
        <f>IF(D325=0,0,SUM($J$20:J325))</f>
        <v>57498071</v>
      </c>
      <c r="W325" s="63">
        <f t="shared" si="84"/>
        <v>-365765.5771625638</v>
      </c>
      <c r="X325" s="97">
        <f t="shared" si="81"/>
        <v>0.99367885714465531</v>
      </c>
      <c r="Y325" s="145"/>
      <c r="Z325" s="196">
        <f t="shared" ref="Z325:AA340" si="93">Z324+1</f>
        <v>45597</v>
      </c>
      <c r="AA325" s="197">
        <f t="shared" si="93"/>
        <v>45597</v>
      </c>
      <c r="AB325" s="1"/>
      <c r="AC325" s="1"/>
      <c r="AD325" s="1"/>
      <c r="AE325" s="1"/>
      <c r="AF325" s="145"/>
      <c r="AG325" s="198">
        <f t="shared" si="89"/>
        <v>222</v>
      </c>
      <c r="AH325" s="145"/>
      <c r="AI325" s="145"/>
      <c r="AJ325" s="145"/>
      <c r="AK325" s="145"/>
      <c r="AL325" s="145"/>
      <c r="AM325" s="145"/>
      <c r="AN325" s="145"/>
    </row>
    <row r="326" spans="1:40" ht="20">
      <c r="A326" s="145"/>
      <c r="B326" s="152"/>
      <c r="C326" s="50">
        <f t="shared" si="85"/>
        <v>307</v>
      </c>
      <c r="D326" s="51">
        <v>1</v>
      </c>
      <c r="E326" s="187" t="str">
        <f t="shared" si="78"/>
        <v>11</v>
      </c>
      <c r="F326" s="188">
        <f t="shared" si="86"/>
        <v>45598</v>
      </c>
      <c r="G326" s="189" t="str">
        <f t="shared" si="87"/>
        <v>Sat</v>
      </c>
      <c r="H326" s="190"/>
      <c r="I326" s="200"/>
      <c r="J326" s="201">
        <v>202450</v>
      </c>
      <c r="K326" s="202"/>
      <c r="L326" s="59">
        <f t="shared" ref="L326:L354" si="94">IF(D326=0,0,$K$16)</f>
        <v>258760.76833910032</v>
      </c>
      <c r="M326" s="60">
        <f t="shared" si="82"/>
        <v>-56310.768339100323</v>
      </c>
      <c r="N326" s="61">
        <f t="shared" si="79"/>
        <v>0.78238289868846622</v>
      </c>
      <c r="O326" s="194"/>
      <c r="P326" s="106">
        <f>IF(D326=0,0,SUM($L$325:L326))</f>
        <v>517521.53667820065</v>
      </c>
      <c r="Q326" s="59">
        <f>IF(D326=0,0,SUM($J$325:J326))</f>
        <v>491300</v>
      </c>
      <c r="R326" s="63">
        <f t="shared" si="83"/>
        <v>-26221.536678200646</v>
      </c>
      <c r="S326" s="61">
        <f t="shared" si="80"/>
        <v>0.94933247252566921</v>
      </c>
      <c r="T326" s="81"/>
      <c r="U326" s="59">
        <f>IF(D326=0,0,SUM($L$20:L326))</f>
        <v>58122597.345501661</v>
      </c>
      <c r="V326" s="59">
        <f>IF(D326=0,0,SUM($J$20:J326))</f>
        <v>57700521</v>
      </c>
      <c r="W326" s="63">
        <f t="shared" si="84"/>
        <v>-422076.3455016613</v>
      </c>
      <c r="X326" s="61">
        <f t="shared" si="81"/>
        <v>0.9927381713003518</v>
      </c>
      <c r="Y326" s="145"/>
      <c r="Z326" s="196">
        <f t="shared" si="93"/>
        <v>45598</v>
      </c>
      <c r="AA326" s="197">
        <f t="shared" si="93"/>
        <v>45598</v>
      </c>
      <c r="AB326" s="1"/>
      <c r="AC326" s="1"/>
      <c r="AD326" s="1"/>
      <c r="AE326" s="1"/>
      <c r="AF326" s="145"/>
      <c r="AG326" s="198">
        <f t="shared" si="89"/>
        <v>223</v>
      </c>
      <c r="AH326" s="145"/>
      <c r="AI326" s="145"/>
      <c r="AJ326" s="145"/>
      <c r="AK326" s="145"/>
      <c r="AL326" s="145"/>
      <c r="AM326" s="145"/>
      <c r="AN326" s="145"/>
    </row>
    <row r="327" spans="1:40" ht="20">
      <c r="A327" s="145"/>
      <c r="B327" s="152"/>
      <c r="C327" s="50">
        <f t="shared" si="85"/>
        <v>308</v>
      </c>
      <c r="D327" s="51">
        <v>0</v>
      </c>
      <c r="E327" s="187" t="str">
        <f t="shared" si="78"/>
        <v>11</v>
      </c>
      <c r="F327" s="188">
        <f t="shared" si="86"/>
        <v>45599</v>
      </c>
      <c r="G327" s="189" t="str">
        <f t="shared" si="87"/>
        <v>Sun</v>
      </c>
      <c r="H327" s="190" t="s">
        <v>58</v>
      </c>
      <c r="I327" s="200"/>
      <c r="J327" s="201">
        <v>0</v>
      </c>
      <c r="K327" s="202"/>
      <c r="L327" s="59">
        <f t="shared" si="94"/>
        <v>0</v>
      </c>
      <c r="M327" s="60">
        <f t="shared" si="82"/>
        <v>0</v>
      </c>
      <c r="N327" s="61" t="str">
        <f t="shared" si="79"/>
        <v>0%</v>
      </c>
      <c r="O327" s="194"/>
      <c r="P327" s="106">
        <f>IF(D327=0,0,SUM($L$325:L327))</f>
        <v>0</v>
      </c>
      <c r="Q327" s="59">
        <f>IF(D327=0,0,SUM($J$325:J327))</f>
        <v>0</v>
      </c>
      <c r="R327" s="63">
        <f t="shared" si="83"/>
        <v>0</v>
      </c>
      <c r="S327" s="61" t="str">
        <f t="shared" si="80"/>
        <v>0%</v>
      </c>
      <c r="T327" s="81"/>
      <c r="U327" s="59">
        <f>IF(D327=0,0,SUM($L$20:L327))</f>
        <v>0</v>
      </c>
      <c r="V327" s="59">
        <f>IF(D327=0,0,SUM($J$20:J327))</f>
        <v>0</v>
      </c>
      <c r="W327" s="63">
        <f t="shared" si="84"/>
        <v>0</v>
      </c>
      <c r="X327" s="61" t="str">
        <f t="shared" si="81"/>
        <v>0%</v>
      </c>
      <c r="Y327" s="145"/>
      <c r="Z327" s="196">
        <f t="shared" si="93"/>
        <v>45599</v>
      </c>
      <c r="AA327" s="197">
        <f t="shared" si="93"/>
        <v>45599</v>
      </c>
      <c r="AB327" s="1"/>
      <c r="AC327" s="1"/>
      <c r="AD327" s="1"/>
      <c r="AE327" s="1"/>
      <c r="AF327" s="145"/>
      <c r="AG327" s="198">
        <f t="shared" si="89"/>
        <v>224</v>
      </c>
      <c r="AH327" s="145"/>
      <c r="AI327" s="145"/>
      <c r="AJ327" s="145"/>
      <c r="AK327" s="145"/>
      <c r="AL327" s="145"/>
      <c r="AM327" s="145"/>
      <c r="AN327" s="145"/>
    </row>
    <row r="328" spans="1:40" ht="20">
      <c r="A328" s="145"/>
      <c r="B328" s="152"/>
      <c r="C328" s="50">
        <f t="shared" si="85"/>
        <v>309</v>
      </c>
      <c r="D328" s="51">
        <v>0</v>
      </c>
      <c r="E328" s="187" t="str">
        <f t="shared" si="78"/>
        <v>11</v>
      </c>
      <c r="F328" s="188">
        <f t="shared" si="86"/>
        <v>45600</v>
      </c>
      <c r="G328" s="189" t="str">
        <f t="shared" si="87"/>
        <v>Mon</v>
      </c>
      <c r="H328" s="190" t="s">
        <v>115</v>
      </c>
      <c r="I328" s="200"/>
      <c r="J328" s="201">
        <v>0</v>
      </c>
      <c r="K328" s="202"/>
      <c r="L328" s="59">
        <f t="shared" si="94"/>
        <v>0</v>
      </c>
      <c r="M328" s="60">
        <f t="shared" si="82"/>
        <v>0</v>
      </c>
      <c r="N328" s="61" t="str">
        <f t="shared" si="79"/>
        <v>0%</v>
      </c>
      <c r="O328" s="194"/>
      <c r="P328" s="106">
        <f>IF(D328=0,0,SUM($L$325:L328))</f>
        <v>0</v>
      </c>
      <c r="Q328" s="59">
        <f>IF(D328=0,0,SUM($J$325:J328))</f>
        <v>0</v>
      </c>
      <c r="R328" s="63">
        <f t="shared" si="83"/>
        <v>0</v>
      </c>
      <c r="S328" s="61" t="str">
        <f t="shared" si="80"/>
        <v>0%</v>
      </c>
      <c r="T328" s="80"/>
      <c r="U328" s="59">
        <f>IF(D328=0,0,SUM($L$20:L328))</f>
        <v>0</v>
      </c>
      <c r="V328" s="59">
        <f>IF(D328=0,0,SUM($J$20:J328))</f>
        <v>0</v>
      </c>
      <c r="W328" s="63">
        <f t="shared" si="84"/>
        <v>0</v>
      </c>
      <c r="X328" s="61" t="str">
        <f t="shared" si="81"/>
        <v>0%</v>
      </c>
      <c r="Y328" s="145"/>
      <c r="Z328" s="196">
        <f t="shared" si="93"/>
        <v>45600</v>
      </c>
      <c r="AA328" s="197">
        <f t="shared" si="93"/>
        <v>45600</v>
      </c>
      <c r="AB328" s="1"/>
      <c r="AC328" s="1"/>
      <c r="AD328" s="1"/>
      <c r="AE328" s="1"/>
      <c r="AF328" s="145"/>
      <c r="AG328" s="198">
        <f t="shared" si="89"/>
        <v>225</v>
      </c>
      <c r="AH328" s="145"/>
      <c r="AI328" s="145"/>
      <c r="AJ328" s="145"/>
      <c r="AK328" s="145"/>
      <c r="AL328" s="145"/>
      <c r="AM328" s="145"/>
      <c r="AN328" s="145"/>
    </row>
    <row r="329" spans="1:40" ht="20">
      <c r="A329" s="145"/>
      <c r="B329" s="152"/>
      <c r="C329" s="50">
        <f t="shared" si="85"/>
        <v>310</v>
      </c>
      <c r="D329" s="51">
        <v>1</v>
      </c>
      <c r="E329" s="187" t="str">
        <f t="shared" si="78"/>
        <v>11</v>
      </c>
      <c r="F329" s="188">
        <f t="shared" si="86"/>
        <v>45601</v>
      </c>
      <c r="G329" s="189" t="str">
        <f t="shared" si="87"/>
        <v>Tue</v>
      </c>
      <c r="H329" s="190"/>
      <c r="I329" s="200"/>
      <c r="J329" s="201">
        <v>212150</v>
      </c>
      <c r="K329" s="202"/>
      <c r="L329" s="59">
        <f t="shared" si="94"/>
        <v>258760.76833910032</v>
      </c>
      <c r="M329" s="60">
        <f t="shared" si="82"/>
        <v>-46610.768339100323</v>
      </c>
      <c r="N329" s="61">
        <f t="shared" si="79"/>
        <v>0.81986926133246774</v>
      </c>
      <c r="O329" s="194"/>
      <c r="P329" s="106">
        <f>IF(D329=0,0,SUM($L$325:L329))</f>
        <v>776282.305017301</v>
      </c>
      <c r="Q329" s="59">
        <f>IF(D329=0,0,SUM($J$325:J329))</f>
        <v>703450</v>
      </c>
      <c r="R329" s="63">
        <f t="shared" si="83"/>
        <v>-72832.305017300998</v>
      </c>
      <c r="S329" s="61">
        <f t="shared" si="80"/>
        <v>0.90617806879460205</v>
      </c>
      <c r="T329" s="80"/>
      <c r="U329" s="59">
        <f>IF(D329=0,0,SUM($L$20:L329))</f>
        <v>58381358.113840759</v>
      </c>
      <c r="V329" s="59">
        <f>IF(D329=0,0,SUM($J$20:J329))</f>
        <v>57912671</v>
      </c>
      <c r="W329" s="63">
        <f t="shared" si="84"/>
        <v>-468687.1138407588</v>
      </c>
      <c r="X329" s="61">
        <f t="shared" si="81"/>
        <v>0.99197197309238949</v>
      </c>
      <c r="Y329" s="145"/>
      <c r="Z329" s="196">
        <f t="shared" si="93"/>
        <v>45601</v>
      </c>
      <c r="AA329" s="197">
        <f t="shared" si="93"/>
        <v>45601</v>
      </c>
      <c r="AB329" s="1"/>
      <c r="AC329" s="1"/>
      <c r="AD329" s="1"/>
      <c r="AE329" s="1"/>
      <c r="AF329" s="145"/>
      <c r="AG329" s="198">
        <f t="shared" si="89"/>
        <v>226</v>
      </c>
      <c r="AH329" s="145"/>
      <c r="AI329" s="145"/>
      <c r="AJ329" s="145"/>
      <c r="AK329" s="145"/>
      <c r="AL329" s="145"/>
      <c r="AM329" s="145"/>
      <c r="AN329" s="145"/>
    </row>
    <row r="330" spans="1:40" ht="20">
      <c r="A330" s="145"/>
      <c r="B330" s="152"/>
      <c r="C330" s="50">
        <f t="shared" si="85"/>
        <v>311</v>
      </c>
      <c r="D330" s="51">
        <v>1</v>
      </c>
      <c r="E330" s="187" t="str">
        <f t="shared" si="78"/>
        <v>11</v>
      </c>
      <c r="F330" s="188">
        <f t="shared" si="86"/>
        <v>45602</v>
      </c>
      <c r="G330" s="189" t="str">
        <f t="shared" si="87"/>
        <v>Wed</v>
      </c>
      <c r="H330" s="190"/>
      <c r="I330" s="200"/>
      <c r="J330" s="201">
        <v>268780</v>
      </c>
      <c r="K330" s="202"/>
      <c r="L330" s="59">
        <f t="shared" si="94"/>
        <v>258760.76833910032</v>
      </c>
      <c r="M330" s="60">
        <f t="shared" si="82"/>
        <v>10019.231660899677</v>
      </c>
      <c r="N330" s="61">
        <f t="shared" si="79"/>
        <v>1.0387200568510049</v>
      </c>
      <c r="O330" s="194"/>
      <c r="P330" s="106">
        <f>IF(D330=0,0,SUM($L$325:L330))</f>
        <v>1035043.0733564013</v>
      </c>
      <c r="Q330" s="59">
        <f>IF(D330=0,0,SUM($J$325:J330))</f>
        <v>972230</v>
      </c>
      <c r="R330" s="63">
        <f t="shared" si="83"/>
        <v>-62813.073356401292</v>
      </c>
      <c r="S330" s="61">
        <f t="shared" si="80"/>
        <v>0.93931356580870273</v>
      </c>
      <c r="T330" s="80"/>
      <c r="U330" s="59">
        <f>IF(D330=0,0,SUM($L$20:L330))</f>
        <v>58640118.882179856</v>
      </c>
      <c r="V330" s="59">
        <f>IF(D330=0,0,SUM($J$20:J330))</f>
        <v>58181451</v>
      </c>
      <c r="W330" s="63">
        <f t="shared" si="84"/>
        <v>-458667.8821798563</v>
      </c>
      <c r="X330" s="61">
        <f t="shared" si="81"/>
        <v>0.99217825797554371</v>
      </c>
      <c r="Y330" s="145"/>
      <c r="Z330" s="196">
        <f t="shared" si="93"/>
        <v>45602</v>
      </c>
      <c r="AA330" s="197">
        <f t="shared" si="93"/>
        <v>45602</v>
      </c>
      <c r="AB330" s="1"/>
      <c r="AC330" s="1"/>
      <c r="AD330" s="1"/>
      <c r="AE330" s="1"/>
      <c r="AF330" s="145"/>
      <c r="AG330" s="198">
        <f t="shared" si="89"/>
        <v>227</v>
      </c>
      <c r="AH330" s="145"/>
      <c r="AI330" s="145"/>
      <c r="AJ330" s="145"/>
      <c r="AK330" s="145"/>
      <c r="AL330" s="145"/>
      <c r="AM330" s="145"/>
      <c r="AN330" s="145"/>
    </row>
    <row r="331" spans="1:40" ht="20">
      <c r="A331" s="145"/>
      <c r="B331" s="152"/>
      <c r="C331" s="50">
        <f t="shared" si="85"/>
        <v>312</v>
      </c>
      <c r="D331" s="51">
        <v>1</v>
      </c>
      <c r="E331" s="187" t="str">
        <f t="shared" si="78"/>
        <v>11</v>
      </c>
      <c r="F331" s="188">
        <f t="shared" si="86"/>
        <v>45603</v>
      </c>
      <c r="G331" s="189" t="str">
        <f t="shared" si="87"/>
        <v>Thu</v>
      </c>
      <c r="H331" s="190"/>
      <c r="I331" s="200"/>
      <c r="J331" s="201">
        <v>280080</v>
      </c>
      <c r="K331" s="202"/>
      <c r="L331" s="59">
        <f t="shared" si="94"/>
        <v>258760.76833910032</v>
      </c>
      <c r="M331" s="60">
        <f t="shared" si="82"/>
        <v>21319.231660899677</v>
      </c>
      <c r="N331" s="61">
        <f t="shared" si="79"/>
        <v>1.0823897370445326</v>
      </c>
      <c r="O331" s="194"/>
      <c r="P331" s="106">
        <f>IF(D331=0,0,SUM($L$325:L331))</f>
        <v>1293803.8416955017</v>
      </c>
      <c r="Q331" s="59">
        <f>IF(D331=0,0,SUM($J$325:J331))</f>
        <v>1252310</v>
      </c>
      <c r="R331" s="63">
        <f t="shared" si="83"/>
        <v>-41493.841695501702</v>
      </c>
      <c r="S331" s="61">
        <f t="shared" si="80"/>
        <v>0.96792880005586868</v>
      </c>
      <c r="T331" s="80"/>
      <c r="U331" s="59">
        <f>IF(D331=0,0,SUM($L$20:L331))</f>
        <v>58898879.650518954</v>
      </c>
      <c r="V331" s="59">
        <f>IF(D331=0,0,SUM($J$20:J331))</f>
        <v>58461531</v>
      </c>
      <c r="W331" s="63">
        <f t="shared" si="84"/>
        <v>-437348.6505189538</v>
      </c>
      <c r="X331" s="61">
        <f t="shared" si="81"/>
        <v>0.99257458455722769</v>
      </c>
      <c r="Y331" s="145"/>
      <c r="Z331" s="196">
        <f t="shared" si="93"/>
        <v>45603</v>
      </c>
      <c r="AA331" s="197">
        <f t="shared" si="93"/>
        <v>45603</v>
      </c>
      <c r="AB331" s="1"/>
      <c r="AC331" s="1"/>
      <c r="AD331" s="1"/>
      <c r="AE331" s="1"/>
      <c r="AF331" s="145"/>
      <c r="AG331" s="198">
        <f t="shared" si="89"/>
        <v>228</v>
      </c>
      <c r="AH331" s="145"/>
      <c r="AI331" s="145"/>
      <c r="AJ331" s="145"/>
      <c r="AK331" s="145"/>
      <c r="AL331" s="145"/>
      <c r="AM331" s="145"/>
      <c r="AN331" s="145"/>
    </row>
    <row r="332" spans="1:40" ht="20">
      <c r="A332" s="145"/>
      <c r="B332" s="152"/>
      <c r="C332" s="50">
        <f t="shared" si="85"/>
        <v>313</v>
      </c>
      <c r="D332" s="51">
        <v>1</v>
      </c>
      <c r="E332" s="187" t="str">
        <f t="shared" si="78"/>
        <v>11</v>
      </c>
      <c r="F332" s="188">
        <f t="shared" si="86"/>
        <v>45604</v>
      </c>
      <c r="G332" s="189" t="str">
        <f t="shared" si="87"/>
        <v>Fri</v>
      </c>
      <c r="H332" s="190"/>
      <c r="I332" s="200"/>
      <c r="J332" s="201">
        <v>393950</v>
      </c>
      <c r="K332" s="202"/>
      <c r="L332" s="59">
        <f t="shared" si="94"/>
        <v>258760.76833910032</v>
      </c>
      <c r="M332" s="60">
        <f t="shared" si="82"/>
        <v>135189.23166089968</v>
      </c>
      <c r="N332" s="61">
        <f t="shared" si="79"/>
        <v>1.5224487178973636</v>
      </c>
      <c r="O332" s="194"/>
      <c r="P332" s="106">
        <f>IF(D332=0,0,SUM($L$325:L332))</f>
        <v>1552564.610034602</v>
      </c>
      <c r="Q332" s="59">
        <f>IF(D332=0,0,SUM($J$325:J332))</f>
        <v>1646260</v>
      </c>
      <c r="R332" s="63">
        <f t="shared" si="83"/>
        <v>93695.389965398004</v>
      </c>
      <c r="S332" s="61">
        <f t="shared" si="80"/>
        <v>1.0603487863627845</v>
      </c>
      <c r="T332" s="80"/>
      <c r="U332" s="59">
        <f>IF(D332=0,0,SUM($L$20:L332))</f>
        <v>59157640.418858051</v>
      </c>
      <c r="V332" s="59">
        <f>IF(D332=0,0,SUM($J$20:J332))</f>
        <v>58855481</v>
      </c>
      <c r="W332" s="63">
        <f t="shared" si="84"/>
        <v>-302159.4188580513</v>
      </c>
      <c r="X332" s="61">
        <f t="shared" si="81"/>
        <v>0.99489230103299164</v>
      </c>
      <c r="Y332" s="145"/>
      <c r="Z332" s="196">
        <f t="shared" si="93"/>
        <v>45604</v>
      </c>
      <c r="AA332" s="197">
        <f t="shared" si="93"/>
        <v>45604</v>
      </c>
      <c r="AB332" s="1"/>
      <c r="AC332" s="1"/>
      <c r="AD332" s="1"/>
      <c r="AE332" s="1"/>
      <c r="AF332" s="145"/>
      <c r="AG332" s="198">
        <f t="shared" si="89"/>
        <v>229</v>
      </c>
      <c r="AH332" s="145"/>
      <c r="AI332" s="145"/>
      <c r="AJ332" s="145"/>
      <c r="AK332" s="145"/>
      <c r="AL332" s="145"/>
      <c r="AM332" s="145"/>
      <c r="AN332" s="145"/>
    </row>
    <row r="333" spans="1:40" ht="20">
      <c r="A333" s="145"/>
      <c r="B333" s="152"/>
      <c r="C333" s="50">
        <f t="shared" si="85"/>
        <v>314</v>
      </c>
      <c r="D333" s="51">
        <v>1</v>
      </c>
      <c r="E333" s="187" t="str">
        <f t="shared" si="78"/>
        <v>11</v>
      </c>
      <c r="F333" s="188">
        <f t="shared" si="86"/>
        <v>45605</v>
      </c>
      <c r="G333" s="189" t="str">
        <f t="shared" si="87"/>
        <v>Sat</v>
      </c>
      <c r="H333" s="190"/>
      <c r="I333" s="200"/>
      <c r="J333" s="201">
        <v>320900</v>
      </c>
      <c r="K333" s="202"/>
      <c r="L333" s="59">
        <f t="shared" si="94"/>
        <v>258760.76833910032</v>
      </c>
      <c r="M333" s="60">
        <f t="shared" si="82"/>
        <v>62139.231660899677</v>
      </c>
      <c r="N333" s="61">
        <f t="shared" si="79"/>
        <v>1.2401416260268154</v>
      </c>
      <c r="O333" s="194"/>
      <c r="P333" s="106">
        <f>IF(D333=0,0,SUM($L$325:L333))</f>
        <v>1811325.3783737023</v>
      </c>
      <c r="Q333" s="59">
        <f>IF(D333=0,0,SUM($J$325:J333))</f>
        <v>1967160</v>
      </c>
      <c r="R333" s="63">
        <f t="shared" si="83"/>
        <v>155834.62162629771</v>
      </c>
      <c r="S333" s="61">
        <f t="shared" si="80"/>
        <v>1.0860334777433605</v>
      </c>
      <c r="T333" s="81"/>
      <c r="U333" s="59">
        <f>IF(D333=0,0,SUM($L$20:L333))</f>
        <v>59416401.187197149</v>
      </c>
      <c r="V333" s="59">
        <f>IF(D333=0,0,SUM($J$20:J333))</f>
        <v>59176381</v>
      </c>
      <c r="W333" s="63">
        <f t="shared" si="84"/>
        <v>-240020.1871971488</v>
      </c>
      <c r="X333" s="61">
        <f t="shared" si="81"/>
        <v>0.99596037150683459</v>
      </c>
      <c r="Y333" s="145"/>
      <c r="Z333" s="196">
        <f t="shared" si="93"/>
        <v>45605</v>
      </c>
      <c r="AA333" s="197">
        <f t="shared" si="93"/>
        <v>45605</v>
      </c>
      <c r="AB333" s="1"/>
      <c r="AC333" s="1"/>
      <c r="AD333" s="1"/>
      <c r="AE333" s="1"/>
      <c r="AF333" s="145"/>
      <c r="AG333" s="198">
        <f t="shared" si="89"/>
        <v>230</v>
      </c>
      <c r="AH333" s="145"/>
      <c r="AI333" s="145"/>
      <c r="AJ333" s="145"/>
      <c r="AK333" s="145"/>
      <c r="AL333" s="145"/>
      <c r="AM333" s="145"/>
      <c r="AN333" s="145"/>
    </row>
    <row r="334" spans="1:40" ht="20">
      <c r="A334" s="145"/>
      <c r="B334" s="152"/>
      <c r="C334" s="50">
        <f t="shared" si="85"/>
        <v>315</v>
      </c>
      <c r="D334" s="51">
        <v>0</v>
      </c>
      <c r="E334" s="187" t="str">
        <f t="shared" si="78"/>
        <v>11</v>
      </c>
      <c r="F334" s="188">
        <f t="shared" si="86"/>
        <v>45606</v>
      </c>
      <c r="G334" s="189" t="str">
        <f t="shared" si="87"/>
        <v>Sun</v>
      </c>
      <c r="H334" s="190" t="s">
        <v>58</v>
      </c>
      <c r="I334" s="200"/>
      <c r="J334" s="201">
        <v>0</v>
      </c>
      <c r="K334" s="202"/>
      <c r="L334" s="59">
        <f t="shared" si="94"/>
        <v>0</v>
      </c>
      <c r="M334" s="60">
        <f t="shared" si="82"/>
        <v>0</v>
      </c>
      <c r="N334" s="61" t="str">
        <f t="shared" si="79"/>
        <v>0%</v>
      </c>
      <c r="O334" s="194"/>
      <c r="P334" s="106">
        <f>IF(D334=0,0,SUM($L$325:L334))</f>
        <v>0</v>
      </c>
      <c r="Q334" s="59">
        <f>IF(D334=0,0,SUM($J$325:J334))</f>
        <v>0</v>
      </c>
      <c r="R334" s="63">
        <f t="shared" si="83"/>
        <v>0</v>
      </c>
      <c r="S334" s="61" t="str">
        <f t="shared" si="80"/>
        <v>0%</v>
      </c>
      <c r="T334" s="80"/>
      <c r="U334" s="59">
        <f>IF(D334=0,0,SUM($L$20:L334))</f>
        <v>0</v>
      </c>
      <c r="V334" s="59">
        <f>IF(D334=0,0,SUM($J$20:J334))</f>
        <v>0</v>
      </c>
      <c r="W334" s="63">
        <f t="shared" si="84"/>
        <v>0</v>
      </c>
      <c r="X334" s="61" t="str">
        <f t="shared" si="81"/>
        <v>0%</v>
      </c>
      <c r="Y334" s="145"/>
      <c r="Z334" s="196">
        <f t="shared" si="93"/>
        <v>45606</v>
      </c>
      <c r="AA334" s="197">
        <f t="shared" si="93"/>
        <v>45606</v>
      </c>
      <c r="AB334" s="1"/>
      <c r="AC334" s="1"/>
      <c r="AD334" s="1"/>
      <c r="AE334" s="1"/>
      <c r="AF334" s="145"/>
      <c r="AG334" s="198">
        <f t="shared" si="89"/>
        <v>231</v>
      </c>
      <c r="AH334" s="145"/>
      <c r="AI334" s="145"/>
      <c r="AJ334" s="145"/>
      <c r="AK334" s="145"/>
      <c r="AL334" s="145"/>
      <c r="AM334" s="145"/>
      <c r="AN334" s="145"/>
    </row>
    <row r="335" spans="1:40" ht="20">
      <c r="A335" s="145"/>
      <c r="B335" s="152"/>
      <c r="C335" s="50">
        <f t="shared" si="85"/>
        <v>316</v>
      </c>
      <c r="D335" s="51">
        <v>1</v>
      </c>
      <c r="E335" s="187" t="str">
        <f t="shared" si="78"/>
        <v>11</v>
      </c>
      <c r="F335" s="188">
        <f t="shared" si="86"/>
        <v>45607</v>
      </c>
      <c r="G335" s="189" t="str">
        <f t="shared" si="87"/>
        <v>Mon</v>
      </c>
      <c r="H335" s="190"/>
      <c r="I335" s="200"/>
      <c r="J335" s="201">
        <v>171150</v>
      </c>
      <c r="K335" s="202"/>
      <c r="L335" s="59">
        <f t="shared" si="94"/>
        <v>258760.76833910032</v>
      </c>
      <c r="M335" s="60">
        <f t="shared" si="82"/>
        <v>-87610.768339100323</v>
      </c>
      <c r="N335" s="61">
        <f t="shared" si="79"/>
        <v>0.66142174912586316</v>
      </c>
      <c r="O335" s="194"/>
      <c r="P335" s="106">
        <f>IF(D335=0,0,SUM($L$325:L335))</f>
        <v>2070086.1467128026</v>
      </c>
      <c r="Q335" s="59">
        <f>IF(D335=0,0,SUM($J$325:J335))</f>
        <v>2138310</v>
      </c>
      <c r="R335" s="63">
        <f t="shared" si="83"/>
        <v>68223.853287197417</v>
      </c>
      <c r="S335" s="61">
        <f t="shared" si="80"/>
        <v>1.0329570116661733</v>
      </c>
      <c r="T335" s="80"/>
      <c r="U335" s="59">
        <f>IF(D335=0,0,SUM($L$20:L335))</f>
        <v>59675161.955536246</v>
      </c>
      <c r="V335" s="59">
        <f>IF(D335=0,0,SUM($J$20:J335))</f>
        <v>59347531</v>
      </c>
      <c r="W335" s="63">
        <f t="shared" si="84"/>
        <v>-327630.9555362463</v>
      </c>
      <c r="X335" s="61">
        <f t="shared" si="81"/>
        <v>0.99450976009448688</v>
      </c>
      <c r="Y335" s="145"/>
      <c r="Z335" s="196">
        <f t="shared" si="93"/>
        <v>45607</v>
      </c>
      <c r="AA335" s="197">
        <f t="shared" si="93"/>
        <v>45607</v>
      </c>
      <c r="AB335" s="1"/>
      <c r="AC335" s="1"/>
      <c r="AD335" s="1"/>
      <c r="AE335" s="1"/>
      <c r="AF335" s="145"/>
      <c r="AG335" s="198">
        <f t="shared" si="89"/>
        <v>232</v>
      </c>
      <c r="AH335" s="145"/>
      <c r="AI335" s="145"/>
      <c r="AJ335" s="145"/>
      <c r="AK335" s="145"/>
      <c r="AL335" s="145"/>
      <c r="AM335" s="145"/>
      <c r="AN335" s="145"/>
    </row>
    <row r="336" spans="1:40" ht="20">
      <c r="A336" s="145"/>
      <c r="B336" s="152"/>
      <c r="C336" s="50">
        <f t="shared" si="85"/>
        <v>317</v>
      </c>
      <c r="D336" s="51">
        <v>1</v>
      </c>
      <c r="E336" s="187" t="str">
        <f t="shared" si="78"/>
        <v>11</v>
      </c>
      <c r="F336" s="188">
        <f t="shared" si="86"/>
        <v>45608</v>
      </c>
      <c r="G336" s="189" t="str">
        <f t="shared" si="87"/>
        <v>Tue</v>
      </c>
      <c r="H336" s="190"/>
      <c r="I336" s="200"/>
      <c r="J336" s="201">
        <v>259350</v>
      </c>
      <c r="K336" s="202"/>
      <c r="L336" s="59">
        <f t="shared" si="94"/>
        <v>258760.76833910032</v>
      </c>
      <c r="M336" s="60">
        <f t="shared" si="82"/>
        <v>589.23166089967708</v>
      </c>
      <c r="N336" s="61">
        <f t="shared" si="79"/>
        <v>1.0022771290434858</v>
      </c>
      <c r="O336" s="194"/>
      <c r="P336" s="106">
        <f>IF(D336=0,0,SUM($L$325:L336))</f>
        <v>2328846.9150519031</v>
      </c>
      <c r="Q336" s="59">
        <f>IF(D336=0,0,SUM($J$325:J336))</f>
        <v>2397660</v>
      </c>
      <c r="R336" s="63">
        <f t="shared" si="83"/>
        <v>68813.08494809689</v>
      </c>
      <c r="S336" s="61">
        <f t="shared" si="80"/>
        <v>1.0295481358192078</v>
      </c>
      <c r="T336" s="80"/>
      <c r="U336" s="59">
        <f>IF(D336=0,0,SUM($L$20:L336))</f>
        <v>59933922.723875344</v>
      </c>
      <c r="V336" s="59">
        <f>IF(D336=0,0,SUM($J$20:J336))</f>
        <v>59606881</v>
      </c>
      <c r="W336" s="63">
        <f t="shared" si="84"/>
        <v>-327041.7238753438</v>
      </c>
      <c r="X336" s="61">
        <f t="shared" si="81"/>
        <v>0.99454329519891305</v>
      </c>
      <c r="Y336" s="145"/>
      <c r="Z336" s="196">
        <f t="shared" si="93"/>
        <v>45608</v>
      </c>
      <c r="AA336" s="197">
        <f t="shared" si="93"/>
        <v>45608</v>
      </c>
      <c r="AB336" s="1"/>
      <c r="AC336" s="1"/>
      <c r="AD336" s="1"/>
      <c r="AE336" s="1"/>
      <c r="AF336" s="145"/>
      <c r="AG336" s="198">
        <f t="shared" si="89"/>
        <v>233</v>
      </c>
      <c r="AH336" s="145"/>
      <c r="AI336" s="145"/>
      <c r="AJ336" s="145"/>
      <c r="AK336" s="145"/>
      <c r="AL336" s="145"/>
      <c r="AM336" s="145"/>
      <c r="AN336" s="145"/>
    </row>
    <row r="337" spans="1:40" ht="20">
      <c r="A337" s="145"/>
      <c r="B337" s="152"/>
      <c r="C337" s="50">
        <f t="shared" si="85"/>
        <v>318</v>
      </c>
      <c r="D337" s="51">
        <v>1</v>
      </c>
      <c r="E337" s="187" t="str">
        <f t="shared" si="78"/>
        <v>11</v>
      </c>
      <c r="F337" s="188">
        <f t="shared" si="86"/>
        <v>45609</v>
      </c>
      <c r="G337" s="189" t="str">
        <f t="shared" si="87"/>
        <v>Wed</v>
      </c>
      <c r="H337" s="190"/>
      <c r="I337" s="200"/>
      <c r="J337" s="201">
        <v>216530</v>
      </c>
      <c r="K337" s="202"/>
      <c r="L337" s="59">
        <f t="shared" si="94"/>
        <v>258760.76833910032</v>
      </c>
      <c r="M337" s="60">
        <f t="shared" si="82"/>
        <v>-42230.768339100323</v>
      </c>
      <c r="N337" s="61">
        <f t="shared" si="79"/>
        <v>0.83679609312429526</v>
      </c>
      <c r="O337" s="194"/>
      <c r="P337" s="106">
        <f>IF(D337=0,0,SUM($L$325:L337))</f>
        <v>2587607.6833910034</v>
      </c>
      <c r="Q337" s="59">
        <f>IF(D337=0,0,SUM($J$325:J337))</f>
        <v>2614190</v>
      </c>
      <c r="R337" s="63">
        <f t="shared" si="83"/>
        <v>26582.316608996596</v>
      </c>
      <c r="S337" s="61">
        <f t="shared" si="80"/>
        <v>1.0102729315497165</v>
      </c>
      <c r="T337" s="80"/>
      <c r="U337" s="59">
        <f>IF(D337=0,0,SUM($L$20:L337))</f>
        <v>60192683.492214441</v>
      </c>
      <c r="V337" s="59">
        <f>IF(D337=0,0,SUM($J$20:J337))</f>
        <v>59823411</v>
      </c>
      <c r="W337" s="63">
        <f t="shared" si="84"/>
        <v>-369272.4922144413</v>
      </c>
      <c r="X337" s="61">
        <f t="shared" si="81"/>
        <v>0.99386515983687274</v>
      </c>
      <c r="Y337" s="145"/>
      <c r="Z337" s="196">
        <f t="shared" si="93"/>
        <v>45609</v>
      </c>
      <c r="AA337" s="197">
        <f t="shared" si="93"/>
        <v>45609</v>
      </c>
      <c r="AB337" s="1"/>
      <c r="AC337" s="1"/>
      <c r="AD337" s="1"/>
      <c r="AE337" s="1"/>
      <c r="AF337" s="145"/>
      <c r="AG337" s="198">
        <f t="shared" si="89"/>
        <v>234</v>
      </c>
      <c r="AH337" s="145"/>
      <c r="AI337" s="145"/>
      <c r="AJ337" s="145"/>
      <c r="AK337" s="145"/>
      <c r="AL337" s="145"/>
      <c r="AM337" s="145"/>
      <c r="AN337" s="145"/>
    </row>
    <row r="338" spans="1:40" ht="20">
      <c r="A338" s="145"/>
      <c r="B338" s="152"/>
      <c r="C338" s="50">
        <f t="shared" si="85"/>
        <v>319</v>
      </c>
      <c r="D338" s="51">
        <v>1</v>
      </c>
      <c r="E338" s="187" t="str">
        <f t="shared" si="78"/>
        <v>11</v>
      </c>
      <c r="F338" s="188">
        <f t="shared" si="86"/>
        <v>45610</v>
      </c>
      <c r="G338" s="189" t="str">
        <f t="shared" si="87"/>
        <v>Thu</v>
      </c>
      <c r="H338" s="190"/>
      <c r="I338" s="200"/>
      <c r="J338" s="201">
        <v>187300</v>
      </c>
      <c r="K338" s="202"/>
      <c r="L338" s="59">
        <f t="shared" si="94"/>
        <v>258760.76833910032</v>
      </c>
      <c r="M338" s="60">
        <f t="shared" si="82"/>
        <v>-71460.768339100323</v>
      </c>
      <c r="N338" s="61">
        <f t="shared" si="79"/>
        <v>0.72383461064139154</v>
      </c>
      <c r="O338" s="194"/>
      <c r="P338" s="106">
        <f>IF(D338=0,0,SUM($L$325:L338))</f>
        <v>2846368.4517301037</v>
      </c>
      <c r="Q338" s="59">
        <f>IF(D338=0,0,SUM($J$325:J338))</f>
        <v>2801490</v>
      </c>
      <c r="R338" s="63">
        <f t="shared" si="83"/>
        <v>-44878.451730103698</v>
      </c>
      <c r="S338" s="61">
        <f t="shared" si="80"/>
        <v>0.98423308419441435</v>
      </c>
      <c r="T338" s="80"/>
      <c r="U338" s="59">
        <f>IF(D338=0,0,SUM($L$20:L338))</f>
        <v>60451444.260553539</v>
      </c>
      <c r="V338" s="59">
        <f>IF(D338=0,0,SUM($J$20:J338))</f>
        <v>60010711</v>
      </c>
      <c r="W338" s="63">
        <f t="shared" si="84"/>
        <v>-440733.2605535388</v>
      </c>
      <c r="X338" s="61">
        <f t="shared" si="81"/>
        <v>0.99270930139147839</v>
      </c>
      <c r="Y338" s="145"/>
      <c r="Z338" s="196">
        <f t="shared" si="93"/>
        <v>45610</v>
      </c>
      <c r="AA338" s="197">
        <f t="shared" si="93"/>
        <v>45610</v>
      </c>
      <c r="AB338" s="1"/>
      <c r="AC338" s="1"/>
      <c r="AD338" s="1"/>
      <c r="AE338" s="1"/>
      <c r="AF338" s="145"/>
      <c r="AG338" s="198">
        <f t="shared" si="89"/>
        <v>235</v>
      </c>
      <c r="AH338" s="145"/>
      <c r="AI338" s="145"/>
      <c r="AJ338" s="145"/>
      <c r="AK338" s="145"/>
      <c r="AL338" s="145"/>
      <c r="AM338" s="145"/>
      <c r="AN338" s="145"/>
    </row>
    <row r="339" spans="1:40" ht="20">
      <c r="A339" s="145"/>
      <c r="B339" s="152"/>
      <c r="C339" s="50">
        <f t="shared" si="85"/>
        <v>320</v>
      </c>
      <c r="D339" s="51">
        <v>1</v>
      </c>
      <c r="E339" s="187" t="str">
        <f t="shared" si="78"/>
        <v>11</v>
      </c>
      <c r="F339" s="188">
        <f t="shared" si="86"/>
        <v>45611</v>
      </c>
      <c r="G339" s="189" t="str">
        <f t="shared" si="87"/>
        <v>Fri</v>
      </c>
      <c r="H339" s="190"/>
      <c r="I339" s="200"/>
      <c r="J339" s="201">
        <v>385100</v>
      </c>
      <c r="K339" s="202"/>
      <c r="L339" s="59">
        <f t="shared" si="94"/>
        <v>258760.76833910032</v>
      </c>
      <c r="M339" s="60">
        <f t="shared" si="82"/>
        <v>126339.23166089968</v>
      </c>
      <c r="N339" s="61">
        <f t="shared" si="79"/>
        <v>1.4882472427015476</v>
      </c>
      <c r="O339" s="194"/>
      <c r="P339" s="106">
        <f>IF(D339=0,0,SUM($L$325:L339))</f>
        <v>3105129.220069204</v>
      </c>
      <c r="Q339" s="59">
        <f>IF(D339=0,0,SUM($J$325:J339))</f>
        <v>3186590</v>
      </c>
      <c r="R339" s="63">
        <f t="shared" si="83"/>
        <v>81460.779930796009</v>
      </c>
      <c r="S339" s="61">
        <f t="shared" si="80"/>
        <v>1.0262342640700088</v>
      </c>
      <c r="T339" s="80"/>
      <c r="U339" s="59">
        <f>IF(D339=0,0,SUM($L$20:L339))</f>
        <v>60710205.028892636</v>
      </c>
      <c r="V339" s="59">
        <f>IF(D339=0,0,SUM($J$20:J339))</f>
        <v>60395811</v>
      </c>
      <c r="W339" s="63">
        <f t="shared" si="84"/>
        <v>-314394.0288926363</v>
      </c>
      <c r="X339" s="61">
        <f t="shared" si="81"/>
        <v>0.99482139734591557</v>
      </c>
      <c r="Y339" s="145"/>
      <c r="Z339" s="196">
        <f t="shared" si="93"/>
        <v>45611</v>
      </c>
      <c r="AA339" s="197">
        <f t="shared" si="93"/>
        <v>45611</v>
      </c>
      <c r="AB339" s="1"/>
      <c r="AC339" s="1"/>
      <c r="AD339" s="1"/>
      <c r="AE339" s="1"/>
      <c r="AF339" s="145"/>
      <c r="AG339" s="198">
        <f t="shared" si="89"/>
        <v>236</v>
      </c>
      <c r="AH339" s="145"/>
      <c r="AI339" s="145"/>
      <c r="AJ339" s="145"/>
      <c r="AK339" s="145"/>
      <c r="AL339" s="145"/>
      <c r="AM339" s="145"/>
      <c r="AN339" s="145"/>
    </row>
    <row r="340" spans="1:40" ht="20">
      <c r="A340" s="145"/>
      <c r="B340" s="152"/>
      <c r="C340" s="50">
        <f t="shared" si="85"/>
        <v>321</v>
      </c>
      <c r="D340" s="51">
        <v>1</v>
      </c>
      <c r="E340" s="187" t="str">
        <f t="shared" si="78"/>
        <v>11</v>
      </c>
      <c r="F340" s="188">
        <f t="shared" si="86"/>
        <v>45612</v>
      </c>
      <c r="G340" s="189" t="str">
        <f t="shared" si="87"/>
        <v>Sat</v>
      </c>
      <c r="H340" s="190"/>
      <c r="I340" s="200"/>
      <c r="J340" s="201">
        <v>205350</v>
      </c>
      <c r="K340" s="202"/>
      <c r="L340" s="59">
        <f t="shared" si="94"/>
        <v>258760.76833910032</v>
      </c>
      <c r="M340" s="60">
        <f t="shared" ref="M340:M385" si="95">IF(D340=0,0,J340-L340)</f>
        <v>-53410.768339100323</v>
      </c>
      <c r="N340" s="61">
        <f t="shared" si="79"/>
        <v>0.79359016174698216</v>
      </c>
      <c r="O340" s="194"/>
      <c r="P340" s="106">
        <f>IF(D340=0,0,SUM($L$325:L340))</f>
        <v>3363889.9884083043</v>
      </c>
      <c r="Q340" s="59">
        <f>IF(D340=0,0,SUM($J$325:J340))</f>
        <v>3391940</v>
      </c>
      <c r="R340" s="63">
        <f t="shared" ref="R340:R385" si="96">IF(D340=0,0,Q340-P340)</f>
        <v>28050.011591695715</v>
      </c>
      <c r="S340" s="61">
        <f t="shared" si="80"/>
        <v>1.0083385638913145</v>
      </c>
      <c r="T340" s="81"/>
      <c r="U340" s="59">
        <f>IF(D340=0,0,SUM($L$20:L340))</f>
        <v>60968965.797231734</v>
      </c>
      <c r="V340" s="59">
        <f>IF(D340=0,0,SUM($J$20:J340))</f>
        <v>60601161</v>
      </c>
      <c r="W340" s="63">
        <f t="shared" ref="W340:W385" si="97">IF(D340=0,0,V340-U340)</f>
        <v>-367804.7972317338</v>
      </c>
      <c r="X340" s="61">
        <f t="shared" si="81"/>
        <v>0.99396734400161935</v>
      </c>
      <c r="Y340" s="145"/>
      <c r="Z340" s="196">
        <f t="shared" si="93"/>
        <v>45612</v>
      </c>
      <c r="AA340" s="197">
        <f t="shared" si="93"/>
        <v>45612</v>
      </c>
      <c r="AB340" s="1"/>
      <c r="AC340" s="1"/>
      <c r="AD340" s="1"/>
      <c r="AE340" s="1"/>
      <c r="AF340" s="145"/>
      <c r="AG340" s="198">
        <f t="shared" si="89"/>
        <v>237</v>
      </c>
      <c r="AH340" s="145"/>
      <c r="AI340" s="145"/>
      <c r="AJ340" s="145"/>
      <c r="AK340" s="145"/>
      <c r="AL340" s="145"/>
      <c r="AM340" s="145"/>
      <c r="AN340" s="145"/>
    </row>
    <row r="341" spans="1:40" ht="20">
      <c r="A341" s="145"/>
      <c r="B341" s="152"/>
      <c r="C341" s="50">
        <f t="shared" ref="C341:C385" si="98">C340+1</f>
        <v>322</v>
      </c>
      <c r="D341" s="51">
        <v>0</v>
      </c>
      <c r="E341" s="187" t="str">
        <f t="shared" si="78"/>
        <v>11</v>
      </c>
      <c r="F341" s="188">
        <f t="shared" ref="F341:F385" si="99">F340+1</f>
        <v>45613</v>
      </c>
      <c r="G341" s="189" t="str">
        <f t="shared" ref="G341:G385" si="100">TEXT(Z341,"ddd")</f>
        <v>Sun</v>
      </c>
      <c r="H341" s="190" t="s">
        <v>58</v>
      </c>
      <c r="I341" s="200"/>
      <c r="J341" s="201">
        <v>0</v>
      </c>
      <c r="K341" s="202"/>
      <c r="L341" s="59">
        <f t="shared" si="94"/>
        <v>0</v>
      </c>
      <c r="M341" s="60">
        <f t="shared" si="95"/>
        <v>0</v>
      </c>
      <c r="N341" s="61" t="str">
        <f t="shared" si="79"/>
        <v>0%</v>
      </c>
      <c r="O341" s="194"/>
      <c r="P341" s="106">
        <f>IF(D341=0,0,SUM($L$325:L341))</f>
        <v>0</v>
      </c>
      <c r="Q341" s="59">
        <f>IF(D341=0,0,SUM($J$325:J341))</f>
        <v>0</v>
      </c>
      <c r="R341" s="63">
        <f t="shared" si="96"/>
        <v>0</v>
      </c>
      <c r="S341" s="61" t="str">
        <f t="shared" si="80"/>
        <v>0%</v>
      </c>
      <c r="T341" s="80"/>
      <c r="U341" s="59">
        <f>IF(D341=0,0,SUM($L$20:L341))</f>
        <v>0</v>
      </c>
      <c r="V341" s="59">
        <f>IF(D341=0,0,SUM($J$20:J341))</f>
        <v>0</v>
      </c>
      <c r="W341" s="63">
        <f t="shared" si="97"/>
        <v>0</v>
      </c>
      <c r="X341" s="61" t="str">
        <f t="shared" si="81"/>
        <v>0%</v>
      </c>
      <c r="Y341" s="145"/>
      <c r="Z341" s="196">
        <f t="shared" ref="Z341:AA356" si="101">Z340+1</f>
        <v>45613</v>
      </c>
      <c r="AA341" s="197">
        <f t="shared" si="101"/>
        <v>45613</v>
      </c>
      <c r="AB341" s="1"/>
      <c r="AC341" s="1"/>
      <c r="AD341" s="1"/>
      <c r="AE341" s="1"/>
      <c r="AF341" s="145"/>
      <c r="AG341" s="198">
        <f t="shared" si="89"/>
        <v>238</v>
      </c>
      <c r="AH341" s="145"/>
      <c r="AI341" s="145"/>
      <c r="AJ341" s="145"/>
      <c r="AK341" s="145"/>
      <c r="AL341" s="145"/>
      <c r="AM341" s="145"/>
      <c r="AN341" s="145"/>
    </row>
    <row r="342" spans="1:40" ht="20">
      <c r="A342" s="145"/>
      <c r="B342" s="152"/>
      <c r="C342" s="50">
        <f t="shared" si="98"/>
        <v>323</v>
      </c>
      <c r="D342" s="51">
        <v>1</v>
      </c>
      <c r="E342" s="187" t="str">
        <f t="shared" si="78"/>
        <v>11</v>
      </c>
      <c r="F342" s="188">
        <f t="shared" si="99"/>
        <v>45614</v>
      </c>
      <c r="G342" s="189" t="str">
        <f t="shared" si="100"/>
        <v>Mon</v>
      </c>
      <c r="H342" s="190"/>
      <c r="I342" s="200"/>
      <c r="J342" s="201">
        <v>193400</v>
      </c>
      <c r="K342" s="202"/>
      <c r="L342" s="59">
        <f t="shared" si="94"/>
        <v>258760.76833910032</v>
      </c>
      <c r="M342" s="60">
        <f t="shared" si="95"/>
        <v>-65360.768339100323</v>
      </c>
      <c r="N342" s="61">
        <f t="shared" si="79"/>
        <v>0.74740850879895959</v>
      </c>
      <c r="O342" s="194"/>
      <c r="P342" s="106">
        <f>IF(D342=0,0,SUM($L$325:L342))</f>
        <v>3622650.7567474046</v>
      </c>
      <c r="Q342" s="59">
        <f>IF(D342=0,0,SUM($J$325:J342))</f>
        <v>3585340</v>
      </c>
      <c r="R342" s="63">
        <f t="shared" si="96"/>
        <v>-37310.756747404579</v>
      </c>
      <c r="S342" s="61">
        <f t="shared" si="80"/>
        <v>0.98970070281328915</v>
      </c>
      <c r="T342" s="80"/>
      <c r="U342" s="59">
        <f>IF(D342=0,0,SUM($L$20:L342))</f>
        <v>61227726.565570831</v>
      </c>
      <c r="V342" s="59">
        <f>IF(D342=0,0,SUM($J$20:J342))</f>
        <v>60794561</v>
      </c>
      <c r="W342" s="63">
        <f t="shared" si="97"/>
        <v>-433165.5655708313</v>
      </c>
      <c r="X342" s="61">
        <f t="shared" si="81"/>
        <v>0.99292533644692915</v>
      </c>
      <c r="Y342" s="145"/>
      <c r="Z342" s="196">
        <f t="shared" si="101"/>
        <v>45614</v>
      </c>
      <c r="AA342" s="197">
        <f t="shared" si="101"/>
        <v>45614</v>
      </c>
      <c r="AB342" s="1"/>
      <c r="AC342" s="1"/>
      <c r="AD342" s="1"/>
      <c r="AE342" s="1"/>
      <c r="AF342" s="145"/>
      <c r="AG342" s="198">
        <f t="shared" ref="AG342:AG385" si="102">AG341+1</f>
        <v>239</v>
      </c>
      <c r="AH342" s="145"/>
      <c r="AI342" s="145"/>
      <c r="AJ342" s="145"/>
      <c r="AK342" s="145"/>
      <c r="AL342" s="145"/>
      <c r="AM342" s="145"/>
      <c r="AN342" s="145"/>
    </row>
    <row r="343" spans="1:40" ht="20">
      <c r="A343" s="145"/>
      <c r="B343" s="152"/>
      <c r="C343" s="50">
        <f t="shared" si="98"/>
        <v>324</v>
      </c>
      <c r="D343" s="51">
        <v>1</v>
      </c>
      <c r="E343" s="187" t="str">
        <f t="shared" si="78"/>
        <v>11</v>
      </c>
      <c r="F343" s="188">
        <f t="shared" si="99"/>
        <v>45615</v>
      </c>
      <c r="G343" s="189" t="str">
        <f t="shared" si="100"/>
        <v>Tue</v>
      </c>
      <c r="H343" s="190"/>
      <c r="I343" s="200"/>
      <c r="J343" s="201">
        <v>211410</v>
      </c>
      <c r="K343" s="202"/>
      <c r="L343" s="59">
        <f t="shared" si="94"/>
        <v>258760.76833910032</v>
      </c>
      <c r="M343" s="60">
        <f t="shared" si="95"/>
        <v>-47350.768339100323</v>
      </c>
      <c r="N343" s="61">
        <f t="shared" si="79"/>
        <v>0.81700947696581205</v>
      </c>
      <c r="O343" s="194"/>
      <c r="P343" s="106">
        <f>IF(D343=0,0,SUM($L$325:L343))</f>
        <v>3881411.5250865049</v>
      </c>
      <c r="Q343" s="59">
        <f>IF(D343=0,0,SUM($J$325:J343))</f>
        <v>3796750</v>
      </c>
      <c r="R343" s="63">
        <f t="shared" si="96"/>
        <v>-84661.525086504873</v>
      </c>
      <c r="S343" s="61">
        <f t="shared" si="80"/>
        <v>0.9781879544234573</v>
      </c>
      <c r="T343" s="80"/>
      <c r="U343" s="59">
        <f>IF(D343=0,0,SUM($L$20:L343))</f>
        <v>61486487.333909929</v>
      </c>
      <c r="V343" s="59">
        <f>IF(D343=0,0,SUM($J$20:J343))</f>
        <v>61005971</v>
      </c>
      <c r="W343" s="63">
        <f t="shared" si="97"/>
        <v>-480516.3339099288</v>
      </c>
      <c r="X343" s="61">
        <f t="shared" si="81"/>
        <v>0.99218500918257979</v>
      </c>
      <c r="Y343" s="145"/>
      <c r="Z343" s="196">
        <f t="shared" si="101"/>
        <v>45615</v>
      </c>
      <c r="AA343" s="197">
        <f t="shared" si="101"/>
        <v>45615</v>
      </c>
      <c r="AB343" s="1"/>
      <c r="AC343" s="1"/>
      <c r="AD343" s="1"/>
      <c r="AE343" s="1"/>
      <c r="AF343" s="145"/>
      <c r="AG343" s="198">
        <f t="shared" si="102"/>
        <v>240</v>
      </c>
      <c r="AH343" s="145"/>
      <c r="AI343" s="145"/>
      <c r="AJ343" s="145"/>
      <c r="AK343" s="145"/>
      <c r="AL343" s="145"/>
      <c r="AM343" s="145"/>
      <c r="AN343" s="145"/>
    </row>
    <row r="344" spans="1:40" ht="20">
      <c r="A344" s="145"/>
      <c r="B344" s="152"/>
      <c r="C344" s="50">
        <f t="shared" si="98"/>
        <v>325</v>
      </c>
      <c r="D344" s="51">
        <v>1</v>
      </c>
      <c r="E344" s="187" t="str">
        <f t="shared" si="78"/>
        <v>11</v>
      </c>
      <c r="F344" s="188">
        <f t="shared" si="99"/>
        <v>45616</v>
      </c>
      <c r="G344" s="189" t="str">
        <f t="shared" si="100"/>
        <v>Wed</v>
      </c>
      <c r="H344" s="190"/>
      <c r="I344" s="200"/>
      <c r="J344" s="201">
        <v>240450</v>
      </c>
      <c r="K344" s="202"/>
      <c r="L344" s="59">
        <f t="shared" si="94"/>
        <v>258760.76833910032</v>
      </c>
      <c r="M344" s="60">
        <f t="shared" si="95"/>
        <v>-18310.768339100323</v>
      </c>
      <c r="N344" s="61">
        <f t="shared" si="79"/>
        <v>0.92923669048970958</v>
      </c>
      <c r="O344" s="194"/>
      <c r="P344" s="106">
        <f>IF(D344=0,0,SUM($L$325:L344))</f>
        <v>4140172.2934256052</v>
      </c>
      <c r="Q344" s="59">
        <f>IF(D344=0,0,SUM($J$325:J344))</f>
        <v>4037200</v>
      </c>
      <c r="R344" s="63">
        <f t="shared" si="96"/>
        <v>-102972.29342560517</v>
      </c>
      <c r="S344" s="61">
        <f t="shared" si="80"/>
        <v>0.97512850042759813</v>
      </c>
      <c r="T344" s="80"/>
      <c r="U344" s="59">
        <f>IF(D344=0,0,SUM($L$20:L344))</f>
        <v>61745248.102249026</v>
      </c>
      <c r="V344" s="59">
        <f>IF(D344=0,0,SUM($J$20:J344))</f>
        <v>61246421</v>
      </c>
      <c r="W344" s="63">
        <f t="shared" si="97"/>
        <v>-498827.1022490263</v>
      </c>
      <c r="X344" s="61">
        <f t="shared" si="81"/>
        <v>0.99192120660973004</v>
      </c>
      <c r="Y344" s="145"/>
      <c r="Z344" s="196">
        <f t="shared" si="101"/>
        <v>45616</v>
      </c>
      <c r="AA344" s="197">
        <f t="shared" si="101"/>
        <v>45616</v>
      </c>
      <c r="AB344" s="1"/>
      <c r="AC344" s="1"/>
      <c r="AD344" s="1"/>
      <c r="AE344" s="1"/>
      <c r="AF344" s="145"/>
      <c r="AG344" s="198">
        <f t="shared" si="102"/>
        <v>241</v>
      </c>
      <c r="AH344" s="145"/>
      <c r="AI344" s="145"/>
      <c r="AJ344" s="145"/>
      <c r="AK344" s="145"/>
      <c r="AL344" s="145"/>
      <c r="AM344" s="145"/>
      <c r="AN344" s="145"/>
    </row>
    <row r="345" spans="1:40" ht="20">
      <c r="A345" s="145"/>
      <c r="B345" s="152"/>
      <c r="C345" s="50">
        <f t="shared" si="98"/>
        <v>326</v>
      </c>
      <c r="D345" s="51">
        <v>1</v>
      </c>
      <c r="E345" s="187" t="str">
        <f t="shared" si="78"/>
        <v>11</v>
      </c>
      <c r="F345" s="188">
        <f t="shared" si="99"/>
        <v>45617</v>
      </c>
      <c r="G345" s="189" t="str">
        <f t="shared" si="100"/>
        <v>Thu</v>
      </c>
      <c r="H345" s="190"/>
      <c r="I345" s="200"/>
      <c r="J345" s="201">
        <v>354680</v>
      </c>
      <c r="K345" s="202"/>
      <c r="L345" s="59">
        <f t="shared" si="94"/>
        <v>258760.76833910032</v>
      </c>
      <c r="M345" s="60">
        <f t="shared" si="95"/>
        <v>95919.231660899677</v>
      </c>
      <c r="N345" s="61">
        <f t="shared" si="79"/>
        <v>1.370686917791184</v>
      </c>
      <c r="O345" s="194"/>
      <c r="P345" s="106">
        <f>IF(D345=0,0,SUM($L$325:L345))</f>
        <v>4398933.0617647059</v>
      </c>
      <c r="Q345" s="59">
        <f>IF(D345=0,0,SUM($J$325:J345))</f>
        <v>4391880</v>
      </c>
      <c r="R345" s="63">
        <f t="shared" si="96"/>
        <v>-7053.0617647059262</v>
      </c>
      <c r="S345" s="61">
        <f t="shared" si="80"/>
        <v>0.99839664262545602</v>
      </c>
      <c r="T345" s="80"/>
      <c r="U345" s="59">
        <f>IF(D345=0,0,SUM($L$20:L345))</f>
        <v>62004008.870588124</v>
      </c>
      <c r="V345" s="59">
        <f>IF(D345=0,0,SUM($J$20:J345))</f>
        <v>61601101</v>
      </c>
      <c r="W345" s="63">
        <f t="shared" si="97"/>
        <v>-402907.8705881238</v>
      </c>
      <c r="X345" s="61">
        <f t="shared" si="81"/>
        <v>0.99350190611982758</v>
      </c>
      <c r="Y345" s="145"/>
      <c r="Z345" s="196">
        <f t="shared" si="101"/>
        <v>45617</v>
      </c>
      <c r="AA345" s="197">
        <f t="shared" si="101"/>
        <v>45617</v>
      </c>
      <c r="AB345" s="1"/>
      <c r="AC345" s="1"/>
      <c r="AD345" s="1"/>
      <c r="AE345" s="1"/>
      <c r="AF345" s="145"/>
      <c r="AG345" s="198">
        <f t="shared" si="102"/>
        <v>242</v>
      </c>
      <c r="AH345" s="145"/>
      <c r="AI345" s="145"/>
      <c r="AJ345" s="145"/>
      <c r="AK345" s="145"/>
      <c r="AL345" s="145"/>
      <c r="AM345" s="145"/>
      <c r="AN345" s="145"/>
    </row>
    <row r="346" spans="1:40" ht="20">
      <c r="A346" s="145"/>
      <c r="B346" s="152"/>
      <c r="C346" s="50">
        <f t="shared" si="98"/>
        <v>327</v>
      </c>
      <c r="D346" s="51">
        <v>1</v>
      </c>
      <c r="E346" s="187" t="str">
        <f t="shared" si="78"/>
        <v>11</v>
      </c>
      <c r="F346" s="188">
        <f t="shared" si="99"/>
        <v>45618</v>
      </c>
      <c r="G346" s="189" t="str">
        <f t="shared" si="100"/>
        <v>Fri</v>
      </c>
      <c r="H346" s="190"/>
      <c r="I346" s="200"/>
      <c r="J346" s="201">
        <v>197200</v>
      </c>
      <c r="K346" s="202"/>
      <c r="L346" s="59">
        <f t="shared" si="94"/>
        <v>258760.76833910032</v>
      </c>
      <c r="M346" s="60">
        <f t="shared" si="95"/>
        <v>-61560.768339100323</v>
      </c>
      <c r="N346" s="61">
        <f t="shared" si="79"/>
        <v>0.76209388797908384</v>
      </c>
      <c r="O346" s="194"/>
      <c r="P346" s="106">
        <f>IF(D346=0,0,SUM($L$325:L346))</f>
        <v>4657693.8301038062</v>
      </c>
      <c r="Q346" s="59">
        <f>IF(D346=0,0,SUM($J$325:J346))</f>
        <v>4589080</v>
      </c>
      <c r="R346" s="63">
        <f t="shared" si="96"/>
        <v>-68613.83010380622</v>
      </c>
      <c r="S346" s="61">
        <f t="shared" si="80"/>
        <v>0.98526871181176867</v>
      </c>
      <c r="T346" s="80"/>
      <c r="U346" s="59">
        <f>IF(D346=0,0,SUM($L$20:L346))</f>
        <v>62262769.638927221</v>
      </c>
      <c r="V346" s="59">
        <f>IF(D346=0,0,SUM($J$20:J346))</f>
        <v>61798301</v>
      </c>
      <c r="W346" s="63">
        <f t="shared" si="97"/>
        <v>-464468.6389272213</v>
      </c>
      <c r="X346" s="61">
        <f t="shared" si="81"/>
        <v>0.9925401866698067</v>
      </c>
      <c r="Y346" s="145"/>
      <c r="Z346" s="196">
        <f t="shared" si="101"/>
        <v>45618</v>
      </c>
      <c r="AA346" s="197">
        <f t="shared" si="101"/>
        <v>45618</v>
      </c>
      <c r="AB346" s="1"/>
      <c r="AC346" s="1"/>
      <c r="AD346" s="1"/>
      <c r="AE346" s="1"/>
      <c r="AF346" s="145"/>
      <c r="AG346" s="198">
        <f t="shared" si="102"/>
        <v>243</v>
      </c>
      <c r="AH346" s="145"/>
      <c r="AI346" s="145"/>
      <c r="AJ346" s="145"/>
      <c r="AK346" s="145"/>
      <c r="AL346" s="145"/>
      <c r="AM346" s="145"/>
      <c r="AN346" s="145"/>
    </row>
    <row r="347" spans="1:40" ht="20">
      <c r="A347" s="145"/>
      <c r="B347" s="152"/>
      <c r="C347" s="50">
        <f t="shared" si="98"/>
        <v>328</v>
      </c>
      <c r="D347" s="51">
        <v>0</v>
      </c>
      <c r="E347" s="187" t="str">
        <f t="shared" si="78"/>
        <v>11</v>
      </c>
      <c r="F347" s="188">
        <f t="shared" si="99"/>
        <v>45619</v>
      </c>
      <c r="G347" s="189" t="str">
        <f t="shared" si="100"/>
        <v>Sat</v>
      </c>
      <c r="H347" s="190" t="s">
        <v>115</v>
      </c>
      <c r="I347" s="200"/>
      <c r="J347" s="201">
        <v>0</v>
      </c>
      <c r="K347" s="202"/>
      <c r="L347" s="59">
        <f t="shared" si="94"/>
        <v>0</v>
      </c>
      <c r="M347" s="60">
        <f t="shared" si="95"/>
        <v>0</v>
      </c>
      <c r="N347" s="61" t="str">
        <f t="shared" si="79"/>
        <v>0%</v>
      </c>
      <c r="O347" s="194"/>
      <c r="P347" s="106">
        <f>IF(D347=0,0,SUM($L$325:L347))</f>
        <v>0</v>
      </c>
      <c r="Q347" s="59">
        <f>IF(D347=0,0,SUM($J$325:J347))</f>
        <v>0</v>
      </c>
      <c r="R347" s="63">
        <f t="shared" si="96"/>
        <v>0</v>
      </c>
      <c r="S347" s="61" t="str">
        <f t="shared" si="80"/>
        <v>0%</v>
      </c>
      <c r="T347" s="81"/>
      <c r="U347" s="59">
        <f>IF(D347=0,0,SUM($L$20:L347))</f>
        <v>0</v>
      </c>
      <c r="V347" s="59">
        <f>IF(D347=0,0,SUM($J$20:J347))</f>
        <v>0</v>
      </c>
      <c r="W347" s="63">
        <f t="shared" si="97"/>
        <v>0</v>
      </c>
      <c r="X347" s="61" t="str">
        <f t="shared" si="81"/>
        <v>0%</v>
      </c>
      <c r="Y347" s="145"/>
      <c r="Z347" s="196">
        <f t="shared" si="101"/>
        <v>45619</v>
      </c>
      <c r="AA347" s="197">
        <f t="shared" si="101"/>
        <v>45619</v>
      </c>
      <c r="AB347" s="1"/>
      <c r="AC347" s="1"/>
      <c r="AD347" s="1"/>
      <c r="AE347" s="1"/>
      <c r="AF347" s="145"/>
      <c r="AG347" s="198">
        <f t="shared" si="102"/>
        <v>244</v>
      </c>
      <c r="AH347" s="145"/>
      <c r="AI347" s="145"/>
      <c r="AJ347" s="145"/>
      <c r="AK347" s="145"/>
      <c r="AL347" s="145"/>
      <c r="AM347" s="145"/>
      <c r="AN347" s="145"/>
    </row>
    <row r="348" spans="1:40" ht="20">
      <c r="A348" s="145"/>
      <c r="B348" s="152"/>
      <c r="C348" s="50">
        <f t="shared" si="98"/>
        <v>329</v>
      </c>
      <c r="D348" s="51">
        <v>0</v>
      </c>
      <c r="E348" s="187" t="str">
        <f t="shared" si="78"/>
        <v>11</v>
      </c>
      <c r="F348" s="188">
        <f t="shared" si="99"/>
        <v>45620</v>
      </c>
      <c r="G348" s="189" t="str">
        <f t="shared" si="100"/>
        <v>Sun</v>
      </c>
      <c r="H348" s="190" t="s">
        <v>58</v>
      </c>
      <c r="I348" s="200"/>
      <c r="J348" s="201">
        <v>0</v>
      </c>
      <c r="K348" s="202"/>
      <c r="L348" s="59">
        <f t="shared" si="94"/>
        <v>0</v>
      </c>
      <c r="M348" s="60">
        <f t="shared" si="95"/>
        <v>0</v>
      </c>
      <c r="N348" s="61" t="str">
        <f t="shared" si="79"/>
        <v>0%</v>
      </c>
      <c r="O348" s="194"/>
      <c r="P348" s="106">
        <f>IF(D348=0,0,SUM($L$325:L348))</f>
        <v>0</v>
      </c>
      <c r="Q348" s="59">
        <f>IF(D348=0,0,SUM($J$325:J348))</f>
        <v>0</v>
      </c>
      <c r="R348" s="63">
        <f t="shared" si="96"/>
        <v>0</v>
      </c>
      <c r="S348" s="61" t="str">
        <f t="shared" si="80"/>
        <v>0%</v>
      </c>
      <c r="T348" s="81"/>
      <c r="U348" s="59">
        <f>IF(D348=0,0,SUM($L$20:L348))</f>
        <v>0</v>
      </c>
      <c r="V348" s="59">
        <f>IF(D348=0,0,SUM($J$20:J348))</f>
        <v>0</v>
      </c>
      <c r="W348" s="63">
        <f t="shared" si="97"/>
        <v>0</v>
      </c>
      <c r="X348" s="61" t="str">
        <f t="shared" si="81"/>
        <v>0%</v>
      </c>
      <c r="Y348" s="145"/>
      <c r="Z348" s="196">
        <f t="shared" si="101"/>
        <v>45620</v>
      </c>
      <c r="AA348" s="197">
        <f t="shared" si="101"/>
        <v>45620</v>
      </c>
      <c r="AB348" s="1"/>
      <c r="AC348" s="1"/>
      <c r="AD348" s="1"/>
      <c r="AE348" s="1"/>
      <c r="AF348" s="145"/>
      <c r="AG348" s="198">
        <f t="shared" si="102"/>
        <v>245</v>
      </c>
      <c r="AH348" s="145"/>
      <c r="AI348" s="145"/>
      <c r="AJ348" s="145"/>
      <c r="AK348" s="145"/>
      <c r="AL348" s="145"/>
      <c r="AM348" s="145"/>
      <c r="AN348" s="145"/>
    </row>
    <row r="349" spans="1:40" ht="20">
      <c r="A349" s="145"/>
      <c r="B349" s="152"/>
      <c r="C349" s="50">
        <f t="shared" si="98"/>
        <v>330</v>
      </c>
      <c r="D349" s="51">
        <v>1</v>
      </c>
      <c r="E349" s="187" t="str">
        <f t="shared" si="78"/>
        <v>11</v>
      </c>
      <c r="F349" s="188">
        <f t="shared" si="99"/>
        <v>45621</v>
      </c>
      <c r="G349" s="189" t="str">
        <f t="shared" si="100"/>
        <v>Mon</v>
      </c>
      <c r="H349" s="190"/>
      <c r="I349" s="200"/>
      <c r="J349" s="201">
        <v>164400</v>
      </c>
      <c r="K349" s="202"/>
      <c r="L349" s="59">
        <f t="shared" si="94"/>
        <v>258760.76833910032</v>
      </c>
      <c r="M349" s="60">
        <f t="shared" si="95"/>
        <v>-94360.768339100323</v>
      </c>
      <c r="N349" s="61">
        <f t="shared" si="79"/>
        <v>0.63533587821380011</v>
      </c>
      <c r="O349" s="194"/>
      <c r="P349" s="106">
        <f>IF(D349=0,0,SUM($L$325:L349))</f>
        <v>4916454.5984429065</v>
      </c>
      <c r="Q349" s="59">
        <f>IF(D349=0,0,SUM($J$325:J349))</f>
        <v>4753480</v>
      </c>
      <c r="R349" s="63">
        <f t="shared" si="96"/>
        <v>-162974.59844290651</v>
      </c>
      <c r="S349" s="61">
        <f t="shared" si="80"/>
        <v>0.96685119425398081</v>
      </c>
      <c r="T349" s="80"/>
      <c r="U349" s="59">
        <f>IF(D349=0,0,SUM($L$20:L349))</f>
        <v>62521530.407266319</v>
      </c>
      <c r="V349" s="59">
        <f>IF(D349=0,0,SUM($J$20:J349))</f>
        <v>61962701</v>
      </c>
      <c r="W349" s="63">
        <f t="shared" si="97"/>
        <v>-558829.4072663188</v>
      </c>
      <c r="X349" s="61">
        <f t="shared" si="81"/>
        <v>0.99106180857016624</v>
      </c>
      <c r="Y349" s="145"/>
      <c r="Z349" s="196">
        <f t="shared" si="101"/>
        <v>45621</v>
      </c>
      <c r="AA349" s="197">
        <f t="shared" si="101"/>
        <v>45621</v>
      </c>
      <c r="AB349" s="1"/>
      <c r="AC349" s="1"/>
      <c r="AD349" s="1"/>
      <c r="AE349" s="1"/>
      <c r="AF349" s="145"/>
      <c r="AG349" s="198">
        <f t="shared" si="102"/>
        <v>246</v>
      </c>
      <c r="AH349" s="145"/>
      <c r="AI349" s="145"/>
      <c r="AJ349" s="145"/>
      <c r="AK349" s="145"/>
      <c r="AL349" s="145"/>
      <c r="AM349" s="145"/>
      <c r="AN349" s="145"/>
    </row>
    <row r="350" spans="1:40" ht="20">
      <c r="A350" s="145"/>
      <c r="B350" s="152"/>
      <c r="C350" s="50">
        <f t="shared" si="98"/>
        <v>331</v>
      </c>
      <c r="D350" s="51">
        <v>1</v>
      </c>
      <c r="E350" s="187" t="str">
        <f t="shared" si="78"/>
        <v>11</v>
      </c>
      <c r="F350" s="188">
        <f t="shared" si="99"/>
        <v>45622</v>
      </c>
      <c r="G350" s="189" t="str">
        <f t="shared" si="100"/>
        <v>Tue</v>
      </c>
      <c r="H350" s="190"/>
      <c r="I350" s="200"/>
      <c r="J350" s="201">
        <v>243350</v>
      </c>
      <c r="K350" s="202"/>
      <c r="L350" s="59">
        <f t="shared" si="94"/>
        <v>258760.76833910032</v>
      </c>
      <c r="M350" s="60">
        <f t="shared" si="95"/>
        <v>-15410.768339100323</v>
      </c>
      <c r="N350" s="61">
        <f t="shared" si="79"/>
        <v>0.94044395354822552</v>
      </c>
      <c r="O350" s="194"/>
      <c r="P350" s="106">
        <f>IF(D350=0,0,SUM($L$325:L350))</f>
        <v>5175215.3667820068</v>
      </c>
      <c r="Q350" s="59">
        <f>IF(D350=0,0,SUM($J$325:J350))</f>
        <v>4996830</v>
      </c>
      <c r="R350" s="63">
        <f t="shared" si="96"/>
        <v>-178385.36678200681</v>
      </c>
      <c r="S350" s="61">
        <f t="shared" si="80"/>
        <v>0.96553083221869307</v>
      </c>
      <c r="T350" s="80"/>
      <c r="U350" s="59">
        <f>IF(D350=0,0,SUM($L$20:L350))</f>
        <v>62780291.175605416</v>
      </c>
      <c r="V350" s="59">
        <f>IF(D350=0,0,SUM($J$20:J350))</f>
        <v>62206051</v>
      </c>
      <c r="W350" s="63">
        <f t="shared" si="97"/>
        <v>-574240.1756054163</v>
      </c>
      <c r="X350" s="61">
        <f t="shared" si="81"/>
        <v>0.99085317756811309</v>
      </c>
      <c r="Y350" s="145"/>
      <c r="Z350" s="196">
        <f t="shared" si="101"/>
        <v>45622</v>
      </c>
      <c r="AA350" s="197">
        <f t="shared" si="101"/>
        <v>45622</v>
      </c>
      <c r="AB350" s="1"/>
      <c r="AC350" s="1"/>
      <c r="AD350" s="1"/>
      <c r="AE350" s="1"/>
      <c r="AF350" s="145"/>
      <c r="AG350" s="198">
        <f t="shared" si="102"/>
        <v>247</v>
      </c>
      <c r="AH350" s="145"/>
      <c r="AI350" s="145"/>
      <c r="AJ350" s="145"/>
      <c r="AK350" s="145"/>
      <c r="AL350" s="145"/>
      <c r="AM350" s="145"/>
      <c r="AN350" s="145"/>
    </row>
    <row r="351" spans="1:40" ht="20">
      <c r="A351" s="145"/>
      <c r="B351" s="152"/>
      <c r="C351" s="50">
        <f t="shared" si="98"/>
        <v>332</v>
      </c>
      <c r="D351" s="51">
        <v>1</v>
      </c>
      <c r="E351" s="187" t="str">
        <f t="shared" si="78"/>
        <v>11</v>
      </c>
      <c r="F351" s="188">
        <f t="shared" si="99"/>
        <v>45623</v>
      </c>
      <c r="G351" s="189" t="str">
        <f t="shared" si="100"/>
        <v>Wed</v>
      </c>
      <c r="H351" s="190"/>
      <c r="I351" s="200"/>
      <c r="J351" s="201">
        <v>342250</v>
      </c>
      <c r="K351" s="202"/>
      <c r="L351" s="59">
        <f t="shared" si="94"/>
        <v>258760.76833910032</v>
      </c>
      <c r="M351" s="60">
        <f t="shared" si="95"/>
        <v>83489.231660899677</v>
      </c>
      <c r="N351" s="61">
        <f t="shared" si="79"/>
        <v>1.3226502695783036</v>
      </c>
      <c r="O351" s="194"/>
      <c r="P351" s="106">
        <f>IF(D351=0,0,SUM($L$325:L351))</f>
        <v>5433976.1351211071</v>
      </c>
      <c r="Q351" s="59">
        <f>IF(D351=0,0,SUM($J$325:J351))</f>
        <v>5339080</v>
      </c>
      <c r="R351" s="63">
        <f t="shared" si="96"/>
        <v>-94896.135121107101</v>
      </c>
      <c r="S351" s="61">
        <f t="shared" si="80"/>
        <v>0.98253651971200784</v>
      </c>
      <c r="T351" s="80"/>
      <c r="U351" s="59">
        <f>IF(D351=0,0,SUM($L$20:L351))</f>
        <v>63039051.943944514</v>
      </c>
      <c r="V351" s="59">
        <f>IF(D351=0,0,SUM($J$20:J351))</f>
        <v>62548301</v>
      </c>
      <c r="W351" s="63">
        <f t="shared" si="97"/>
        <v>-490750.9439445138</v>
      </c>
      <c r="X351" s="61">
        <f t="shared" si="81"/>
        <v>0.99221512810216594</v>
      </c>
      <c r="Y351" s="145"/>
      <c r="Z351" s="196">
        <f t="shared" si="101"/>
        <v>45623</v>
      </c>
      <c r="AA351" s="197">
        <f t="shared" si="101"/>
        <v>45623</v>
      </c>
      <c r="AB351" s="1"/>
      <c r="AC351" s="1"/>
      <c r="AD351" s="1"/>
      <c r="AE351" s="1"/>
      <c r="AF351" s="145"/>
      <c r="AG351" s="198">
        <f t="shared" si="102"/>
        <v>248</v>
      </c>
      <c r="AH351" s="145"/>
      <c r="AI351" s="145"/>
      <c r="AJ351" s="145"/>
      <c r="AK351" s="145"/>
      <c r="AL351" s="145"/>
      <c r="AM351" s="145"/>
      <c r="AN351" s="145"/>
    </row>
    <row r="352" spans="1:40" ht="20">
      <c r="A352" s="145"/>
      <c r="B352" s="152"/>
      <c r="C352" s="50">
        <f t="shared" si="98"/>
        <v>333</v>
      </c>
      <c r="D352" s="51">
        <v>1</v>
      </c>
      <c r="E352" s="187" t="str">
        <f t="shared" si="78"/>
        <v>11</v>
      </c>
      <c r="F352" s="188">
        <f t="shared" si="99"/>
        <v>45624</v>
      </c>
      <c r="G352" s="189" t="str">
        <f t="shared" si="100"/>
        <v>Thu</v>
      </c>
      <c r="H352" s="190"/>
      <c r="I352" s="200"/>
      <c r="J352" s="201">
        <v>218350</v>
      </c>
      <c r="K352" s="202"/>
      <c r="L352" s="59">
        <f t="shared" si="94"/>
        <v>258760.76833910032</v>
      </c>
      <c r="M352" s="60">
        <f t="shared" si="95"/>
        <v>-40410.768339100323</v>
      </c>
      <c r="N352" s="61">
        <f t="shared" si="79"/>
        <v>0.84382961683688118</v>
      </c>
      <c r="O352" s="194"/>
      <c r="P352" s="106">
        <f>IF(D352=0,0,SUM($L$325:L352))</f>
        <v>5692736.9034602074</v>
      </c>
      <c r="Q352" s="59">
        <f>IF(D352=0,0,SUM($J$325:J352))</f>
        <v>5557430</v>
      </c>
      <c r="R352" s="63">
        <f t="shared" si="96"/>
        <v>-135306.9034602074</v>
      </c>
      <c r="S352" s="61">
        <f t="shared" si="80"/>
        <v>0.97623166049041121</v>
      </c>
      <c r="T352" s="80"/>
      <c r="U352" s="59">
        <f>IF(D352=0,0,SUM($L$20:L352))</f>
        <v>63297812.712283611</v>
      </c>
      <c r="V352" s="59">
        <f>IF(D352=0,0,SUM($J$20:J352))</f>
        <v>62766651</v>
      </c>
      <c r="W352" s="63">
        <f t="shared" si="97"/>
        <v>-531161.7122836113</v>
      </c>
      <c r="X352" s="61">
        <f t="shared" si="81"/>
        <v>0.99160852974970914</v>
      </c>
      <c r="Y352" s="145"/>
      <c r="Z352" s="196">
        <f t="shared" si="101"/>
        <v>45624</v>
      </c>
      <c r="AA352" s="197">
        <f t="shared" si="101"/>
        <v>45624</v>
      </c>
      <c r="AB352" s="1"/>
      <c r="AC352" s="1"/>
      <c r="AD352" s="1"/>
      <c r="AE352" s="1"/>
      <c r="AF352" s="145"/>
      <c r="AG352" s="198">
        <f t="shared" si="102"/>
        <v>249</v>
      </c>
      <c r="AH352" s="145"/>
      <c r="AI352" s="145"/>
      <c r="AJ352" s="145"/>
      <c r="AK352" s="145"/>
      <c r="AL352" s="145"/>
      <c r="AM352" s="145"/>
      <c r="AN352" s="145"/>
    </row>
    <row r="353" spans="1:40" ht="20">
      <c r="A353" s="145"/>
      <c r="B353" s="152"/>
      <c r="C353" s="50">
        <f t="shared" si="98"/>
        <v>334</v>
      </c>
      <c r="D353" s="51">
        <v>1</v>
      </c>
      <c r="E353" s="187" t="str">
        <f t="shared" si="78"/>
        <v>11</v>
      </c>
      <c r="F353" s="188">
        <f t="shared" si="99"/>
        <v>45625</v>
      </c>
      <c r="G353" s="189" t="str">
        <f t="shared" si="100"/>
        <v>Fri</v>
      </c>
      <c r="H353" s="190"/>
      <c r="I353" s="200"/>
      <c r="J353" s="201">
        <v>400430</v>
      </c>
      <c r="K353" s="202"/>
      <c r="L353" s="59">
        <f t="shared" si="94"/>
        <v>258760.76833910032</v>
      </c>
      <c r="M353" s="60">
        <f t="shared" si="95"/>
        <v>141669.23166089968</v>
      </c>
      <c r="N353" s="61">
        <f t="shared" si="79"/>
        <v>1.5474911539729441</v>
      </c>
      <c r="O353" s="194"/>
      <c r="P353" s="106">
        <f>IF(D353=0,0,SUM($L$325:L353))</f>
        <v>5951497.6717993077</v>
      </c>
      <c r="Q353" s="59">
        <f>IF(D353=0,0,SUM($J$325:J353))</f>
        <v>5957860</v>
      </c>
      <c r="R353" s="63">
        <f t="shared" si="96"/>
        <v>6362.3282006923109</v>
      </c>
      <c r="S353" s="61">
        <f t="shared" si="80"/>
        <v>1.0010690297722604</v>
      </c>
      <c r="T353" s="80"/>
      <c r="U353" s="59">
        <f>IF(D353=0,0,SUM($L$20:L353))</f>
        <v>63556573.480622709</v>
      </c>
      <c r="V353" s="59">
        <f>IF(D353=0,0,SUM($J$20:J353))</f>
        <v>63167081</v>
      </c>
      <c r="W353" s="63">
        <f t="shared" si="97"/>
        <v>-389492.4806227088</v>
      </c>
      <c r="X353" s="61">
        <f t="shared" si="81"/>
        <v>0.99387171996077706</v>
      </c>
      <c r="Y353" s="145"/>
      <c r="Z353" s="196">
        <f t="shared" si="101"/>
        <v>45625</v>
      </c>
      <c r="AA353" s="197">
        <f t="shared" si="101"/>
        <v>45625</v>
      </c>
      <c r="AB353" s="1"/>
      <c r="AC353" s="1"/>
      <c r="AD353" s="1"/>
      <c r="AE353" s="1"/>
      <c r="AF353" s="145"/>
      <c r="AG353" s="198">
        <f t="shared" si="102"/>
        <v>250</v>
      </c>
      <c r="AH353" s="145"/>
      <c r="AI353" s="145"/>
      <c r="AJ353" s="145"/>
      <c r="AK353" s="145"/>
      <c r="AL353" s="145"/>
      <c r="AM353" s="145"/>
      <c r="AN353" s="145"/>
    </row>
    <row r="354" spans="1:40" ht="21" thickBot="1">
      <c r="A354" s="145"/>
      <c r="B354" s="152"/>
      <c r="C354" s="100">
        <f t="shared" si="98"/>
        <v>335</v>
      </c>
      <c r="D354" s="85">
        <v>1</v>
      </c>
      <c r="E354" s="203" t="str">
        <f t="shared" si="78"/>
        <v>11</v>
      </c>
      <c r="F354" s="204">
        <f t="shared" si="99"/>
        <v>45626</v>
      </c>
      <c r="G354" s="205" t="str">
        <f t="shared" si="100"/>
        <v>Sat</v>
      </c>
      <c r="H354" s="206"/>
      <c r="I354" s="207"/>
      <c r="J354" s="208">
        <v>154290</v>
      </c>
      <c r="K354" s="202"/>
      <c r="L354" s="103">
        <f t="shared" si="94"/>
        <v>258760.76833910032</v>
      </c>
      <c r="M354" s="91">
        <f t="shared" si="95"/>
        <v>-104470.76833910032</v>
      </c>
      <c r="N354" s="108">
        <f t="shared" si="79"/>
        <v>0.59626504044773254</v>
      </c>
      <c r="O354" s="209"/>
      <c r="P354" s="210">
        <f>IF(D354=0,0,SUM($L$325:L354))</f>
        <v>6210258.440138408</v>
      </c>
      <c r="Q354" s="103">
        <f>IF(D354=0,0,SUM($J$325:J354))</f>
        <v>6112150</v>
      </c>
      <c r="R354" s="105">
        <f t="shared" si="96"/>
        <v>-98108.440138407983</v>
      </c>
      <c r="S354" s="108">
        <f t="shared" si="80"/>
        <v>0.98420219688373844</v>
      </c>
      <c r="T354" s="213"/>
      <c r="U354" s="103">
        <f>IF(D354=0,0,SUM($L$20:L354))</f>
        <v>63815334.248961806</v>
      </c>
      <c r="V354" s="103">
        <f>IF(D354=0,0,SUM($J$20:J354))</f>
        <v>63321371</v>
      </c>
      <c r="W354" s="105">
        <f t="shared" si="97"/>
        <v>-493963.2489618063</v>
      </c>
      <c r="X354" s="108">
        <f t="shared" si="81"/>
        <v>0.99225948974842448</v>
      </c>
      <c r="Y354" s="145"/>
      <c r="Z354" s="196">
        <f t="shared" si="101"/>
        <v>45626</v>
      </c>
      <c r="AA354" s="197">
        <f t="shared" si="101"/>
        <v>45626</v>
      </c>
      <c r="AB354" s="1"/>
      <c r="AC354" s="1"/>
      <c r="AD354" s="1"/>
      <c r="AE354" s="1"/>
      <c r="AF354" s="145"/>
      <c r="AG354" s="198">
        <f t="shared" si="102"/>
        <v>251</v>
      </c>
      <c r="AH354" s="145"/>
      <c r="AI354" s="145"/>
      <c r="AJ354" s="145"/>
      <c r="AK354" s="145"/>
      <c r="AL354" s="145"/>
      <c r="AM354" s="145"/>
      <c r="AN354" s="145"/>
    </row>
    <row r="355" spans="1:40" ht="21" thickTop="1">
      <c r="A355" s="145"/>
      <c r="B355" s="152"/>
      <c r="C355" s="50">
        <f t="shared" si="98"/>
        <v>336</v>
      </c>
      <c r="D355" s="96">
        <v>0</v>
      </c>
      <c r="E355" s="187" t="str">
        <f t="shared" si="78"/>
        <v>12</v>
      </c>
      <c r="F355" s="188">
        <f t="shared" si="99"/>
        <v>45627</v>
      </c>
      <c r="G355" s="189" t="str">
        <f t="shared" si="100"/>
        <v>Sun</v>
      </c>
      <c r="H355" s="190" t="s">
        <v>58</v>
      </c>
      <c r="I355" s="200"/>
      <c r="J355" s="201">
        <v>0</v>
      </c>
      <c r="K355" s="202"/>
      <c r="L355" s="59">
        <f t="shared" ref="L355:L385" si="103">IF(D355=0,0,$K$17)</f>
        <v>0</v>
      </c>
      <c r="M355" s="63">
        <f t="shared" si="95"/>
        <v>0</v>
      </c>
      <c r="N355" s="97" t="str">
        <f t="shared" si="79"/>
        <v>0%</v>
      </c>
      <c r="O355" s="194"/>
      <c r="P355" s="107">
        <f>IF(D355=0,0,$L$355)</f>
        <v>0</v>
      </c>
      <c r="Q355" s="59">
        <f>IF(D355=0,0,$J$355)</f>
        <v>0</v>
      </c>
      <c r="R355" s="63">
        <f t="shared" si="96"/>
        <v>0</v>
      </c>
      <c r="S355" s="97" t="str">
        <f t="shared" si="80"/>
        <v>0%</v>
      </c>
      <c r="T355" s="80"/>
      <c r="U355" s="59">
        <f>IF(D355=0,0,SUM($L$20:L355))</f>
        <v>0</v>
      </c>
      <c r="V355" s="59">
        <f>IF(D355=0,0,SUM($J$20:J355))</f>
        <v>0</v>
      </c>
      <c r="W355" s="63">
        <f t="shared" si="97"/>
        <v>0</v>
      </c>
      <c r="X355" s="97" t="str">
        <f t="shared" si="81"/>
        <v>0%</v>
      </c>
      <c r="Y355" s="145"/>
      <c r="Z355" s="196">
        <f t="shared" si="101"/>
        <v>45627</v>
      </c>
      <c r="AA355" s="197">
        <f t="shared" si="101"/>
        <v>45627</v>
      </c>
      <c r="AB355" s="1"/>
      <c r="AC355" s="1"/>
      <c r="AD355" s="1"/>
      <c r="AE355" s="1"/>
      <c r="AF355" s="145"/>
      <c r="AG355" s="198">
        <f t="shared" si="102"/>
        <v>252</v>
      </c>
      <c r="AH355" s="145"/>
      <c r="AI355" s="145"/>
      <c r="AJ355" s="145"/>
      <c r="AK355" s="145"/>
      <c r="AL355" s="145"/>
      <c r="AM355" s="145"/>
      <c r="AN355" s="145"/>
    </row>
    <row r="356" spans="1:40" ht="20">
      <c r="A356" s="145"/>
      <c r="B356" s="152"/>
      <c r="C356" s="50">
        <f t="shared" si="98"/>
        <v>337</v>
      </c>
      <c r="D356" s="51">
        <v>1</v>
      </c>
      <c r="E356" s="187" t="str">
        <f t="shared" si="78"/>
        <v>12</v>
      </c>
      <c r="F356" s="188">
        <f t="shared" si="99"/>
        <v>45628</v>
      </c>
      <c r="G356" s="189" t="str">
        <f t="shared" si="100"/>
        <v>Mon</v>
      </c>
      <c r="H356" s="190"/>
      <c r="I356" s="200"/>
      <c r="J356" s="201">
        <v>262200</v>
      </c>
      <c r="K356" s="202"/>
      <c r="L356" s="59">
        <f t="shared" si="103"/>
        <v>320370.47508650518</v>
      </c>
      <c r="M356" s="60">
        <f t="shared" si="95"/>
        <v>-58170.475086505176</v>
      </c>
      <c r="N356" s="61">
        <f t="shared" si="79"/>
        <v>0.81842747815385231</v>
      </c>
      <c r="O356" s="194"/>
      <c r="P356" s="106">
        <f>IF(D356=0,0,SUM($L$355:L356))</f>
        <v>320370.47508650518</v>
      </c>
      <c r="Q356" s="59">
        <f>IF(D356=0,0,SUM($J$355:J356))</f>
        <v>262200</v>
      </c>
      <c r="R356" s="63">
        <f t="shared" si="96"/>
        <v>-58170.475086505176</v>
      </c>
      <c r="S356" s="61">
        <f t="shared" si="80"/>
        <v>0.81842747815385231</v>
      </c>
      <c r="T356" s="80"/>
      <c r="U356" s="59">
        <f>IF(D356=0,0,SUM($L$20:L356))</f>
        <v>64135704.724048309</v>
      </c>
      <c r="V356" s="59">
        <f>IF(D356=0,0,SUM($J$20:J356))</f>
        <v>63583571</v>
      </c>
      <c r="W356" s="63">
        <f t="shared" si="97"/>
        <v>-552133.72404830903</v>
      </c>
      <c r="X356" s="61">
        <f t="shared" si="81"/>
        <v>0.99139116461846122</v>
      </c>
      <c r="Y356" s="145"/>
      <c r="Z356" s="196">
        <f t="shared" si="101"/>
        <v>45628</v>
      </c>
      <c r="AA356" s="197">
        <f t="shared" si="101"/>
        <v>45628</v>
      </c>
      <c r="AB356" s="1"/>
      <c r="AC356" s="1"/>
      <c r="AD356" s="1"/>
      <c r="AE356" s="1"/>
      <c r="AF356" s="145"/>
      <c r="AG356" s="198">
        <f t="shared" si="102"/>
        <v>253</v>
      </c>
      <c r="AH356" s="145"/>
      <c r="AI356" s="145"/>
      <c r="AJ356" s="145"/>
      <c r="AK356" s="145"/>
      <c r="AL356" s="145"/>
      <c r="AM356" s="145"/>
      <c r="AN356" s="145"/>
    </row>
    <row r="357" spans="1:40" ht="20">
      <c r="A357" s="145"/>
      <c r="B357" s="152"/>
      <c r="C357" s="50">
        <f t="shared" si="98"/>
        <v>338</v>
      </c>
      <c r="D357" s="51">
        <v>1</v>
      </c>
      <c r="E357" s="187" t="str">
        <f t="shared" si="78"/>
        <v>12</v>
      </c>
      <c r="F357" s="188">
        <f t="shared" si="99"/>
        <v>45629</v>
      </c>
      <c r="G357" s="189" t="str">
        <f t="shared" si="100"/>
        <v>Tue</v>
      </c>
      <c r="H357" s="190"/>
      <c r="I357" s="200"/>
      <c r="J357" s="201">
        <v>227050</v>
      </c>
      <c r="K357" s="202"/>
      <c r="L357" s="59">
        <f t="shared" si="103"/>
        <v>320370.47508650518</v>
      </c>
      <c r="M357" s="60">
        <f t="shared" si="95"/>
        <v>-93320.475086505176</v>
      </c>
      <c r="N357" s="61">
        <f t="shared" si="79"/>
        <v>0.70871075101003878</v>
      </c>
      <c r="O357" s="194"/>
      <c r="P357" s="106">
        <f>IF(D357=0,0,SUM($L$355:L357))</f>
        <v>640740.95017301035</v>
      </c>
      <c r="Q357" s="59">
        <f>IF(D357=0,0,SUM($J$355:J357))</f>
        <v>489250</v>
      </c>
      <c r="R357" s="63">
        <f t="shared" si="96"/>
        <v>-151490.95017301035</v>
      </c>
      <c r="S357" s="61">
        <f t="shared" si="80"/>
        <v>0.76356911458194554</v>
      </c>
      <c r="T357" s="80"/>
      <c r="U357" s="59">
        <f>IF(D357=0,0,SUM($L$20:L357))</f>
        <v>64456075.199134812</v>
      </c>
      <c r="V357" s="59">
        <f>IF(D357=0,0,SUM($J$20:J357))</f>
        <v>63810621</v>
      </c>
      <c r="W357" s="63">
        <f t="shared" si="97"/>
        <v>-645454.19913481176</v>
      </c>
      <c r="X357" s="61">
        <f t="shared" si="81"/>
        <v>0.98998613866667018</v>
      </c>
      <c r="Y357" s="145"/>
      <c r="Z357" s="196">
        <f t="shared" ref="Z357:AA372" si="104">Z356+1</f>
        <v>45629</v>
      </c>
      <c r="AA357" s="197">
        <f t="shared" si="104"/>
        <v>45629</v>
      </c>
      <c r="AB357" s="1"/>
      <c r="AC357" s="1"/>
      <c r="AD357" s="1"/>
      <c r="AE357" s="1"/>
      <c r="AF357" s="145"/>
      <c r="AG357" s="198">
        <f t="shared" si="102"/>
        <v>254</v>
      </c>
      <c r="AH357" s="145"/>
      <c r="AI357" s="145"/>
      <c r="AJ357" s="145"/>
      <c r="AK357" s="145"/>
      <c r="AL357" s="145"/>
      <c r="AM357" s="145"/>
      <c r="AN357" s="145"/>
    </row>
    <row r="358" spans="1:40" ht="20">
      <c r="A358" s="145"/>
      <c r="B358" s="152"/>
      <c r="C358" s="50">
        <f t="shared" si="98"/>
        <v>339</v>
      </c>
      <c r="D358" s="51">
        <v>1</v>
      </c>
      <c r="E358" s="187" t="str">
        <f t="shared" si="78"/>
        <v>12</v>
      </c>
      <c r="F358" s="188">
        <f t="shared" si="99"/>
        <v>45630</v>
      </c>
      <c r="G358" s="189" t="str">
        <f t="shared" si="100"/>
        <v>Wed</v>
      </c>
      <c r="H358" s="190"/>
      <c r="I358" s="200"/>
      <c r="J358" s="201">
        <v>339900</v>
      </c>
      <c r="K358" s="202"/>
      <c r="L358" s="59">
        <f t="shared" si="103"/>
        <v>320370.47508650518</v>
      </c>
      <c r="M358" s="60">
        <f t="shared" si="95"/>
        <v>19529.524913494824</v>
      </c>
      <c r="N358" s="61">
        <f t="shared" si="79"/>
        <v>1.0609591907875453</v>
      </c>
      <c r="O358" s="194"/>
      <c r="P358" s="106">
        <f>IF(D358=0,0,SUM($L$355:L358))</f>
        <v>961111.42525951553</v>
      </c>
      <c r="Q358" s="59">
        <f>IF(D358=0,0,SUM($J$355:J358))</f>
        <v>829150</v>
      </c>
      <c r="R358" s="63">
        <f t="shared" si="96"/>
        <v>-131961.42525951553</v>
      </c>
      <c r="S358" s="61">
        <f t="shared" si="80"/>
        <v>0.8626991399838122</v>
      </c>
      <c r="T358" s="80"/>
      <c r="U358" s="59">
        <f>IF(D358=0,0,SUM($L$20:L358))</f>
        <v>64776445.674221314</v>
      </c>
      <c r="V358" s="59">
        <f>IF(D358=0,0,SUM($J$20:J358))</f>
        <v>64150521</v>
      </c>
      <c r="W358" s="63">
        <f t="shared" si="97"/>
        <v>-625924.67422131449</v>
      </c>
      <c r="X358" s="61">
        <f t="shared" si="81"/>
        <v>0.99033715623470198</v>
      </c>
      <c r="Y358" s="145"/>
      <c r="Z358" s="196">
        <f t="shared" si="104"/>
        <v>45630</v>
      </c>
      <c r="AA358" s="197">
        <f t="shared" si="104"/>
        <v>45630</v>
      </c>
      <c r="AB358" s="1"/>
      <c r="AC358" s="1"/>
      <c r="AD358" s="1"/>
      <c r="AE358" s="1"/>
      <c r="AF358" s="145"/>
      <c r="AG358" s="198">
        <f t="shared" si="102"/>
        <v>255</v>
      </c>
      <c r="AH358" s="145"/>
      <c r="AI358" s="145"/>
      <c r="AJ358" s="145"/>
      <c r="AK358" s="145"/>
      <c r="AL358" s="145"/>
      <c r="AM358" s="145"/>
      <c r="AN358" s="145"/>
    </row>
    <row r="359" spans="1:40" ht="20">
      <c r="A359" s="145"/>
      <c r="B359" s="152"/>
      <c r="C359" s="50">
        <f t="shared" si="98"/>
        <v>340</v>
      </c>
      <c r="D359" s="51">
        <v>1</v>
      </c>
      <c r="E359" s="187" t="str">
        <f t="shared" si="78"/>
        <v>12</v>
      </c>
      <c r="F359" s="188">
        <f t="shared" si="99"/>
        <v>45631</v>
      </c>
      <c r="G359" s="189" t="str">
        <f t="shared" si="100"/>
        <v>Thu</v>
      </c>
      <c r="H359" s="190"/>
      <c r="I359" s="214"/>
      <c r="J359" s="215">
        <v>172750</v>
      </c>
      <c r="K359" s="216"/>
      <c r="L359" s="59">
        <f t="shared" si="103"/>
        <v>320370.47508650518</v>
      </c>
      <c r="M359" s="60">
        <f t="shared" si="95"/>
        <v>-147620.47508650518</v>
      </c>
      <c r="N359" s="61">
        <f t="shared" si="79"/>
        <v>0.53921947693012195</v>
      </c>
      <c r="O359" s="194"/>
      <c r="P359" s="106">
        <f>IF(D359=0,0,SUM($L$355:L359))</f>
        <v>1281481.9003460207</v>
      </c>
      <c r="Q359" s="59">
        <f>IF(D359=0,0,SUM($J$355:J359))</f>
        <v>1001900</v>
      </c>
      <c r="R359" s="63">
        <f t="shared" si="96"/>
        <v>-279581.9003460207</v>
      </c>
      <c r="S359" s="61">
        <f t="shared" si="80"/>
        <v>0.78182922422038958</v>
      </c>
      <c r="T359" s="80"/>
      <c r="U359" s="59">
        <f>IF(D359=0,0,SUM($L$20:L359))</f>
        <v>65096816.149307817</v>
      </c>
      <c r="V359" s="59">
        <f>IF(D359=0,0,SUM($J$20:J359))</f>
        <v>64323271</v>
      </c>
      <c r="W359" s="63">
        <f t="shared" si="97"/>
        <v>-773545.14930781722</v>
      </c>
      <c r="X359" s="61">
        <f t="shared" si="81"/>
        <v>0.98811700486958387</v>
      </c>
      <c r="Y359" s="145"/>
      <c r="Z359" s="196">
        <f t="shared" si="104"/>
        <v>45631</v>
      </c>
      <c r="AA359" s="197">
        <f t="shared" si="104"/>
        <v>45631</v>
      </c>
      <c r="AB359" s="1"/>
      <c r="AC359" s="1"/>
      <c r="AD359" s="1"/>
      <c r="AE359" s="1"/>
      <c r="AF359" s="145"/>
      <c r="AG359" s="198">
        <f t="shared" si="102"/>
        <v>256</v>
      </c>
      <c r="AH359" s="145"/>
      <c r="AI359" s="145"/>
      <c r="AJ359" s="145"/>
      <c r="AK359" s="145"/>
      <c r="AL359" s="145"/>
      <c r="AM359" s="145"/>
      <c r="AN359" s="145"/>
    </row>
    <row r="360" spans="1:40" ht="20">
      <c r="A360" s="145"/>
      <c r="B360" s="152"/>
      <c r="C360" s="50">
        <f t="shared" si="98"/>
        <v>341</v>
      </c>
      <c r="D360" s="51">
        <v>1</v>
      </c>
      <c r="E360" s="187" t="str">
        <f t="shared" si="78"/>
        <v>12</v>
      </c>
      <c r="F360" s="188">
        <f t="shared" si="99"/>
        <v>45632</v>
      </c>
      <c r="G360" s="189" t="str">
        <f t="shared" si="100"/>
        <v>Fri</v>
      </c>
      <c r="H360" s="190"/>
      <c r="I360" s="214"/>
      <c r="J360" s="215">
        <v>357560</v>
      </c>
      <c r="K360" s="216"/>
      <c r="L360" s="59">
        <f t="shared" si="103"/>
        <v>320370.47508650518</v>
      </c>
      <c r="M360" s="60">
        <f t="shared" si="95"/>
        <v>37189.524913494824</v>
      </c>
      <c r="N360" s="61">
        <f t="shared" si="79"/>
        <v>1.1160828721918057</v>
      </c>
      <c r="O360" s="194"/>
      <c r="P360" s="106">
        <f>IF(D360=0,0,SUM($L$355:L360))</f>
        <v>1601852.3754325258</v>
      </c>
      <c r="Q360" s="59">
        <f>IF(D360=0,0,SUM($J$355:J360))</f>
        <v>1359460</v>
      </c>
      <c r="R360" s="63">
        <f t="shared" si="96"/>
        <v>-242392.37543252576</v>
      </c>
      <c r="S360" s="61">
        <f t="shared" si="80"/>
        <v>0.84867995381467287</v>
      </c>
      <c r="T360" s="80"/>
      <c r="U360" s="59">
        <f>IF(D360=0,0,SUM($L$20:L360))</f>
        <v>65417186.62439432</v>
      </c>
      <c r="V360" s="59">
        <f>IF(D360=0,0,SUM($J$20:J360))</f>
        <v>64680831</v>
      </c>
      <c r="W360" s="63">
        <f t="shared" si="97"/>
        <v>-736355.62439431995</v>
      </c>
      <c r="X360" s="61">
        <f t="shared" si="81"/>
        <v>0.9887436977590881</v>
      </c>
      <c r="Y360" s="145"/>
      <c r="Z360" s="196">
        <f t="shared" si="104"/>
        <v>45632</v>
      </c>
      <c r="AA360" s="197">
        <f t="shared" si="104"/>
        <v>45632</v>
      </c>
      <c r="AB360" s="1"/>
      <c r="AC360" s="1"/>
      <c r="AD360" s="1"/>
      <c r="AE360" s="1"/>
      <c r="AF360" s="145"/>
      <c r="AG360" s="198">
        <f t="shared" si="102"/>
        <v>257</v>
      </c>
      <c r="AH360" s="145"/>
      <c r="AI360" s="145"/>
      <c r="AJ360" s="145"/>
      <c r="AK360" s="145"/>
      <c r="AL360" s="145"/>
      <c r="AM360" s="145"/>
      <c r="AN360" s="145"/>
    </row>
    <row r="361" spans="1:40" ht="20">
      <c r="A361" s="145"/>
      <c r="B361" s="152"/>
      <c r="C361" s="50">
        <f t="shared" si="98"/>
        <v>342</v>
      </c>
      <c r="D361" s="51">
        <v>1</v>
      </c>
      <c r="E361" s="187" t="str">
        <f t="shared" si="78"/>
        <v>12</v>
      </c>
      <c r="F361" s="188">
        <f t="shared" si="99"/>
        <v>45633</v>
      </c>
      <c r="G361" s="189" t="str">
        <f t="shared" si="100"/>
        <v>Sat</v>
      </c>
      <c r="H361" s="190"/>
      <c r="I361" s="214"/>
      <c r="J361" s="215">
        <v>338550</v>
      </c>
      <c r="K361" s="216"/>
      <c r="L361" s="59">
        <f t="shared" si="103"/>
        <v>320370.47508650518</v>
      </c>
      <c r="M361" s="60">
        <f t="shared" si="95"/>
        <v>18179.524913494824</v>
      </c>
      <c r="N361" s="61">
        <f t="shared" si="79"/>
        <v>1.0567453193325198</v>
      </c>
      <c r="O361" s="194"/>
      <c r="P361" s="106">
        <f>IF(D361=0,0,SUM($L$355:L361))</f>
        <v>1922222.8505190308</v>
      </c>
      <c r="Q361" s="59">
        <f>IF(D361=0,0,SUM($J$355:J361))</f>
        <v>1698010</v>
      </c>
      <c r="R361" s="63">
        <f t="shared" si="96"/>
        <v>-224212.85051903082</v>
      </c>
      <c r="S361" s="61">
        <f t="shared" si="80"/>
        <v>0.88335751473431412</v>
      </c>
      <c r="T361" s="81"/>
      <c r="U361" s="59">
        <f>IF(D361=0,0,SUM($L$20:L361))</f>
        <v>65737557.099480823</v>
      </c>
      <c r="V361" s="59">
        <f>IF(D361=0,0,SUM($J$20:J361))</f>
        <v>65019381</v>
      </c>
      <c r="W361" s="63">
        <f t="shared" si="97"/>
        <v>-718176.09948082268</v>
      </c>
      <c r="X361" s="61">
        <f t="shared" si="81"/>
        <v>0.98907510210040195</v>
      </c>
      <c r="Y361" s="145"/>
      <c r="Z361" s="196">
        <f t="shared" si="104"/>
        <v>45633</v>
      </c>
      <c r="AA361" s="197">
        <f t="shared" si="104"/>
        <v>45633</v>
      </c>
      <c r="AB361" s="1"/>
      <c r="AC361" s="1"/>
      <c r="AD361" s="1"/>
      <c r="AE361" s="1"/>
      <c r="AF361" s="145"/>
      <c r="AG361" s="198">
        <f t="shared" si="102"/>
        <v>258</v>
      </c>
      <c r="AH361" s="145"/>
      <c r="AI361" s="145"/>
      <c r="AJ361" s="145"/>
      <c r="AK361" s="145"/>
      <c r="AL361" s="145"/>
      <c r="AM361" s="145"/>
      <c r="AN361" s="145"/>
    </row>
    <row r="362" spans="1:40" ht="20">
      <c r="A362" s="145"/>
      <c r="B362" s="152"/>
      <c r="C362" s="50">
        <f t="shared" si="98"/>
        <v>343</v>
      </c>
      <c r="D362" s="51">
        <v>0</v>
      </c>
      <c r="E362" s="187" t="str">
        <f t="shared" si="78"/>
        <v>12</v>
      </c>
      <c r="F362" s="188">
        <f t="shared" si="99"/>
        <v>45634</v>
      </c>
      <c r="G362" s="189" t="str">
        <f t="shared" si="100"/>
        <v>Sun</v>
      </c>
      <c r="H362" s="190" t="s">
        <v>58</v>
      </c>
      <c r="I362" s="200"/>
      <c r="J362" s="201">
        <v>0</v>
      </c>
      <c r="K362" s="202"/>
      <c r="L362" s="59">
        <f t="shared" si="103"/>
        <v>0</v>
      </c>
      <c r="M362" s="60">
        <f t="shared" si="95"/>
        <v>0</v>
      </c>
      <c r="N362" s="61" t="str">
        <f t="shared" si="79"/>
        <v>0%</v>
      </c>
      <c r="O362" s="194"/>
      <c r="P362" s="106">
        <f>IF(D362=0,0,SUM($L$355:L362))</f>
        <v>0</v>
      </c>
      <c r="Q362" s="59">
        <f>IF(D362=0,0,SUM($J$355:J362))</f>
        <v>0</v>
      </c>
      <c r="R362" s="63">
        <f t="shared" si="96"/>
        <v>0</v>
      </c>
      <c r="S362" s="61" t="str">
        <f t="shared" si="80"/>
        <v>0%</v>
      </c>
      <c r="T362" s="80"/>
      <c r="U362" s="59">
        <f>IF(D362=0,0,SUM($L$20:L362))</f>
        <v>0</v>
      </c>
      <c r="V362" s="59">
        <f>IF(D362=0,0,SUM($J$20:J362))</f>
        <v>0</v>
      </c>
      <c r="W362" s="63">
        <f t="shared" si="97"/>
        <v>0</v>
      </c>
      <c r="X362" s="61" t="str">
        <f t="shared" si="81"/>
        <v>0%</v>
      </c>
      <c r="Y362" s="145"/>
      <c r="Z362" s="196">
        <f t="shared" si="104"/>
        <v>45634</v>
      </c>
      <c r="AA362" s="197">
        <f t="shared" si="104"/>
        <v>45634</v>
      </c>
      <c r="AB362" s="1"/>
      <c r="AC362" s="1"/>
      <c r="AD362" s="1"/>
      <c r="AE362" s="1"/>
      <c r="AF362" s="145"/>
      <c r="AG362" s="198">
        <f t="shared" si="102"/>
        <v>259</v>
      </c>
      <c r="AH362" s="145"/>
      <c r="AI362" s="145"/>
      <c r="AJ362" s="145"/>
      <c r="AK362" s="145"/>
      <c r="AL362" s="145"/>
      <c r="AM362" s="145"/>
      <c r="AN362" s="145"/>
    </row>
    <row r="363" spans="1:40" ht="20">
      <c r="A363" s="145"/>
      <c r="B363" s="152"/>
      <c r="C363" s="50">
        <f t="shared" si="98"/>
        <v>344</v>
      </c>
      <c r="D363" s="51">
        <v>1</v>
      </c>
      <c r="E363" s="187" t="str">
        <f t="shared" si="78"/>
        <v>12</v>
      </c>
      <c r="F363" s="188">
        <f t="shared" si="99"/>
        <v>45635</v>
      </c>
      <c r="G363" s="189" t="str">
        <f t="shared" si="100"/>
        <v>Mon</v>
      </c>
      <c r="H363" s="190"/>
      <c r="I363" s="214"/>
      <c r="J363" s="215">
        <v>312620</v>
      </c>
      <c r="K363" s="216"/>
      <c r="L363" s="59">
        <f t="shared" si="103"/>
        <v>320370.47508650518</v>
      </c>
      <c r="M363" s="60">
        <f t="shared" si="95"/>
        <v>-7750.4750865051756</v>
      </c>
      <c r="N363" s="61">
        <f t="shared" si="79"/>
        <v>0.97580777353339931</v>
      </c>
      <c r="O363" s="194"/>
      <c r="P363" s="106">
        <f>IF(D363=0,0,SUM($L$355:L363))</f>
        <v>2242593.3256055359</v>
      </c>
      <c r="Q363" s="59">
        <f>IF(D363=0,0,SUM($J$355:J363))</f>
        <v>2010630</v>
      </c>
      <c r="R363" s="63">
        <f t="shared" si="96"/>
        <v>-231963.32560553588</v>
      </c>
      <c r="S363" s="61">
        <f t="shared" si="80"/>
        <v>0.89656469456275489</v>
      </c>
      <c r="T363" s="80"/>
      <c r="U363" s="59">
        <f>IF(D363=0,0,SUM($L$20:L363))</f>
        <v>66057927.574567325</v>
      </c>
      <c r="V363" s="59">
        <f>IF(D363=0,0,SUM($J$20:J363))</f>
        <v>65332001</v>
      </c>
      <c r="W363" s="63">
        <f t="shared" si="97"/>
        <v>-725926.57456732541</v>
      </c>
      <c r="X363" s="61">
        <f t="shared" si="81"/>
        <v>0.98901075766042024</v>
      </c>
      <c r="Y363" s="145"/>
      <c r="Z363" s="196">
        <f t="shared" si="104"/>
        <v>45635</v>
      </c>
      <c r="AA363" s="197">
        <f t="shared" si="104"/>
        <v>45635</v>
      </c>
      <c r="AB363" s="1"/>
      <c r="AC363" s="1"/>
      <c r="AD363" s="1"/>
      <c r="AE363" s="1"/>
      <c r="AF363" s="145"/>
      <c r="AG363" s="198">
        <f t="shared" si="102"/>
        <v>260</v>
      </c>
      <c r="AH363" s="145"/>
      <c r="AI363" s="145"/>
      <c r="AJ363" s="145"/>
      <c r="AK363" s="145"/>
      <c r="AL363" s="145"/>
      <c r="AM363" s="145"/>
      <c r="AN363" s="145"/>
    </row>
    <row r="364" spans="1:40" ht="20">
      <c r="A364" s="145"/>
      <c r="B364" s="152"/>
      <c r="C364" s="50">
        <f t="shared" si="98"/>
        <v>345</v>
      </c>
      <c r="D364" s="51">
        <v>1</v>
      </c>
      <c r="E364" s="187" t="str">
        <f t="shared" si="78"/>
        <v>12</v>
      </c>
      <c r="F364" s="188">
        <f t="shared" si="99"/>
        <v>45636</v>
      </c>
      <c r="G364" s="189" t="str">
        <f t="shared" si="100"/>
        <v>Tue</v>
      </c>
      <c r="H364" s="190"/>
      <c r="I364" s="214"/>
      <c r="J364" s="215">
        <v>382740</v>
      </c>
      <c r="K364" s="216"/>
      <c r="L364" s="59">
        <f t="shared" si="103"/>
        <v>320370.47508650518</v>
      </c>
      <c r="M364" s="60">
        <f t="shared" si="95"/>
        <v>62369.524913494824</v>
      </c>
      <c r="N364" s="61">
        <f t="shared" si="79"/>
        <v>1.1946793782936898</v>
      </c>
      <c r="O364" s="194"/>
      <c r="P364" s="106">
        <f>IF(D364=0,0,SUM($L$355:L364))</f>
        <v>2562963.8006920409</v>
      </c>
      <c r="Q364" s="59">
        <f>IF(D364=0,0,SUM($J$355:J364))</f>
        <v>2393370</v>
      </c>
      <c r="R364" s="63">
        <f t="shared" si="96"/>
        <v>-169593.80069204094</v>
      </c>
      <c r="S364" s="61">
        <f t="shared" si="80"/>
        <v>0.93382903002912176</v>
      </c>
      <c r="T364" s="80"/>
      <c r="U364" s="59">
        <f>IF(D364=0,0,SUM($L$20:L364))</f>
        <v>66378298.049653828</v>
      </c>
      <c r="V364" s="59">
        <f>IF(D364=0,0,SUM($J$20:J364))</f>
        <v>65714741</v>
      </c>
      <c r="W364" s="63">
        <f t="shared" si="97"/>
        <v>-663557.04965382814</v>
      </c>
      <c r="X364" s="61">
        <f t="shared" si="81"/>
        <v>0.99000340368538131</v>
      </c>
      <c r="Y364" s="145"/>
      <c r="Z364" s="196">
        <f t="shared" si="104"/>
        <v>45636</v>
      </c>
      <c r="AA364" s="197">
        <f t="shared" si="104"/>
        <v>45636</v>
      </c>
      <c r="AB364" s="1"/>
      <c r="AC364" s="1"/>
      <c r="AD364" s="1"/>
      <c r="AE364" s="1"/>
      <c r="AF364" s="145"/>
      <c r="AG364" s="198">
        <f t="shared" si="102"/>
        <v>261</v>
      </c>
      <c r="AH364" s="145"/>
      <c r="AI364" s="145"/>
      <c r="AJ364" s="145"/>
      <c r="AK364" s="145"/>
      <c r="AL364" s="145"/>
      <c r="AM364" s="145"/>
      <c r="AN364" s="145"/>
    </row>
    <row r="365" spans="1:40" ht="20">
      <c r="A365" s="145"/>
      <c r="B365" s="152"/>
      <c r="C365" s="50">
        <f t="shared" si="98"/>
        <v>346</v>
      </c>
      <c r="D365" s="51">
        <v>1</v>
      </c>
      <c r="E365" s="187" t="str">
        <f t="shared" si="78"/>
        <v>12</v>
      </c>
      <c r="F365" s="188">
        <f t="shared" si="99"/>
        <v>45637</v>
      </c>
      <c r="G365" s="189" t="str">
        <f t="shared" si="100"/>
        <v>Wed</v>
      </c>
      <c r="H365" s="190"/>
      <c r="I365" s="214"/>
      <c r="J365" s="215">
        <v>408230</v>
      </c>
      <c r="K365" s="216"/>
      <c r="L365" s="59">
        <f t="shared" si="103"/>
        <v>320370.47508650518</v>
      </c>
      <c r="M365" s="60">
        <f t="shared" si="95"/>
        <v>87859.524913494824</v>
      </c>
      <c r="N365" s="61">
        <f t="shared" si="79"/>
        <v>1.274243514137098</v>
      </c>
      <c r="O365" s="194"/>
      <c r="P365" s="106">
        <f>IF(D365=0,0,SUM($L$355:L365))</f>
        <v>2883334.275778546</v>
      </c>
      <c r="Q365" s="59">
        <f>IF(D365=0,0,SUM($J$355:J365))</f>
        <v>2801600</v>
      </c>
      <c r="R365" s="63">
        <f t="shared" si="96"/>
        <v>-81734.275778545998</v>
      </c>
      <c r="S365" s="61">
        <f t="shared" si="80"/>
        <v>0.97165286159667474</v>
      </c>
      <c r="T365" s="80"/>
      <c r="U365" s="59">
        <f>IF(D365=0,0,SUM($L$20:L365))</f>
        <v>66698668.524740331</v>
      </c>
      <c r="V365" s="59">
        <f>IF(D365=0,0,SUM($J$20:J365))</f>
        <v>66122971</v>
      </c>
      <c r="W365" s="63">
        <f t="shared" si="97"/>
        <v>-575697.52474033087</v>
      </c>
      <c r="X365" s="61">
        <f t="shared" si="81"/>
        <v>0.99136868040286608</v>
      </c>
      <c r="Y365" s="145"/>
      <c r="Z365" s="196">
        <f t="shared" si="104"/>
        <v>45637</v>
      </c>
      <c r="AA365" s="197">
        <f t="shared" si="104"/>
        <v>45637</v>
      </c>
      <c r="AB365" s="1"/>
      <c r="AC365" s="1"/>
      <c r="AD365" s="1"/>
      <c r="AE365" s="1"/>
      <c r="AF365" s="145"/>
      <c r="AG365" s="198">
        <f t="shared" si="102"/>
        <v>262</v>
      </c>
      <c r="AH365" s="145"/>
      <c r="AI365" s="145"/>
      <c r="AJ365" s="145"/>
      <c r="AK365" s="145"/>
      <c r="AL365" s="145"/>
      <c r="AM365" s="145"/>
      <c r="AN365" s="145"/>
    </row>
    <row r="366" spans="1:40" ht="20">
      <c r="A366" s="145"/>
      <c r="B366" s="152"/>
      <c r="C366" s="50">
        <f t="shared" si="98"/>
        <v>347</v>
      </c>
      <c r="D366" s="51">
        <v>1</v>
      </c>
      <c r="E366" s="187" t="str">
        <f t="shared" si="78"/>
        <v>12</v>
      </c>
      <c r="F366" s="188">
        <f t="shared" si="99"/>
        <v>45638</v>
      </c>
      <c r="G366" s="189" t="str">
        <f t="shared" si="100"/>
        <v>Thu</v>
      </c>
      <c r="H366" s="190"/>
      <c r="I366" s="214"/>
      <c r="J366" s="215">
        <v>368560</v>
      </c>
      <c r="K366" s="216"/>
      <c r="L366" s="59">
        <f t="shared" si="103"/>
        <v>320370.47508650518</v>
      </c>
      <c r="M366" s="60">
        <f t="shared" si="95"/>
        <v>48189.524913494824</v>
      </c>
      <c r="N366" s="61">
        <f t="shared" si="79"/>
        <v>1.1504181210846065</v>
      </c>
      <c r="O366" s="194"/>
      <c r="P366" s="106">
        <f>IF(D366=0,0,SUM($L$355:L366))</f>
        <v>3203704.7508650511</v>
      </c>
      <c r="Q366" s="59">
        <f>IF(D366=0,0,SUM($J$355:J366))</f>
        <v>3170160</v>
      </c>
      <c r="R366" s="63">
        <f t="shared" si="96"/>
        <v>-33544.750865051057</v>
      </c>
      <c r="S366" s="61">
        <f t="shared" si="80"/>
        <v>0.98952938754546793</v>
      </c>
      <c r="T366" s="80"/>
      <c r="U366" s="59">
        <f>IF(D366=0,0,SUM($L$20:L366))</f>
        <v>67019038.999826834</v>
      </c>
      <c r="V366" s="59">
        <f>IF(D366=0,0,SUM($J$20:J366))</f>
        <v>66491531</v>
      </c>
      <c r="W366" s="63">
        <f t="shared" si="97"/>
        <v>-527507.99982683361</v>
      </c>
      <c r="X366" s="61">
        <f t="shared" si="81"/>
        <v>0.99212898293232465</v>
      </c>
      <c r="Y366" s="145"/>
      <c r="Z366" s="196">
        <f t="shared" si="104"/>
        <v>45638</v>
      </c>
      <c r="AA366" s="197">
        <f t="shared" si="104"/>
        <v>45638</v>
      </c>
      <c r="AB366" s="1"/>
      <c r="AC366" s="1"/>
      <c r="AD366" s="1"/>
      <c r="AE366" s="1"/>
      <c r="AF366" s="145"/>
      <c r="AG366" s="198">
        <f t="shared" si="102"/>
        <v>263</v>
      </c>
      <c r="AH366" s="145"/>
      <c r="AI366" s="145"/>
      <c r="AJ366" s="145"/>
      <c r="AK366" s="145"/>
      <c r="AL366" s="145"/>
      <c r="AM366" s="145"/>
      <c r="AN366" s="145"/>
    </row>
    <row r="367" spans="1:40" ht="20">
      <c r="A367" s="145"/>
      <c r="B367" s="152"/>
      <c r="C367" s="50">
        <f t="shared" si="98"/>
        <v>348</v>
      </c>
      <c r="D367" s="51">
        <v>1</v>
      </c>
      <c r="E367" s="187" t="str">
        <f t="shared" si="78"/>
        <v>12</v>
      </c>
      <c r="F367" s="188">
        <f t="shared" si="99"/>
        <v>45639</v>
      </c>
      <c r="G367" s="189" t="str">
        <f t="shared" si="100"/>
        <v>Fri</v>
      </c>
      <c r="H367" s="190"/>
      <c r="I367" s="214"/>
      <c r="J367" s="215">
        <v>510650</v>
      </c>
      <c r="K367" s="216"/>
      <c r="L367" s="59">
        <f t="shared" si="103"/>
        <v>320370.47508650518</v>
      </c>
      <c r="M367" s="60">
        <f t="shared" si="95"/>
        <v>190279.52491349482</v>
      </c>
      <c r="N367" s="61">
        <f t="shared" si="79"/>
        <v>1.5939358951917035</v>
      </c>
      <c r="O367" s="194"/>
      <c r="P367" s="106">
        <f>IF(D367=0,0,SUM($L$355:L367))</f>
        <v>3524075.2259515561</v>
      </c>
      <c r="Q367" s="59">
        <f>IF(D367=0,0,SUM($J$355:J367))</f>
        <v>3680810</v>
      </c>
      <c r="R367" s="63">
        <f t="shared" si="96"/>
        <v>156734.77404844388</v>
      </c>
      <c r="S367" s="61">
        <f t="shared" si="80"/>
        <v>1.0444754336951259</v>
      </c>
      <c r="T367" s="80"/>
      <c r="U367" s="59">
        <f>IF(D367=0,0,SUM($L$20:L367))</f>
        <v>67339409.474913344</v>
      </c>
      <c r="V367" s="59">
        <f>IF(D367=0,0,SUM($J$20:J367))</f>
        <v>67002181</v>
      </c>
      <c r="W367" s="63">
        <f t="shared" si="97"/>
        <v>-337228.47491334379</v>
      </c>
      <c r="X367" s="61">
        <f t="shared" si="81"/>
        <v>0.99499210822395201</v>
      </c>
      <c r="Y367" s="145"/>
      <c r="Z367" s="196">
        <f t="shared" si="104"/>
        <v>45639</v>
      </c>
      <c r="AA367" s="197">
        <f t="shared" si="104"/>
        <v>45639</v>
      </c>
      <c r="AB367" s="1"/>
      <c r="AC367" s="1"/>
      <c r="AD367" s="1"/>
      <c r="AE367" s="1"/>
      <c r="AF367" s="145"/>
      <c r="AG367" s="198">
        <f t="shared" si="102"/>
        <v>264</v>
      </c>
      <c r="AH367" s="145"/>
      <c r="AI367" s="145"/>
      <c r="AJ367" s="145"/>
      <c r="AK367" s="145"/>
      <c r="AL367" s="145"/>
      <c r="AM367" s="145"/>
      <c r="AN367" s="145"/>
    </row>
    <row r="368" spans="1:40" ht="20">
      <c r="A368" s="145"/>
      <c r="B368" s="152"/>
      <c r="C368" s="50">
        <f t="shared" si="98"/>
        <v>349</v>
      </c>
      <c r="D368" s="51">
        <v>1</v>
      </c>
      <c r="E368" s="187" t="str">
        <f t="shared" si="78"/>
        <v>12</v>
      </c>
      <c r="F368" s="188">
        <f t="shared" si="99"/>
        <v>45640</v>
      </c>
      <c r="G368" s="189" t="str">
        <f t="shared" si="100"/>
        <v>Sat</v>
      </c>
      <c r="H368" s="190"/>
      <c r="I368" s="214"/>
      <c r="J368" s="215">
        <v>116650</v>
      </c>
      <c r="K368" s="216"/>
      <c r="L368" s="59">
        <f t="shared" si="103"/>
        <v>320370.47508650518</v>
      </c>
      <c r="M368" s="60">
        <f t="shared" si="95"/>
        <v>-203720.47508650518</v>
      </c>
      <c r="N368" s="61">
        <f t="shared" si="79"/>
        <v>0.3641097075768378</v>
      </c>
      <c r="O368" s="194"/>
      <c r="P368" s="106">
        <f>IF(D368=0,0,SUM($L$355:L368))</f>
        <v>3844445.7010380612</v>
      </c>
      <c r="Q368" s="59">
        <f>IF(D368=0,0,SUM($J$355:J368))</f>
        <v>3797460</v>
      </c>
      <c r="R368" s="63">
        <f t="shared" si="96"/>
        <v>-46985.701038061175</v>
      </c>
      <c r="S368" s="61">
        <f t="shared" si="80"/>
        <v>0.98777828985193517</v>
      </c>
      <c r="T368" s="81"/>
      <c r="U368" s="59">
        <f>IF(D368=0,0,SUM($L$20:L368))</f>
        <v>67659779.949999854</v>
      </c>
      <c r="V368" s="59">
        <f>IF(D368=0,0,SUM($J$20:J368))</f>
        <v>67118831</v>
      </c>
      <c r="W368" s="63">
        <f t="shared" si="97"/>
        <v>-540948.94999985397</v>
      </c>
      <c r="X368" s="61">
        <f t="shared" si="81"/>
        <v>0.99200486684408951</v>
      </c>
      <c r="Y368" s="145"/>
      <c r="Z368" s="196">
        <f t="shared" si="104"/>
        <v>45640</v>
      </c>
      <c r="AA368" s="197">
        <f t="shared" si="104"/>
        <v>45640</v>
      </c>
      <c r="AB368" s="1"/>
      <c r="AC368" s="1"/>
      <c r="AD368" s="1"/>
      <c r="AE368" s="1"/>
      <c r="AF368" s="145"/>
      <c r="AG368" s="198">
        <f t="shared" si="102"/>
        <v>265</v>
      </c>
      <c r="AH368" s="145"/>
      <c r="AI368" s="145"/>
      <c r="AJ368" s="145"/>
      <c r="AK368" s="145"/>
      <c r="AL368" s="145"/>
      <c r="AM368" s="145"/>
      <c r="AN368" s="145"/>
    </row>
    <row r="369" spans="1:40" ht="20">
      <c r="A369" s="145"/>
      <c r="B369" s="152"/>
      <c r="C369" s="50">
        <f t="shared" si="98"/>
        <v>350</v>
      </c>
      <c r="D369" s="51">
        <v>0</v>
      </c>
      <c r="E369" s="187" t="str">
        <f t="shared" si="78"/>
        <v>12</v>
      </c>
      <c r="F369" s="188">
        <f t="shared" si="99"/>
        <v>45641</v>
      </c>
      <c r="G369" s="189" t="str">
        <f t="shared" si="100"/>
        <v>Sun</v>
      </c>
      <c r="H369" s="190" t="s">
        <v>58</v>
      </c>
      <c r="I369" s="200"/>
      <c r="J369" s="201">
        <v>0</v>
      </c>
      <c r="K369" s="202"/>
      <c r="L369" s="59">
        <f t="shared" si="103"/>
        <v>0</v>
      </c>
      <c r="M369" s="60">
        <f t="shared" si="95"/>
        <v>0</v>
      </c>
      <c r="N369" s="61" t="str">
        <f t="shared" si="79"/>
        <v>0%</v>
      </c>
      <c r="O369" s="194"/>
      <c r="P369" s="106">
        <f>IF(D369=0,0,SUM($L$355:L369))</f>
        <v>0</v>
      </c>
      <c r="Q369" s="59">
        <f>IF(D369=0,0,SUM($J$355:J369))</f>
        <v>0</v>
      </c>
      <c r="R369" s="63">
        <f t="shared" si="96"/>
        <v>0</v>
      </c>
      <c r="S369" s="61" t="str">
        <f t="shared" si="80"/>
        <v>0%</v>
      </c>
      <c r="T369" s="80"/>
      <c r="U369" s="59">
        <f>IF(D369=0,0,SUM($L$20:L369))</f>
        <v>0</v>
      </c>
      <c r="V369" s="59">
        <f>IF(D369=0,0,SUM($J$20:J369))</f>
        <v>0</v>
      </c>
      <c r="W369" s="63">
        <f t="shared" si="97"/>
        <v>0</v>
      </c>
      <c r="X369" s="61" t="str">
        <f t="shared" si="81"/>
        <v>0%</v>
      </c>
      <c r="Y369" s="145"/>
      <c r="Z369" s="196">
        <f t="shared" si="104"/>
        <v>45641</v>
      </c>
      <c r="AA369" s="197">
        <f t="shared" si="104"/>
        <v>45641</v>
      </c>
      <c r="AB369" s="1"/>
      <c r="AC369" s="1"/>
      <c r="AD369" s="1"/>
      <c r="AE369" s="1"/>
      <c r="AF369" s="145"/>
      <c r="AG369" s="198">
        <f t="shared" si="102"/>
        <v>266</v>
      </c>
      <c r="AH369" s="145"/>
      <c r="AI369" s="145"/>
      <c r="AJ369" s="145"/>
      <c r="AK369" s="145"/>
      <c r="AL369" s="145"/>
      <c r="AM369" s="145"/>
      <c r="AN369" s="145"/>
    </row>
    <row r="370" spans="1:40" ht="20">
      <c r="A370" s="145"/>
      <c r="B370" s="152"/>
      <c r="C370" s="50">
        <f t="shared" si="98"/>
        <v>351</v>
      </c>
      <c r="D370" s="51">
        <v>1</v>
      </c>
      <c r="E370" s="187" t="str">
        <f t="shared" si="78"/>
        <v>12</v>
      </c>
      <c r="F370" s="188">
        <f t="shared" si="99"/>
        <v>45642</v>
      </c>
      <c r="G370" s="189" t="str">
        <f t="shared" si="100"/>
        <v>Mon</v>
      </c>
      <c r="H370" s="190"/>
      <c r="I370" s="214"/>
      <c r="J370" s="215">
        <v>390170</v>
      </c>
      <c r="K370" s="216"/>
      <c r="L370" s="59">
        <f t="shared" si="103"/>
        <v>320370.47508650518</v>
      </c>
      <c r="M370" s="60">
        <f t="shared" si="95"/>
        <v>69799.524913494824</v>
      </c>
      <c r="N370" s="61">
        <f t="shared" si="79"/>
        <v>1.2178712782276451</v>
      </c>
      <c r="O370" s="194"/>
      <c r="P370" s="106">
        <f>IF(D370=0,0,SUM($L$355:L370))</f>
        <v>4164816.1761245662</v>
      </c>
      <c r="Q370" s="59">
        <f>IF(D370=0,0,SUM($J$355:J370))</f>
        <v>4187630</v>
      </c>
      <c r="R370" s="63">
        <f t="shared" si="96"/>
        <v>22813.823875433765</v>
      </c>
      <c r="S370" s="61">
        <f t="shared" si="80"/>
        <v>1.0054777504962205</v>
      </c>
      <c r="T370" s="80"/>
      <c r="U370" s="59">
        <f>IF(D370=0,0,SUM($L$20:L370))</f>
        <v>67980150.425086364</v>
      </c>
      <c r="V370" s="59">
        <f>IF(D370=0,0,SUM($J$20:J370))</f>
        <v>67509001</v>
      </c>
      <c r="W370" s="63">
        <f t="shared" si="97"/>
        <v>-471149.42508636415</v>
      </c>
      <c r="X370" s="61">
        <f t="shared" si="81"/>
        <v>0.99306930887707334</v>
      </c>
      <c r="Y370" s="145"/>
      <c r="Z370" s="196">
        <f t="shared" si="104"/>
        <v>45642</v>
      </c>
      <c r="AA370" s="197">
        <f t="shared" si="104"/>
        <v>45642</v>
      </c>
      <c r="AB370" s="1"/>
      <c r="AC370" s="1"/>
      <c r="AD370" s="1"/>
      <c r="AE370" s="1"/>
      <c r="AF370" s="145"/>
      <c r="AG370" s="198">
        <f t="shared" si="102"/>
        <v>267</v>
      </c>
      <c r="AH370" s="145"/>
      <c r="AI370" s="145"/>
      <c r="AJ370" s="145"/>
      <c r="AK370" s="145"/>
      <c r="AL370" s="145"/>
      <c r="AM370" s="145"/>
      <c r="AN370" s="145"/>
    </row>
    <row r="371" spans="1:40" ht="20">
      <c r="A371" s="145"/>
      <c r="B371" s="152"/>
      <c r="C371" s="50">
        <f t="shared" si="98"/>
        <v>352</v>
      </c>
      <c r="D371" s="51">
        <v>1</v>
      </c>
      <c r="E371" s="187" t="str">
        <f t="shared" si="78"/>
        <v>12</v>
      </c>
      <c r="F371" s="188">
        <f t="shared" si="99"/>
        <v>45643</v>
      </c>
      <c r="G371" s="189" t="str">
        <f t="shared" si="100"/>
        <v>Tue</v>
      </c>
      <c r="H371" s="190"/>
      <c r="I371" s="214"/>
      <c r="J371" s="215">
        <v>336680</v>
      </c>
      <c r="K371" s="216"/>
      <c r="L371" s="59">
        <f t="shared" si="103"/>
        <v>320370.47508650518</v>
      </c>
      <c r="M371" s="60">
        <f t="shared" si="95"/>
        <v>16309.524913494824</v>
      </c>
      <c r="N371" s="61">
        <f t="shared" si="79"/>
        <v>1.0509083270207438</v>
      </c>
      <c r="O371" s="194"/>
      <c r="P371" s="106">
        <f>IF(D371=0,0,SUM($L$355:L371))</f>
        <v>4485186.6512110718</v>
      </c>
      <c r="Q371" s="59">
        <f>IF(D371=0,0,SUM($J$355:J371))</f>
        <v>4524310</v>
      </c>
      <c r="R371" s="63">
        <f t="shared" si="96"/>
        <v>39123.348788928241</v>
      </c>
      <c r="S371" s="61">
        <f t="shared" si="80"/>
        <v>1.0087227916765436</v>
      </c>
      <c r="T371" s="80"/>
      <c r="U371" s="59">
        <f>IF(D371=0,0,SUM($L$20:L371))</f>
        <v>68300520.900172874</v>
      </c>
      <c r="V371" s="59">
        <f>IF(D371=0,0,SUM($J$20:J371))</f>
        <v>67845681</v>
      </c>
      <c r="W371" s="63">
        <f t="shared" si="97"/>
        <v>-454839.90017287433</v>
      </c>
      <c r="X371" s="61">
        <f t="shared" si="81"/>
        <v>0.99334060861940332</v>
      </c>
      <c r="Y371" s="145"/>
      <c r="Z371" s="196">
        <f t="shared" si="104"/>
        <v>45643</v>
      </c>
      <c r="AA371" s="197">
        <f t="shared" si="104"/>
        <v>45643</v>
      </c>
      <c r="AB371" s="1"/>
      <c r="AC371" s="1"/>
      <c r="AD371" s="1"/>
      <c r="AE371" s="1"/>
      <c r="AF371" s="145"/>
      <c r="AG371" s="198">
        <f t="shared" si="102"/>
        <v>268</v>
      </c>
      <c r="AH371" s="145"/>
      <c r="AI371" s="145"/>
      <c r="AJ371" s="145"/>
      <c r="AK371" s="145"/>
      <c r="AL371" s="145"/>
      <c r="AM371" s="145"/>
      <c r="AN371" s="145"/>
    </row>
    <row r="372" spans="1:40" ht="20">
      <c r="A372" s="145"/>
      <c r="B372" s="152"/>
      <c r="C372" s="50">
        <f t="shared" si="98"/>
        <v>353</v>
      </c>
      <c r="D372" s="51">
        <v>1</v>
      </c>
      <c r="E372" s="187" t="str">
        <f t="shared" si="78"/>
        <v>12</v>
      </c>
      <c r="F372" s="188">
        <f t="shared" si="99"/>
        <v>45644</v>
      </c>
      <c r="G372" s="189" t="str">
        <f t="shared" si="100"/>
        <v>Wed</v>
      </c>
      <c r="H372" s="190"/>
      <c r="I372" s="214"/>
      <c r="J372" s="215">
        <v>457010</v>
      </c>
      <c r="K372" s="216"/>
      <c r="L372" s="59">
        <f t="shared" si="103"/>
        <v>320370.47508650518</v>
      </c>
      <c r="M372" s="60">
        <f t="shared" si="95"/>
        <v>136639.52491349482</v>
      </c>
      <c r="N372" s="61">
        <f t="shared" si="79"/>
        <v>1.4265047360453549</v>
      </c>
      <c r="O372" s="194"/>
      <c r="P372" s="106">
        <f>IF(D372=0,0,SUM($L$355:L372))</f>
        <v>4805557.1262975773</v>
      </c>
      <c r="Q372" s="59">
        <f>IF(D372=0,0,SUM($J$355:J372))</f>
        <v>4981320</v>
      </c>
      <c r="R372" s="63">
        <f t="shared" si="96"/>
        <v>175762.87370242272</v>
      </c>
      <c r="S372" s="61">
        <f t="shared" si="80"/>
        <v>1.0365749213011308</v>
      </c>
      <c r="T372" s="80"/>
      <c r="U372" s="59">
        <f>IF(D372=0,0,SUM($L$20:L372))</f>
        <v>68620891.375259385</v>
      </c>
      <c r="V372" s="59">
        <f>IF(D372=0,0,SUM($J$20:J372))</f>
        <v>68302691</v>
      </c>
      <c r="W372" s="63">
        <f t="shared" si="97"/>
        <v>-318200.37525938451</v>
      </c>
      <c r="X372" s="61">
        <f t="shared" si="81"/>
        <v>0.99536292273559557</v>
      </c>
      <c r="Y372" s="145"/>
      <c r="Z372" s="196">
        <f t="shared" si="104"/>
        <v>45644</v>
      </c>
      <c r="AA372" s="197">
        <f t="shared" si="104"/>
        <v>45644</v>
      </c>
      <c r="AB372" s="1"/>
      <c r="AC372" s="1"/>
      <c r="AD372" s="1"/>
      <c r="AE372" s="1"/>
      <c r="AF372" s="145"/>
      <c r="AG372" s="198">
        <f t="shared" si="102"/>
        <v>269</v>
      </c>
      <c r="AH372" s="145"/>
      <c r="AI372" s="145"/>
      <c r="AJ372" s="145"/>
      <c r="AK372" s="145"/>
      <c r="AL372" s="145"/>
      <c r="AM372" s="145"/>
      <c r="AN372" s="145"/>
    </row>
    <row r="373" spans="1:40" ht="20">
      <c r="A373" s="145"/>
      <c r="B373" s="152"/>
      <c r="C373" s="50">
        <f t="shared" si="98"/>
        <v>354</v>
      </c>
      <c r="D373" s="51">
        <v>1</v>
      </c>
      <c r="E373" s="187" t="str">
        <f t="shared" si="78"/>
        <v>12</v>
      </c>
      <c r="F373" s="188">
        <f t="shared" si="99"/>
        <v>45645</v>
      </c>
      <c r="G373" s="189" t="str">
        <f t="shared" si="100"/>
        <v>Thu</v>
      </c>
      <c r="H373" s="190"/>
      <c r="I373" s="214"/>
      <c r="J373" s="215">
        <v>340270</v>
      </c>
      <c r="K373" s="216"/>
      <c r="L373" s="59">
        <f t="shared" si="103"/>
        <v>320370.47508650518</v>
      </c>
      <c r="M373" s="60">
        <f t="shared" si="95"/>
        <v>19899.524913494824</v>
      </c>
      <c r="N373" s="61">
        <f t="shared" si="79"/>
        <v>1.0621141037048487</v>
      </c>
      <c r="O373" s="194"/>
      <c r="P373" s="106">
        <f>IF(D373=0,0,SUM($L$355:L373))</f>
        <v>5125927.6013840828</v>
      </c>
      <c r="Q373" s="59">
        <f>IF(D373=0,0,SUM($J$355:J373))</f>
        <v>5321590</v>
      </c>
      <c r="R373" s="63">
        <f t="shared" si="96"/>
        <v>195662.39861591719</v>
      </c>
      <c r="S373" s="61">
        <f t="shared" si="80"/>
        <v>1.0381711202013633</v>
      </c>
      <c r="T373" s="80"/>
      <c r="U373" s="59">
        <f>IF(D373=0,0,SUM($L$20:L373))</f>
        <v>68941261.850345895</v>
      </c>
      <c r="V373" s="59">
        <f>IF(D373=0,0,SUM($J$20:J373))</f>
        <v>68642961</v>
      </c>
      <c r="W373" s="63">
        <f t="shared" si="97"/>
        <v>-298300.85034589469</v>
      </c>
      <c r="X373" s="61">
        <f t="shared" si="81"/>
        <v>0.99567311589112728</v>
      </c>
      <c r="Y373" s="145"/>
      <c r="Z373" s="196">
        <f t="shared" ref="Z373:AA385" si="105">Z372+1</f>
        <v>45645</v>
      </c>
      <c r="AA373" s="197">
        <f t="shared" si="105"/>
        <v>45645</v>
      </c>
      <c r="AB373" s="1"/>
      <c r="AC373" s="1"/>
      <c r="AD373" s="1"/>
      <c r="AE373" s="1"/>
      <c r="AF373" s="145"/>
      <c r="AG373" s="198">
        <f t="shared" si="102"/>
        <v>270</v>
      </c>
      <c r="AH373" s="145"/>
      <c r="AI373" s="145"/>
      <c r="AJ373" s="145"/>
      <c r="AK373" s="145"/>
      <c r="AL373" s="145"/>
      <c r="AM373" s="145"/>
      <c r="AN373" s="145"/>
    </row>
    <row r="374" spans="1:40" ht="20">
      <c r="A374" s="145"/>
      <c r="B374" s="152"/>
      <c r="C374" s="50">
        <f t="shared" si="98"/>
        <v>355</v>
      </c>
      <c r="D374" s="51">
        <v>1</v>
      </c>
      <c r="E374" s="187" t="str">
        <f t="shared" si="78"/>
        <v>12</v>
      </c>
      <c r="F374" s="188">
        <f t="shared" si="99"/>
        <v>45646</v>
      </c>
      <c r="G374" s="189" t="str">
        <f t="shared" si="100"/>
        <v>Fri</v>
      </c>
      <c r="H374" s="190"/>
      <c r="I374" s="214"/>
      <c r="J374" s="215">
        <v>433210</v>
      </c>
      <c r="K374" s="216"/>
      <c r="L374" s="59">
        <f t="shared" si="103"/>
        <v>320370.47508650518</v>
      </c>
      <c r="M374" s="60">
        <f t="shared" si="95"/>
        <v>112839.52491349482</v>
      </c>
      <c r="N374" s="61">
        <f t="shared" si="79"/>
        <v>1.3522157429863859</v>
      </c>
      <c r="O374" s="194"/>
      <c r="P374" s="106">
        <f>IF(D374=0,0,SUM($L$355:L374))</f>
        <v>5446298.0764705883</v>
      </c>
      <c r="Q374" s="59">
        <f>IF(D374=0,0,SUM($J$355:J374))</f>
        <v>5754800</v>
      </c>
      <c r="R374" s="63">
        <f t="shared" si="96"/>
        <v>308501.92352941167</v>
      </c>
      <c r="S374" s="61">
        <f t="shared" si="80"/>
        <v>1.0566443333063644</v>
      </c>
      <c r="T374" s="80"/>
      <c r="U374" s="59">
        <f>IF(D374=0,0,SUM($L$20:L374))</f>
        <v>69261632.325432405</v>
      </c>
      <c r="V374" s="59">
        <f>IF(D374=0,0,SUM($J$20:J374))</f>
        <v>69076171</v>
      </c>
      <c r="W374" s="63">
        <f t="shared" si="97"/>
        <v>-185461.32543240488</v>
      </c>
      <c r="X374" s="61">
        <f t="shared" si="81"/>
        <v>0.9973223079040211</v>
      </c>
      <c r="Y374" s="145"/>
      <c r="Z374" s="196">
        <f t="shared" si="105"/>
        <v>45646</v>
      </c>
      <c r="AA374" s="197">
        <f t="shared" si="105"/>
        <v>45646</v>
      </c>
      <c r="AB374" s="1"/>
      <c r="AC374" s="1"/>
      <c r="AD374" s="1"/>
      <c r="AE374" s="1"/>
      <c r="AF374" s="145"/>
      <c r="AG374" s="198">
        <f t="shared" si="102"/>
        <v>271</v>
      </c>
      <c r="AH374" s="145"/>
      <c r="AI374" s="145"/>
      <c r="AJ374" s="145"/>
      <c r="AK374" s="145"/>
      <c r="AL374" s="145"/>
      <c r="AM374" s="145"/>
      <c r="AN374" s="145"/>
    </row>
    <row r="375" spans="1:40" ht="20">
      <c r="A375" s="145"/>
      <c r="B375" s="152"/>
      <c r="C375" s="50">
        <f t="shared" si="98"/>
        <v>356</v>
      </c>
      <c r="D375" s="51">
        <v>1</v>
      </c>
      <c r="E375" s="187" t="str">
        <f t="shared" si="78"/>
        <v>12</v>
      </c>
      <c r="F375" s="188">
        <f t="shared" si="99"/>
        <v>45647</v>
      </c>
      <c r="G375" s="189" t="str">
        <f t="shared" si="100"/>
        <v>Sat</v>
      </c>
      <c r="H375" s="190"/>
      <c r="I375" s="214"/>
      <c r="J375" s="215">
        <v>357950</v>
      </c>
      <c r="K375" s="216"/>
      <c r="L375" s="59">
        <f t="shared" si="103"/>
        <v>320370.47508650518</v>
      </c>
      <c r="M375" s="60">
        <f t="shared" si="95"/>
        <v>37579.524913494824</v>
      </c>
      <c r="N375" s="61">
        <f t="shared" si="79"/>
        <v>1.1173002128343685</v>
      </c>
      <c r="O375" s="194"/>
      <c r="P375" s="106">
        <f>IF(D375=0,0,SUM($L$355:L375))</f>
        <v>5766668.5515570939</v>
      </c>
      <c r="Q375" s="59">
        <f>IF(D375=0,0,SUM($J$355:J375))</f>
        <v>6112750</v>
      </c>
      <c r="R375" s="63">
        <f t="shared" si="96"/>
        <v>346081.44844290614</v>
      </c>
      <c r="S375" s="61">
        <f t="shared" si="80"/>
        <v>1.0600141043912534</v>
      </c>
      <c r="T375" s="81"/>
      <c r="U375" s="59">
        <f>IF(D375=0,0,SUM($L$20:L375))</f>
        <v>69582002.800518915</v>
      </c>
      <c r="V375" s="59">
        <f>IF(D375=0,0,SUM($J$20:J375))</f>
        <v>69434121</v>
      </c>
      <c r="W375" s="63">
        <f t="shared" si="97"/>
        <v>-147881.80051891506</v>
      </c>
      <c r="X375" s="61">
        <f t="shared" si="81"/>
        <v>0.99787471192884647</v>
      </c>
      <c r="Y375" s="145"/>
      <c r="Z375" s="196">
        <f t="shared" si="105"/>
        <v>45647</v>
      </c>
      <c r="AA375" s="197">
        <f t="shared" si="105"/>
        <v>45647</v>
      </c>
      <c r="AB375" s="1"/>
      <c r="AC375" s="1"/>
      <c r="AD375" s="1"/>
      <c r="AE375" s="1"/>
      <c r="AF375" s="145"/>
      <c r="AG375" s="198">
        <f t="shared" si="102"/>
        <v>272</v>
      </c>
      <c r="AH375" s="145"/>
      <c r="AI375" s="145"/>
      <c r="AJ375" s="145"/>
      <c r="AK375" s="145"/>
      <c r="AL375" s="145"/>
      <c r="AM375" s="145"/>
      <c r="AN375" s="145"/>
    </row>
    <row r="376" spans="1:40" ht="20">
      <c r="A376" s="145"/>
      <c r="B376" s="152"/>
      <c r="C376" s="50">
        <f t="shared" si="98"/>
        <v>357</v>
      </c>
      <c r="D376" s="51">
        <v>0</v>
      </c>
      <c r="E376" s="187" t="str">
        <f t="shared" si="78"/>
        <v>12</v>
      </c>
      <c r="F376" s="188">
        <f t="shared" si="99"/>
        <v>45648</v>
      </c>
      <c r="G376" s="189" t="str">
        <f t="shared" si="100"/>
        <v>Sun</v>
      </c>
      <c r="H376" s="190" t="s">
        <v>58</v>
      </c>
      <c r="I376" s="200"/>
      <c r="J376" s="201">
        <v>0</v>
      </c>
      <c r="K376" s="202"/>
      <c r="L376" s="59">
        <f t="shared" si="103"/>
        <v>0</v>
      </c>
      <c r="M376" s="60">
        <f t="shared" si="95"/>
        <v>0</v>
      </c>
      <c r="N376" s="61" t="str">
        <f t="shared" si="79"/>
        <v>0%</v>
      </c>
      <c r="O376" s="194"/>
      <c r="P376" s="106">
        <f>IF(D376=0,0,SUM($L$355:L376))</f>
        <v>0</v>
      </c>
      <c r="Q376" s="59">
        <f>IF(D376=0,0,SUM($J$355:J376))</f>
        <v>0</v>
      </c>
      <c r="R376" s="63">
        <f t="shared" si="96"/>
        <v>0</v>
      </c>
      <c r="S376" s="61" t="str">
        <f t="shared" si="80"/>
        <v>0%</v>
      </c>
      <c r="T376" s="80"/>
      <c r="U376" s="59">
        <f>IF(D376=0,0,SUM($L$20:L376))</f>
        <v>0</v>
      </c>
      <c r="V376" s="59">
        <f>IF(D376=0,0,SUM($J$20:J376))</f>
        <v>0</v>
      </c>
      <c r="W376" s="63">
        <f t="shared" si="97"/>
        <v>0</v>
      </c>
      <c r="X376" s="61" t="str">
        <f t="shared" si="81"/>
        <v>0%</v>
      </c>
      <c r="Y376" s="145"/>
      <c r="Z376" s="196">
        <f t="shared" si="105"/>
        <v>45648</v>
      </c>
      <c r="AA376" s="197">
        <f t="shared" si="105"/>
        <v>45648</v>
      </c>
      <c r="AB376" s="1"/>
      <c r="AC376" s="1"/>
      <c r="AD376" s="1"/>
      <c r="AE376" s="1"/>
      <c r="AF376" s="145"/>
      <c r="AG376" s="198">
        <f t="shared" si="102"/>
        <v>273</v>
      </c>
      <c r="AH376" s="145"/>
      <c r="AI376" s="145"/>
      <c r="AJ376" s="145"/>
      <c r="AK376" s="145"/>
      <c r="AL376" s="145"/>
      <c r="AM376" s="145"/>
      <c r="AN376" s="145"/>
    </row>
    <row r="377" spans="1:40" ht="20">
      <c r="A377" s="145"/>
      <c r="B377" s="152"/>
      <c r="C377" s="50">
        <f t="shared" si="98"/>
        <v>358</v>
      </c>
      <c r="D377" s="51">
        <v>1</v>
      </c>
      <c r="E377" s="187" t="str">
        <f t="shared" si="78"/>
        <v>12</v>
      </c>
      <c r="F377" s="188">
        <f t="shared" si="99"/>
        <v>45649</v>
      </c>
      <c r="G377" s="189" t="str">
        <f t="shared" si="100"/>
        <v>Mon</v>
      </c>
      <c r="H377" s="190"/>
      <c r="I377" s="200"/>
      <c r="J377" s="201">
        <v>170350</v>
      </c>
      <c r="K377" s="202"/>
      <c r="L377" s="59">
        <f t="shared" si="103"/>
        <v>320370.47508650518</v>
      </c>
      <c r="M377" s="60">
        <f t="shared" si="95"/>
        <v>-150020.47508650518</v>
      </c>
      <c r="N377" s="61">
        <f t="shared" si="79"/>
        <v>0.53172814989896544</v>
      </c>
      <c r="O377" s="194"/>
      <c r="P377" s="106">
        <f>IF(D377=0,0,SUM($L$355:L377))</f>
        <v>6087039.0266435994</v>
      </c>
      <c r="Q377" s="59">
        <f>IF(D377=0,0,SUM($J$355:J377))</f>
        <v>6283100</v>
      </c>
      <c r="R377" s="63">
        <f t="shared" si="96"/>
        <v>196060.97335640062</v>
      </c>
      <c r="S377" s="61">
        <f t="shared" si="80"/>
        <v>1.0322095804706066</v>
      </c>
      <c r="T377" s="80"/>
      <c r="U377" s="59">
        <f>IF(D377=0,0,SUM($L$20:L377))</f>
        <v>69902373.275605425</v>
      </c>
      <c r="V377" s="59">
        <f>IF(D377=0,0,SUM($J$20:J377))</f>
        <v>69604471</v>
      </c>
      <c r="W377" s="63">
        <f t="shared" si="97"/>
        <v>-297902.27560542524</v>
      </c>
      <c r="X377" s="61">
        <f t="shared" si="81"/>
        <v>0.99573830956452825</v>
      </c>
      <c r="Y377" s="145"/>
      <c r="Z377" s="196">
        <f t="shared" si="105"/>
        <v>45649</v>
      </c>
      <c r="AA377" s="197">
        <f t="shared" si="105"/>
        <v>45649</v>
      </c>
      <c r="AB377" s="1"/>
      <c r="AC377" s="1"/>
      <c r="AD377" s="1"/>
      <c r="AE377" s="1"/>
      <c r="AF377" s="145"/>
      <c r="AG377" s="198">
        <f t="shared" si="102"/>
        <v>274</v>
      </c>
      <c r="AH377" s="145"/>
      <c r="AI377" s="145"/>
      <c r="AJ377" s="145"/>
      <c r="AK377" s="145"/>
      <c r="AL377" s="145"/>
      <c r="AM377" s="145"/>
      <c r="AN377" s="145"/>
    </row>
    <row r="378" spans="1:40" ht="20">
      <c r="A378" s="145"/>
      <c r="B378" s="152"/>
      <c r="C378" s="50">
        <f t="shared" si="98"/>
        <v>359</v>
      </c>
      <c r="D378" s="51">
        <v>1</v>
      </c>
      <c r="E378" s="187" t="str">
        <f t="shared" si="78"/>
        <v>12</v>
      </c>
      <c r="F378" s="188">
        <f t="shared" si="99"/>
        <v>45650</v>
      </c>
      <c r="G378" s="189" t="str">
        <f t="shared" si="100"/>
        <v>Tue</v>
      </c>
      <c r="H378" s="190"/>
      <c r="I378" s="200"/>
      <c r="J378" s="201">
        <v>303010</v>
      </c>
      <c r="K378" s="202"/>
      <c r="L378" s="59">
        <f t="shared" si="103"/>
        <v>320370.47508650518</v>
      </c>
      <c r="M378" s="60">
        <f t="shared" si="95"/>
        <v>-17360.475086505176</v>
      </c>
      <c r="N378" s="61">
        <f t="shared" si="79"/>
        <v>0.94581125154614332</v>
      </c>
      <c r="O378" s="194"/>
      <c r="P378" s="106">
        <f>IF(D378=0,0,SUM($L$355:L378))</f>
        <v>6407409.5017301049</v>
      </c>
      <c r="Q378" s="59">
        <f>IF(D378=0,0,SUM($J$355:J378))</f>
        <v>6586110</v>
      </c>
      <c r="R378" s="63">
        <f t="shared" si="96"/>
        <v>178700.49826989509</v>
      </c>
      <c r="S378" s="61">
        <f t="shared" si="80"/>
        <v>1.0278896640243835</v>
      </c>
      <c r="T378" s="80"/>
      <c r="U378" s="59">
        <f>IF(D378=0,0,SUM($L$20:L378))</f>
        <v>70222743.750691935</v>
      </c>
      <c r="V378" s="59">
        <f>IF(D378=0,0,SUM($J$20:J378))</f>
        <v>69907481</v>
      </c>
      <c r="W378" s="63">
        <f t="shared" si="97"/>
        <v>-315262.75069193542</v>
      </c>
      <c r="X378" s="61">
        <f t="shared" si="81"/>
        <v>0.99551053214594976</v>
      </c>
      <c r="Y378" s="145"/>
      <c r="Z378" s="196">
        <f t="shared" si="105"/>
        <v>45650</v>
      </c>
      <c r="AA378" s="197">
        <f t="shared" si="105"/>
        <v>45650</v>
      </c>
      <c r="AB378" s="1"/>
      <c r="AC378" s="1"/>
      <c r="AD378" s="1"/>
      <c r="AE378" s="1"/>
      <c r="AF378" s="145"/>
      <c r="AG378" s="198">
        <f t="shared" si="102"/>
        <v>275</v>
      </c>
      <c r="AH378" s="145"/>
      <c r="AI378" s="145"/>
      <c r="AJ378" s="145"/>
      <c r="AK378" s="145"/>
      <c r="AL378" s="145"/>
      <c r="AM378" s="145"/>
      <c r="AN378" s="145"/>
    </row>
    <row r="379" spans="1:40" ht="20">
      <c r="A379" s="145"/>
      <c r="B379" s="152"/>
      <c r="C379" s="50">
        <f t="shared" si="98"/>
        <v>360</v>
      </c>
      <c r="D379" s="51">
        <v>1</v>
      </c>
      <c r="E379" s="187" t="str">
        <f t="shared" si="78"/>
        <v>12</v>
      </c>
      <c r="F379" s="188">
        <f t="shared" si="99"/>
        <v>45651</v>
      </c>
      <c r="G379" s="189" t="str">
        <f t="shared" si="100"/>
        <v>Wed</v>
      </c>
      <c r="H379" s="190"/>
      <c r="I379" s="200"/>
      <c r="J379" s="201">
        <v>348090</v>
      </c>
      <c r="K379" s="202"/>
      <c r="L379" s="59">
        <f t="shared" si="103"/>
        <v>320370.47508650518</v>
      </c>
      <c r="M379" s="60">
        <f t="shared" si="95"/>
        <v>27719.524913494824</v>
      </c>
      <c r="N379" s="61">
        <f t="shared" si="79"/>
        <v>1.0865233442813671</v>
      </c>
      <c r="O379" s="194"/>
      <c r="P379" s="106">
        <f>IF(D379=0,0,SUM($L$355:L379))</f>
        <v>6727779.9768166104</v>
      </c>
      <c r="Q379" s="59">
        <f>IF(D379=0,0,SUM($J$355:J379))</f>
        <v>6934200</v>
      </c>
      <c r="R379" s="63">
        <f t="shared" si="96"/>
        <v>206420.02318338957</v>
      </c>
      <c r="S379" s="61">
        <f t="shared" si="80"/>
        <v>1.0306817440366207</v>
      </c>
      <c r="T379" s="80"/>
      <c r="U379" s="59">
        <f>IF(D379=0,0,SUM($L$20:L379))</f>
        <v>70543114.225778446</v>
      </c>
      <c r="V379" s="59">
        <f>IF(D379=0,0,SUM($J$20:J379))</f>
        <v>70255571</v>
      </c>
      <c r="W379" s="63">
        <f t="shared" si="97"/>
        <v>-287543.2257784456</v>
      </c>
      <c r="X379" s="61">
        <f t="shared" si="81"/>
        <v>0.99592386544123723</v>
      </c>
      <c r="Y379" s="145"/>
      <c r="Z379" s="196">
        <f t="shared" si="105"/>
        <v>45651</v>
      </c>
      <c r="AA379" s="197">
        <f t="shared" si="105"/>
        <v>45651</v>
      </c>
      <c r="AB379" s="1"/>
      <c r="AC379" s="1"/>
      <c r="AD379" s="1"/>
      <c r="AE379" s="1"/>
      <c r="AF379" s="145"/>
      <c r="AG379" s="198">
        <f t="shared" si="102"/>
        <v>276</v>
      </c>
      <c r="AH379" s="145"/>
      <c r="AI379" s="145"/>
      <c r="AJ379" s="145"/>
      <c r="AK379" s="145"/>
      <c r="AL379" s="145"/>
      <c r="AM379" s="145"/>
      <c r="AN379" s="145"/>
    </row>
    <row r="380" spans="1:40" ht="20">
      <c r="A380" s="145"/>
      <c r="B380" s="152"/>
      <c r="C380" s="50">
        <f t="shared" si="98"/>
        <v>361</v>
      </c>
      <c r="D380" s="51">
        <v>1</v>
      </c>
      <c r="E380" s="187" t="str">
        <f t="shared" si="78"/>
        <v>12</v>
      </c>
      <c r="F380" s="188">
        <f t="shared" si="99"/>
        <v>45652</v>
      </c>
      <c r="G380" s="189" t="str">
        <f t="shared" si="100"/>
        <v>Thu</v>
      </c>
      <c r="H380" s="190"/>
      <c r="I380" s="200"/>
      <c r="J380" s="201">
        <v>463050</v>
      </c>
      <c r="K380" s="202"/>
      <c r="L380" s="59">
        <f t="shared" si="103"/>
        <v>320370.47508650518</v>
      </c>
      <c r="M380" s="60">
        <f t="shared" si="95"/>
        <v>142679.52491349482</v>
      </c>
      <c r="N380" s="61">
        <f t="shared" si="79"/>
        <v>1.4453579090737656</v>
      </c>
      <c r="O380" s="194"/>
      <c r="P380" s="106">
        <f>IF(D380=0,0,SUM($L$355:L380))</f>
        <v>7048150.451903116</v>
      </c>
      <c r="Q380" s="59">
        <f>IF(D380=0,0,SUM($J$355:J380))</f>
        <v>7397250</v>
      </c>
      <c r="R380" s="63">
        <f t="shared" si="96"/>
        <v>349099.54809688404</v>
      </c>
      <c r="S380" s="61">
        <f t="shared" si="80"/>
        <v>1.0495306606292183</v>
      </c>
      <c r="T380" s="80"/>
      <c r="U380" s="59">
        <f>IF(D380=0,0,SUM($L$20:L380))</f>
        <v>70863484.700864956</v>
      </c>
      <c r="V380" s="59">
        <f>IF(D380=0,0,SUM($J$20:J380))</f>
        <v>70718621</v>
      </c>
      <c r="W380" s="63">
        <f t="shared" si="97"/>
        <v>-144863.70086495578</v>
      </c>
      <c r="X380" s="61">
        <f t="shared" si="81"/>
        <v>0.99795573557416117</v>
      </c>
      <c r="Y380" s="145"/>
      <c r="Z380" s="196">
        <f t="shared" si="105"/>
        <v>45652</v>
      </c>
      <c r="AA380" s="197">
        <f t="shared" si="105"/>
        <v>45652</v>
      </c>
      <c r="AB380" s="1"/>
      <c r="AC380" s="1"/>
      <c r="AD380" s="1"/>
      <c r="AE380" s="1"/>
      <c r="AF380" s="145"/>
      <c r="AG380" s="198">
        <f t="shared" si="102"/>
        <v>277</v>
      </c>
      <c r="AH380" s="145"/>
      <c r="AI380" s="145"/>
      <c r="AJ380" s="145"/>
      <c r="AK380" s="145"/>
      <c r="AL380" s="145"/>
      <c r="AM380" s="145"/>
      <c r="AN380" s="145"/>
    </row>
    <row r="381" spans="1:40" ht="20">
      <c r="A381" s="145"/>
      <c r="B381" s="152"/>
      <c r="C381" s="50">
        <f t="shared" si="98"/>
        <v>362</v>
      </c>
      <c r="D381" s="51">
        <v>1</v>
      </c>
      <c r="E381" s="187" t="str">
        <f t="shared" si="78"/>
        <v>12</v>
      </c>
      <c r="F381" s="188">
        <f t="shared" si="99"/>
        <v>45653</v>
      </c>
      <c r="G381" s="189" t="str">
        <f t="shared" si="100"/>
        <v>Fri</v>
      </c>
      <c r="H381" s="190"/>
      <c r="I381" s="200"/>
      <c r="J381" s="201">
        <v>372700</v>
      </c>
      <c r="K381" s="202"/>
      <c r="L381" s="59">
        <f t="shared" si="103"/>
        <v>320370.47508650518</v>
      </c>
      <c r="M381" s="60">
        <f t="shared" si="95"/>
        <v>52329.524913494824</v>
      </c>
      <c r="N381" s="61">
        <f t="shared" si="79"/>
        <v>1.1633406602133514</v>
      </c>
      <c r="O381" s="194"/>
      <c r="P381" s="106">
        <f>IF(D381=0,0,SUM($L$355:L381))</f>
        <v>7368520.9269896215</v>
      </c>
      <c r="Q381" s="59">
        <f>IF(D381=0,0,SUM($J$355:J381))</f>
        <v>7769950</v>
      </c>
      <c r="R381" s="63">
        <f t="shared" si="96"/>
        <v>401429.07301037852</v>
      </c>
      <c r="S381" s="61">
        <f t="shared" si="80"/>
        <v>1.0544789214807022</v>
      </c>
      <c r="T381" s="80"/>
      <c r="U381" s="59">
        <f>IF(D381=0,0,SUM($L$20:L381))</f>
        <v>71183855.175951466</v>
      </c>
      <c r="V381" s="59">
        <f>IF(D381=0,0,SUM($J$20:J381))</f>
        <v>71091321</v>
      </c>
      <c r="W381" s="63">
        <f t="shared" si="97"/>
        <v>-92534.175951465964</v>
      </c>
      <c r="X381" s="61">
        <f t="shared" si="81"/>
        <v>0.99870006793362431</v>
      </c>
      <c r="Y381" s="145"/>
      <c r="Z381" s="196">
        <f t="shared" si="105"/>
        <v>45653</v>
      </c>
      <c r="AA381" s="197">
        <f t="shared" si="105"/>
        <v>45653</v>
      </c>
      <c r="AB381" s="1"/>
      <c r="AC381" s="1"/>
      <c r="AD381" s="1"/>
      <c r="AE381" s="1"/>
      <c r="AF381" s="145"/>
      <c r="AG381" s="198">
        <f t="shared" si="102"/>
        <v>278</v>
      </c>
      <c r="AH381" s="145"/>
      <c r="AI381" s="145"/>
      <c r="AJ381" s="145"/>
      <c r="AK381" s="145"/>
      <c r="AL381" s="145"/>
      <c r="AM381" s="145"/>
      <c r="AN381" s="145"/>
    </row>
    <row r="382" spans="1:40" ht="20">
      <c r="A382" s="145"/>
      <c r="B382" s="152"/>
      <c r="C382" s="50">
        <f t="shared" si="98"/>
        <v>363</v>
      </c>
      <c r="D382" s="51">
        <v>1</v>
      </c>
      <c r="E382" s="187" t="str">
        <f t="shared" si="78"/>
        <v>12</v>
      </c>
      <c r="F382" s="188">
        <f t="shared" si="99"/>
        <v>45654</v>
      </c>
      <c r="G382" s="189" t="str">
        <f t="shared" si="100"/>
        <v>Sat</v>
      </c>
      <c r="H382" s="190"/>
      <c r="I382" s="200"/>
      <c r="J382" s="201">
        <v>129500</v>
      </c>
      <c r="K382" s="202"/>
      <c r="L382" s="59">
        <f t="shared" si="103"/>
        <v>320370.47508650518</v>
      </c>
      <c r="M382" s="60">
        <f t="shared" si="95"/>
        <v>-190870.47508650518</v>
      </c>
      <c r="N382" s="61">
        <f t="shared" si="79"/>
        <v>0.40421952105615511</v>
      </c>
      <c r="O382" s="194"/>
      <c r="P382" s="106">
        <f>IF(D382=0,0,SUM($L$355:L382))</f>
        <v>7688891.402076127</v>
      </c>
      <c r="Q382" s="59">
        <f>IF(D382=0,0,SUM($J$355:J382))</f>
        <v>7899450</v>
      </c>
      <c r="R382" s="63">
        <f t="shared" si="96"/>
        <v>210558.59792387299</v>
      </c>
      <c r="S382" s="61">
        <f t="shared" si="80"/>
        <v>1.027384779796346</v>
      </c>
      <c r="T382" s="81"/>
      <c r="U382" s="59">
        <f>IF(D382=0,0,SUM($L$20:L382))</f>
        <v>71504225.651037976</v>
      </c>
      <c r="V382" s="59">
        <f>IF(D382=0,0,SUM($J$20:J382))</f>
        <v>71220821</v>
      </c>
      <c r="W382" s="63">
        <f t="shared" si="97"/>
        <v>-283404.65103797615</v>
      </c>
      <c r="X382" s="61">
        <f t="shared" si="81"/>
        <v>0.99603653282784888</v>
      </c>
      <c r="Y382" s="145"/>
      <c r="Z382" s="196">
        <f t="shared" si="105"/>
        <v>45654</v>
      </c>
      <c r="AA382" s="197">
        <f t="shared" si="105"/>
        <v>45654</v>
      </c>
      <c r="AB382" s="1"/>
      <c r="AC382" s="1"/>
      <c r="AD382" s="1"/>
      <c r="AE382" s="1"/>
      <c r="AF382" s="145"/>
      <c r="AG382" s="198">
        <f t="shared" si="102"/>
        <v>279</v>
      </c>
      <c r="AH382" s="145"/>
      <c r="AI382" s="145"/>
      <c r="AJ382" s="145"/>
      <c r="AK382" s="145"/>
      <c r="AL382" s="145"/>
      <c r="AM382" s="145"/>
      <c r="AN382" s="145"/>
    </row>
    <row r="383" spans="1:40" ht="20">
      <c r="A383" s="145"/>
      <c r="B383" s="152"/>
      <c r="C383" s="50">
        <f t="shared" si="98"/>
        <v>364</v>
      </c>
      <c r="D383" s="51">
        <v>0</v>
      </c>
      <c r="E383" s="187" t="str">
        <f t="shared" si="78"/>
        <v>12</v>
      </c>
      <c r="F383" s="188">
        <f t="shared" si="99"/>
        <v>45655</v>
      </c>
      <c r="G383" s="189" t="str">
        <f t="shared" si="100"/>
        <v>Sun</v>
      </c>
      <c r="H383" s="190" t="s">
        <v>58</v>
      </c>
      <c r="I383" s="200"/>
      <c r="J383" s="201">
        <v>0</v>
      </c>
      <c r="K383" s="202"/>
      <c r="L383" s="59">
        <f t="shared" si="103"/>
        <v>0</v>
      </c>
      <c r="M383" s="60">
        <f t="shared" si="95"/>
        <v>0</v>
      </c>
      <c r="N383" s="61" t="str">
        <f t="shared" si="79"/>
        <v>0%</v>
      </c>
      <c r="O383" s="194"/>
      <c r="P383" s="106">
        <f>IF(D383=0,0,SUM($L$355:L383))</f>
        <v>0</v>
      </c>
      <c r="Q383" s="59">
        <f>IF(D383=0,0,SUM($J$355:J383))</f>
        <v>0</v>
      </c>
      <c r="R383" s="63">
        <f t="shared" si="96"/>
        <v>0</v>
      </c>
      <c r="S383" s="61" t="str">
        <f t="shared" si="80"/>
        <v>0%</v>
      </c>
      <c r="T383" s="80"/>
      <c r="U383" s="59">
        <f>IF(D383=0,0,SUM($L$20:L383))</f>
        <v>0</v>
      </c>
      <c r="V383" s="59">
        <f>IF(D383=0,0,SUM($J$20:J383))</f>
        <v>0</v>
      </c>
      <c r="W383" s="63">
        <f t="shared" si="97"/>
        <v>0</v>
      </c>
      <c r="X383" s="61" t="str">
        <f t="shared" si="81"/>
        <v>0%</v>
      </c>
      <c r="Y383" s="145"/>
      <c r="Z383" s="196">
        <f t="shared" si="105"/>
        <v>45655</v>
      </c>
      <c r="AA383" s="197">
        <f t="shared" si="105"/>
        <v>45655</v>
      </c>
      <c r="AB383" s="1"/>
      <c r="AC383" s="1"/>
      <c r="AD383" s="1"/>
      <c r="AE383" s="1"/>
      <c r="AF383" s="145"/>
      <c r="AG383" s="198">
        <f t="shared" si="102"/>
        <v>280</v>
      </c>
      <c r="AH383" s="145"/>
      <c r="AI383" s="145"/>
      <c r="AJ383" s="145"/>
      <c r="AK383" s="145"/>
      <c r="AL383" s="145"/>
      <c r="AM383" s="145"/>
      <c r="AN383" s="145"/>
    </row>
    <row r="384" spans="1:40" ht="20">
      <c r="A384" s="145"/>
      <c r="B384" s="152"/>
      <c r="C384" s="50">
        <f t="shared" si="98"/>
        <v>365</v>
      </c>
      <c r="D384" s="51">
        <v>0</v>
      </c>
      <c r="E384" s="187" t="str">
        <f t="shared" si="78"/>
        <v>12</v>
      </c>
      <c r="F384" s="188">
        <f t="shared" si="99"/>
        <v>45656</v>
      </c>
      <c r="G384" s="189" t="str">
        <f t="shared" si="100"/>
        <v>Mon</v>
      </c>
      <c r="H384" s="190" t="s">
        <v>56</v>
      </c>
      <c r="I384" s="200"/>
      <c r="J384" s="201">
        <v>0</v>
      </c>
      <c r="K384" s="202"/>
      <c r="L384" s="59">
        <f t="shared" si="103"/>
        <v>0</v>
      </c>
      <c r="M384" s="60">
        <f t="shared" si="95"/>
        <v>0</v>
      </c>
      <c r="N384" s="61" t="str">
        <f t="shared" si="79"/>
        <v>0%</v>
      </c>
      <c r="O384" s="194"/>
      <c r="P384" s="106">
        <f>IF(D384=0,0,SUM($L$355:L384))</f>
        <v>0</v>
      </c>
      <c r="Q384" s="59">
        <f>IF(D384=0,0,SUM($J$355:J384))</f>
        <v>0</v>
      </c>
      <c r="R384" s="63">
        <f t="shared" si="96"/>
        <v>0</v>
      </c>
      <c r="S384" s="61" t="str">
        <f t="shared" si="80"/>
        <v>0%</v>
      </c>
      <c r="T384" s="81"/>
      <c r="U384" s="59">
        <f>IF(D384=0,0,SUM($L$20:L384))</f>
        <v>0</v>
      </c>
      <c r="V384" s="59">
        <f>IF(D384=0,0,SUM($J$20:J384))</f>
        <v>0</v>
      </c>
      <c r="W384" s="63">
        <f t="shared" si="97"/>
        <v>0</v>
      </c>
      <c r="X384" s="61" t="str">
        <f t="shared" si="81"/>
        <v>0%</v>
      </c>
      <c r="Y384" s="145"/>
      <c r="Z384" s="196">
        <f t="shared" si="105"/>
        <v>45656</v>
      </c>
      <c r="AA384" s="197">
        <f t="shared" si="105"/>
        <v>45656</v>
      </c>
      <c r="AB384" s="1"/>
      <c r="AC384" s="1"/>
      <c r="AD384" s="1"/>
      <c r="AE384" s="1"/>
      <c r="AF384" s="145"/>
      <c r="AG384" s="198">
        <f t="shared" si="102"/>
        <v>281</v>
      </c>
      <c r="AH384" s="145"/>
      <c r="AI384" s="145"/>
      <c r="AJ384" s="145"/>
      <c r="AK384" s="145"/>
      <c r="AL384" s="145"/>
      <c r="AM384" s="145"/>
      <c r="AN384" s="145"/>
    </row>
    <row r="385" spans="1:40" ht="21" thickBot="1">
      <c r="A385" s="145"/>
      <c r="B385" s="152"/>
      <c r="C385" s="100">
        <f t="shared" si="98"/>
        <v>366</v>
      </c>
      <c r="D385" s="85">
        <v>0</v>
      </c>
      <c r="E385" s="203" t="str">
        <f t="shared" si="78"/>
        <v>12</v>
      </c>
      <c r="F385" s="204">
        <f t="shared" si="99"/>
        <v>45657</v>
      </c>
      <c r="G385" s="205" t="str">
        <f t="shared" si="100"/>
        <v>Tue</v>
      </c>
      <c r="H385" s="206" t="s">
        <v>60</v>
      </c>
      <c r="I385" s="207"/>
      <c r="J385" s="208">
        <v>0</v>
      </c>
      <c r="K385" s="202"/>
      <c r="L385" s="103">
        <f t="shared" si="103"/>
        <v>0</v>
      </c>
      <c r="M385" s="91">
        <f t="shared" si="95"/>
        <v>0</v>
      </c>
      <c r="N385" s="108" t="str">
        <f t="shared" si="79"/>
        <v>0%</v>
      </c>
      <c r="O385" s="209"/>
      <c r="P385" s="94">
        <f>IF(D385=0,0,SUM($L$355:L385))</f>
        <v>0</v>
      </c>
      <c r="Q385" s="103">
        <f>IF(D385=0,0,SUM($J$355:J385))</f>
        <v>0</v>
      </c>
      <c r="R385" s="105">
        <f t="shared" si="96"/>
        <v>0</v>
      </c>
      <c r="S385" s="108" t="str">
        <f t="shared" si="80"/>
        <v>0%</v>
      </c>
      <c r="T385" s="213"/>
      <c r="U385" s="103">
        <f>IF(D385=0,0,SUM($L$20:L385))</f>
        <v>0</v>
      </c>
      <c r="V385" s="103">
        <f>IF(D385=0,0,SUM($J$20:J385))</f>
        <v>0</v>
      </c>
      <c r="W385" s="105">
        <f t="shared" si="97"/>
        <v>0</v>
      </c>
      <c r="X385" s="108" t="str">
        <f t="shared" si="81"/>
        <v>0%</v>
      </c>
      <c r="Y385" s="145"/>
      <c r="Z385" s="196">
        <f t="shared" si="105"/>
        <v>45657</v>
      </c>
      <c r="AA385" s="197">
        <f t="shared" si="105"/>
        <v>45657</v>
      </c>
      <c r="AB385" s="1"/>
      <c r="AC385" s="1"/>
      <c r="AD385" s="1"/>
      <c r="AE385" s="1"/>
      <c r="AF385" s="145"/>
      <c r="AG385" s="198">
        <f t="shared" si="102"/>
        <v>282</v>
      </c>
      <c r="AH385" s="145"/>
      <c r="AI385" s="145"/>
      <c r="AJ385" s="145"/>
      <c r="AK385" s="145"/>
      <c r="AL385" s="145"/>
      <c r="AM385" s="145"/>
      <c r="AN385" s="145"/>
    </row>
    <row r="386" spans="1:40" ht="18" thickTop="1">
      <c r="A386" s="145"/>
      <c r="B386" s="145"/>
      <c r="C386" s="145"/>
      <c r="D386" s="146"/>
      <c r="E386" s="145"/>
      <c r="F386" s="145"/>
      <c r="G386" s="145"/>
      <c r="H386" s="145"/>
      <c r="I386" s="145"/>
      <c r="J386" s="145"/>
      <c r="K386" s="147"/>
      <c r="L386" s="145"/>
      <c r="M386" s="145"/>
      <c r="N386" s="145"/>
      <c r="O386" s="145"/>
      <c r="P386" s="145"/>
      <c r="Q386" s="145"/>
      <c r="R386" s="145"/>
      <c r="S386" s="145"/>
      <c r="T386" s="145"/>
      <c r="U386" s="145"/>
      <c r="V386" s="145"/>
      <c r="W386" s="145"/>
      <c r="X386" s="145"/>
      <c r="Y386" s="145"/>
      <c r="Z386" s="145"/>
      <c r="AA386" s="145"/>
      <c r="AB386" s="1"/>
      <c r="AC386" s="1"/>
      <c r="AD386" s="1"/>
      <c r="AE386" s="1"/>
      <c r="AF386" s="145"/>
      <c r="AG386" s="145"/>
      <c r="AH386" s="145"/>
      <c r="AI386" s="145"/>
      <c r="AJ386" s="145"/>
      <c r="AK386" s="145"/>
      <c r="AL386" s="145"/>
      <c r="AM386" s="145"/>
      <c r="AN386" s="145"/>
    </row>
  </sheetData>
  <mergeCells count="82">
    <mergeCell ref="AJ83:AJ89"/>
    <mergeCell ref="AJ90:AJ96"/>
    <mergeCell ref="AJ97:AJ103"/>
    <mergeCell ref="AJ48:AJ54"/>
    <mergeCell ref="AJ55:AJ61"/>
    <mergeCell ref="AJ62:AJ68"/>
    <mergeCell ref="AJ69:AJ75"/>
    <mergeCell ref="AJ76:AJ82"/>
    <mergeCell ref="AI19:AJ19"/>
    <mergeCell ref="AJ20:AJ26"/>
    <mergeCell ref="AJ27:AJ33"/>
    <mergeCell ref="AJ34:AJ40"/>
    <mergeCell ref="AJ41:AJ47"/>
    <mergeCell ref="M3:N3"/>
    <mergeCell ref="O3:P3"/>
    <mergeCell ref="B5:C5"/>
    <mergeCell ref="H5:I5"/>
    <mergeCell ref="K5:L5"/>
    <mergeCell ref="N5:O5"/>
    <mergeCell ref="B2:D3"/>
    <mergeCell ref="E2:F2"/>
    <mergeCell ref="G2:H2"/>
    <mergeCell ref="I2:L2"/>
    <mergeCell ref="M2:N2"/>
    <mergeCell ref="O2:P2"/>
    <mergeCell ref="E3:F3"/>
    <mergeCell ref="G3:H3"/>
    <mergeCell ref="I3:J3"/>
    <mergeCell ref="K3:L3"/>
    <mergeCell ref="R5:V5"/>
    <mergeCell ref="B6:C6"/>
    <mergeCell ref="H6:I6"/>
    <mergeCell ref="K6:L6"/>
    <mergeCell ref="N6:O6"/>
    <mergeCell ref="R6:S7"/>
    <mergeCell ref="T6:U6"/>
    <mergeCell ref="B7:C7"/>
    <mergeCell ref="H7:I7"/>
    <mergeCell ref="K7:L7"/>
    <mergeCell ref="H10:I10"/>
    <mergeCell ref="K10:L10"/>
    <mergeCell ref="N10:O10"/>
    <mergeCell ref="T10:U10"/>
    <mergeCell ref="N7:O7"/>
    <mergeCell ref="T7:V7"/>
    <mergeCell ref="H8:I8"/>
    <mergeCell ref="K8:L8"/>
    <mergeCell ref="N8:O8"/>
    <mergeCell ref="R8:S8"/>
    <mergeCell ref="T8:V8"/>
    <mergeCell ref="H9:I9"/>
    <mergeCell ref="K9:L9"/>
    <mergeCell ref="N9:O9"/>
    <mergeCell ref="R9:S9"/>
    <mergeCell ref="T9:V9"/>
    <mergeCell ref="H11:I11"/>
    <mergeCell ref="K11:L11"/>
    <mergeCell ref="N11:O11"/>
    <mergeCell ref="T11:U11"/>
    <mergeCell ref="H12:I12"/>
    <mergeCell ref="K12:L12"/>
    <mergeCell ref="N12:O12"/>
    <mergeCell ref="T12:U12"/>
    <mergeCell ref="H13:I13"/>
    <mergeCell ref="K13:L13"/>
    <mergeCell ref="N13:O13"/>
    <mergeCell ref="T13:U13"/>
    <mergeCell ref="H14:I14"/>
    <mergeCell ref="K14:L14"/>
    <mergeCell ref="N14:O14"/>
    <mergeCell ref="T14:U14"/>
    <mergeCell ref="T15:U15"/>
    <mergeCell ref="H16:I16"/>
    <mergeCell ref="K16:L16"/>
    <mergeCell ref="N16:O16"/>
    <mergeCell ref="T16:U16"/>
    <mergeCell ref="H17:I17"/>
    <mergeCell ref="K17:L17"/>
    <mergeCell ref="N17:O17"/>
    <mergeCell ref="H15:I15"/>
    <mergeCell ref="K15:L15"/>
    <mergeCell ref="N15:O15"/>
  </mergeCells>
  <phoneticPr fontId="2"/>
  <conditionalFormatting sqref="D20:X385">
    <cfRule type="expression" dxfId="5" priority="2">
      <formula>$D20=0</formula>
    </cfRule>
  </conditionalFormatting>
  <conditionalFormatting sqref="E20:X385">
    <cfRule type="expression" dxfId="4" priority="3">
      <formula>WEEKDAY($G20)=1</formula>
    </cfRule>
    <cfRule type="expression" dxfId="3" priority="4">
      <formula>WEEKDAY($G20)=7</formula>
    </cfRule>
  </conditionalFormatting>
  <conditionalFormatting sqref="N6:O17">
    <cfRule type="cellIs" dxfId="2" priority="5" operator="lessThan">
      <formula>0</formula>
    </cfRule>
    <cfRule type="cellIs" dxfId="1" priority="6" operator="greaterThan">
      <formula>"¥0"</formula>
    </cfRule>
  </conditionalFormatting>
  <conditionalFormatting sqref="T8:V8">
    <cfRule type="cellIs" dxfId="0" priority="1" operator="lessThanOrEqual">
      <formula>0</formula>
    </cfRule>
  </conditionalFormatting>
  <dataValidations count="2">
    <dataValidation type="list" allowBlank="1" showInputMessage="1" showErrorMessage="1" sqref="T6" xr:uid="{00000000-0002-0000-0600-000000000000}">
      <formula1>$AC$5:$AC$16</formula1>
    </dataValidation>
    <dataValidation type="list" allowBlank="1" showErrorMessage="1" sqref="B2:D3" xr:uid="{00000000-0002-0000-0600-000001000000}">
      <formula1>"2024/1/1,2028/1/1,2032/1/1,2036/1/1,2040/1/1,2044/1/1"</formula1>
    </dataValidation>
  </dataValidations>
  <pageMargins left="0.7" right="0.7" top="0.75" bottom="0.75" header="0.3" footer="0.3"/>
  <pageSetup paperSize="9" orientation="portrait" horizontalDpi="0" verticalDpi="0" copies="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6">
    <pageSetUpPr fitToPage="1"/>
  </sheetPr>
  <dimension ref="A1:N34"/>
  <sheetViews>
    <sheetView zoomScale="94" zoomScaleNormal="89" zoomScalePageLayoutView="84" workbookViewId="0">
      <selection activeCell="F32" sqref="F32"/>
    </sheetView>
  </sheetViews>
  <sheetFormatPr baseColWidth="10" defaultColWidth="9.140625" defaultRowHeight="19"/>
  <cols>
    <col min="1" max="1" width="9.140625" style="259"/>
    <col min="2" max="2" width="16.85546875" style="259" customWidth="1"/>
    <col min="3" max="3" width="12.42578125" style="259" customWidth="1"/>
    <col min="4" max="4" width="12.85546875" style="259" customWidth="1"/>
    <col min="5" max="5" width="14.140625" style="259" customWidth="1"/>
    <col min="6" max="6" width="12.5703125" style="259" customWidth="1"/>
    <col min="7" max="7" width="16.5703125" style="259" customWidth="1"/>
    <col min="8" max="8" width="1.42578125" style="259" customWidth="1"/>
    <col min="9" max="10" width="16.42578125" style="259" customWidth="1"/>
    <col min="11" max="11" width="12.140625" style="259" customWidth="1"/>
    <col min="12" max="12" width="15" style="259" customWidth="1"/>
    <col min="13" max="16384" width="9.140625" style="259"/>
  </cols>
  <sheetData>
    <row r="1" spans="1:14" ht="23">
      <c r="B1" s="260" t="s">
        <v>181</v>
      </c>
      <c r="C1" s="261"/>
      <c r="J1" s="289"/>
      <c r="K1" s="289"/>
    </row>
    <row r="2" spans="1:14" ht="23">
      <c r="B2" s="263">
        <v>80000000</v>
      </c>
      <c r="C2" s="261">
        <f>SUM(B4:B27)</f>
        <v>63508421.052631572</v>
      </c>
      <c r="J2" s="261"/>
      <c r="K2" s="261"/>
    </row>
    <row r="3" spans="1:14" ht="23" customHeight="1">
      <c r="A3" s="265"/>
      <c r="B3" s="265" t="s">
        <v>183</v>
      </c>
      <c r="C3" s="265" t="s">
        <v>184</v>
      </c>
      <c r="D3" s="265" t="s">
        <v>196</v>
      </c>
      <c r="E3" s="265" t="s">
        <v>197</v>
      </c>
      <c r="F3" s="835" t="s">
        <v>198</v>
      </c>
      <c r="G3" s="835"/>
      <c r="H3" s="267"/>
      <c r="I3" s="268" t="s">
        <v>199</v>
      </c>
      <c r="J3" s="832" t="s">
        <v>200</v>
      </c>
      <c r="K3" s="833"/>
      <c r="L3" s="834"/>
      <c r="N3" s="270"/>
    </row>
    <row r="4" spans="1:14" ht="23" customHeight="1">
      <c r="A4" s="824" t="s">
        <v>201</v>
      </c>
      <c r="B4" s="755">
        <f>目標_2025R7!I7</f>
        <v>5835789.4736842103</v>
      </c>
      <c r="C4" s="825">
        <f>目標_2025R7!F7</f>
        <v>22</v>
      </c>
      <c r="D4" s="827">
        <f>IF(B4&gt;=7000000, 30%, IF(B4&gt;=6000000, 32%, IF(B4&gt;=4000000, 34%, "")))</f>
        <v>0.34</v>
      </c>
      <c r="E4" s="829">
        <f>B4*D4</f>
        <v>1984168.4210526317</v>
      </c>
      <c r="F4" s="290" t="s">
        <v>202</v>
      </c>
      <c r="G4" s="291">
        <f>$G$34</f>
        <v>900000</v>
      </c>
      <c r="H4" s="274"/>
      <c r="I4" s="830">
        <f>G5/$B$33</f>
        <v>158.27276219746449</v>
      </c>
      <c r="J4" s="821">
        <f>CEILING(I4 / C4, 1)</f>
        <v>8</v>
      </c>
      <c r="K4" s="292" t="s">
        <v>203</v>
      </c>
      <c r="L4" s="293">
        <f>ROUNDUP(J4 * 0.3, 0)</f>
        <v>3</v>
      </c>
      <c r="N4" s="270"/>
    </row>
    <row r="5" spans="1:14" ht="23" customHeight="1">
      <c r="A5" s="824"/>
      <c r="B5" s="755"/>
      <c r="C5" s="826"/>
      <c r="D5" s="828"/>
      <c r="E5" s="829"/>
      <c r="F5" s="294" t="s">
        <v>204</v>
      </c>
      <c r="G5" s="295">
        <f>E4-G4</f>
        <v>1084168.4210526317</v>
      </c>
      <c r="H5" s="274"/>
      <c r="I5" s="831"/>
      <c r="J5" s="822"/>
      <c r="K5" s="292" t="s">
        <v>205</v>
      </c>
      <c r="L5" s="293">
        <f>J4-L4</f>
        <v>5</v>
      </c>
      <c r="M5" s="296"/>
      <c r="N5" s="270"/>
    </row>
    <row r="6" spans="1:14" ht="23" customHeight="1">
      <c r="A6" s="824" t="s">
        <v>206</v>
      </c>
      <c r="B6" s="755">
        <f>目標_2025R7!I8</f>
        <v>4863157.8947368423</v>
      </c>
      <c r="C6" s="825">
        <f>目標_2025R7!F8</f>
        <v>22</v>
      </c>
      <c r="D6" s="827">
        <f>IF(B6&gt;=7000000, 30%, IF(B6&gt;=6000000, 32%, IF(B6&gt;=4000000, 34%, "")))</f>
        <v>0.34</v>
      </c>
      <c r="E6" s="829">
        <f>B6*D6</f>
        <v>1653473.6842105265</v>
      </c>
      <c r="F6" s="290" t="s">
        <v>202</v>
      </c>
      <c r="G6" s="291">
        <f>$G$34</f>
        <v>900000</v>
      </c>
      <c r="H6" s="274"/>
      <c r="I6" s="830">
        <f>G7/$B$33</f>
        <v>109.99615827890898</v>
      </c>
      <c r="J6" s="821">
        <f>CEILING(I6 / C6, 1)</f>
        <v>5</v>
      </c>
      <c r="K6" s="292" t="s">
        <v>203</v>
      </c>
      <c r="L6" s="293">
        <f>ROUNDUP(J6 * 0.3, 0)</f>
        <v>2</v>
      </c>
      <c r="N6" s="270"/>
    </row>
    <row r="7" spans="1:14" ht="23" customHeight="1">
      <c r="A7" s="824"/>
      <c r="B7" s="755"/>
      <c r="C7" s="826"/>
      <c r="D7" s="828"/>
      <c r="E7" s="829"/>
      <c r="F7" s="294" t="s">
        <v>204</v>
      </c>
      <c r="G7" s="295">
        <f>E6-G6</f>
        <v>753473.68421052652</v>
      </c>
      <c r="H7" s="274"/>
      <c r="I7" s="831"/>
      <c r="J7" s="822"/>
      <c r="K7" s="292" t="s">
        <v>205</v>
      </c>
      <c r="L7" s="293">
        <f>J6-L6</f>
        <v>3</v>
      </c>
      <c r="M7" s="296"/>
      <c r="N7" s="270"/>
    </row>
    <row r="8" spans="1:14" ht="23" customHeight="1">
      <c r="A8" s="824" t="s">
        <v>31</v>
      </c>
      <c r="B8" s="755">
        <f>目標_2025R7!I9</f>
        <v>7184210.5263157887</v>
      </c>
      <c r="C8" s="825">
        <f>目標_2025R7!F9</f>
        <v>25</v>
      </c>
      <c r="D8" s="827">
        <f>IF(B8&gt;=7000000, 30%, IF(B8&gt;=6000000, 32%, IF(B8&gt;=4000000, 34%, "")))</f>
        <v>0.3</v>
      </c>
      <c r="E8" s="829">
        <f>B8*D8</f>
        <v>2155263.1578947366</v>
      </c>
      <c r="F8" s="290" t="s">
        <v>202</v>
      </c>
      <c r="G8" s="291">
        <f>$G$34</f>
        <v>900000</v>
      </c>
      <c r="H8" s="274"/>
      <c r="I8" s="830">
        <f>G9/$B$33</f>
        <v>183.25009604302724</v>
      </c>
      <c r="J8" s="821">
        <f>CEILING(I8 / C8, 1)</f>
        <v>8</v>
      </c>
      <c r="K8" s="292" t="s">
        <v>203</v>
      </c>
      <c r="L8" s="293">
        <f>ROUNDUP(J8 * 0.3, 0)</f>
        <v>3</v>
      </c>
      <c r="N8" s="270"/>
    </row>
    <row r="9" spans="1:14" ht="23" customHeight="1">
      <c r="A9" s="824"/>
      <c r="B9" s="755"/>
      <c r="C9" s="826"/>
      <c r="D9" s="828"/>
      <c r="E9" s="829"/>
      <c r="F9" s="294" t="s">
        <v>204</v>
      </c>
      <c r="G9" s="295">
        <f>E8-G8</f>
        <v>1255263.1578947366</v>
      </c>
      <c r="H9" s="274"/>
      <c r="I9" s="831"/>
      <c r="J9" s="822"/>
      <c r="K9" s="292" t="s">
        <v>205</v>
      </c>
      <c r="L9" s="293">
        <f>J8-L8</f>
        <v>5</v>
      </c>
      <c r="M9" s="296"/>
      <c r="N9" s="270"/>
    </row>
    <row r="10" spans="1:14" ht="23" customHeight="1">
      <c r="A10" s="824" t="s">
        <v>32</v>
      </c>
      <c r="B10" s="755">
        <f>目標_2025R7!I10</f>
        <v>7184210.5263157887</v>
      </c>
      <c r="C10" s="825">
        <f>目標_2025R7!F10</f>
        <v>25</v>
      </c>
      <c r="D10" s="827">
        <f>IF(B10&gt;=7000000, 30%, IF(B10&gt;=6000000, 32%, IF(B10&gt;=4000000, 34%, "")))</f>
        <v>0.3</v>
      </c>
      <c r="E10" s="829">
        <f>B10*D10</f>
        <v>2155263.1578947366</v>
      </c>
      <c r="F10" s="290" t="s">
        <v>202</v>
      </c>
      <c r="G10" s="291">
        <f>$G$34</f>
        <v>900000</v>
      </c>
      <c r="H10" s="274"/>
      <c r="I10" s="830">
        <f>G11/$B$33</f>
        <v>183.25009604302724</v>
      </c>
      <c r="J10" s="821">
        <f>CEILING(I10 / C10, 1)</f>
        <v>8</v>
      </c>
      <c r="K10" s="292" t="s">
        <v>203</v>
      </c>
      <c r="L10" s="293">
        <f>ROUNDUP(J10 * 0.3, 0)</f>
        <v>3</v>
      </c>
      <c r="N10" s="270"/>
    </row>
    <row r="11" spans="1:14" ht="23" customHeight="1">
      <c r="A11" s="824"/>
      <c r="B11" s="755"/>
      <c r="C11" s="826"/>
      <c r="D11" s="828"/>
      <c r="E11" s="829"/>
      <c r="F11" s="294" t="s">
        <v>204</v>
      </c>
      <c r="G11" s="295">
        <f>E10-G10</f>
        <v>1255263.1578947366</v>
      </c>
      <c r="H11" s="274"/>
      <c r="I11" s="831"/>
      <c r="J11" s="822"/>
      <c r="K11" s="292" t="s">
        <v>205</v>
      </c>
      <c r="L11" s="293">
        <f>J10-L10</f>
        <v>5</v>
      </c>
      <c r="N11" s="270"/>
    </row>
    <row r="12" spans="1:14" ht="23" customHeight="1">
      <c r="A12" s="824" t="s">
        <v>33</v>
      </c>
      <c r="B12" s="755">
        <f>目標_2025R7!I11</f>
        <v>5835789.4736842103</v>
      </c>
      <c r="C12" s="825">
        <f>目標_2025R7!F11</f>
        <v>24</v>
      </c>
      <c r="D12" s="827">
        <f>IF(B12&gt;=7000000, 30%, IF(B12&gt;=6000000, 32%, IF(B12&gt;=4000000, 34%, "")))</f>
        <v>0.34</v>
      </c>
      <c r="E12" s="829">
        <f>B12*D12</f>
        <v>1984168.4210526317</v>
      </c>
      <c r="F12" s="290" t="s">
        <v>202</v>
      </c>
      <c r="G12" s="291">
        <f>$G$34</f>
        <v>900000</v>
      </c>
      <c r="H12" s="274"/>
      <c r="I12" s="830">
        <f>G13/$B$33</f>
        <v>158.27276219746449</v>
      </c>
      <c r="J12" s="821">
        <f>CEILING(I12 / C12, 1)</f>
        <v>7</v>
      </c>
      <c r="K12" s="292" t="s">
        <v>203</v>
      </c>
      <c r="L12" s="293">
        <f>ROUNDUP(J12 * 0.3, 0)</f>
        <v>3</v>
      </c>
      <c r="N12" s="270"/>
    </row>
    <row r="13" spans="1:14" ht="23" customHeight="1">
      <c r="A13" s="824"/>
      <c r="B13" s="755"/>
      <c r="C13" s="826"/>
      <c r="D13" s="828"/>
      <c r="E13" s="829"/>
      <c r="F13" s="294" t="s">
        <v>204</v>
      </c>
      <c r="G13" s="295">
        <f>E12-G12</f>
        <v>1084168.4210526317</v>
      </c>
      <c r="H13" s="274"/>
      <c r="I13" s="831"/>
      <c r="J13" s="822"/>
      <c r="K13" s="292" t="s">
        <v>205</v>
      </c>
      <c r="L13" s="293">
        <f>J12-L12</f>
        <v>4</v>
      </c>
      <c r="N13" s="270"/>
    </row>
    <row r="14" spans="1:14" ht="23" customHeight="1">
      <c r="A14" s="824" t="s">
        <v>34</v>
      </c>
      <c r="B14" s="755">
        <f>目標_2025R7!I12</f>
        <v>6078947.3684210526</v>
      </c>
      <c r="C14" s="825">
        <f>目標_2025R7!F12</f>
        <v>25</v>
      </c>
      <c r="D14" s="827">
        <f>IF(B14&gt;=7000000, 30%, IF(B14&gt;=6000000, 32%, IF(B14&gt;=4000000, 34%, "")))</f>
        <v>0.32</v>
      </c>
      <c r="E14" s="829">
        <f>B14*D14</f>
        <v>1945263.1578947369</v>
      </c>
      <c r="F14" s="290" t="s">
        <v>202</v>
      </c>
      <c r="G14" s="291">
        <f>$G$34</f>
        <v>900000</v>
      </c>
      <c r="H14" s="274"/>
      <c r="I14" s="830">
        <f>G15/$B$33</f>
        <v>152.59316173645794</v>
      </c>
      <c r="J14" s="821">
        <f>CEILING(I14 / C14, 1)</f>
        <v>7</v>
      </c>
      <c r="K14" s="292" t="s">
        <v>203</v>
      </c>
      <c r="L14" s="293">
        <f>ROUNDUP(J14 * 0.3, 0)</f>
        <v>3</v>
      </c>
      <c r="N14" s="270"/>
    </row>
    <row r="15" spans="1:14" ht="23" customHeight="1">
      <c r="A15" s="824"/>
      <c r="B15" s="755"/>
      <c r="C15" s="826"/>
      <c r="D15" s="828"/>
      <c r="E15" s="829"/>
      <c r="F15" s="294" t="s">
        <v>204</v>
      </c>
      <c r="G15" s="295">
        <f>E14-G14</f>
        <v>1045263.1578947369</v>
      </c>
      <c r="H15" s="274"/>
      <c r="I15" s="831"/>
      <c r="J15" s="822"/>
      <c r="K15" s="292" t="s">
        <v>205</v>
      </c>
      <c r="L15" s="293">
        <f>J14-L14</f>
        <v>4</v>
      </c>
    </row>
    <row r="16" spans="1:14" ht="23" customHeight="1">
      <c r="A16" s="824" t="s">
        <v>35</v>
      </c>
      <c r="B16" s="755">
        <f>目標_2025R7!I13</f>
        <v>5172631.5789473681</v>
      </c>
      <c r="C16" s="825">
        <f>目標_2025R7!F13</f>
        <v>26</v>
      </c>
      <c r="D16" s="827">
        <f>IF(B16&gt;=7000000, 30%, IF(B16&gt;=6000000, 32%, IF(B16&gt;=4000000, 34%, "")))</f>
        <v>0.34</v>
      </c>
      <c r="E16" s="829">
        <f>B16*D16</f>
        <v>1758694.7368421052</v>
      </c>
      <c r="F16" s="290" t="s">
        <v>202</v>
      </c>
      <c r="G16" s="291">
        <f>$G$34</f>
        <v>900000</v>
      </c>
      <c r="H16" s="274"/>
      <c r="I16" s="830">
        <f>G17/$B$33</f>
        <v>125.35689588935841</v>
      </c>
      <c r="J16" s="821">
        <f>CEILING(I16 / C16, 1)</f>
        <v>5</v>
      </c>
      <c r="K16" s="292" t="s">
        <v>203</v>
      </c>
      <c r="L16" s="293">
        <f>ROUNDUP(J16 * 0.3, 0)</f>
        <v>2</v>
      </c>
    </row>
    <row r="17" spans="1:12" ht="23" customHeight="1">
      <c r="A17" s="824"/>
      <c r="B17" s="755"/>
      <c r="C17" s="826"/>
      <c r="D17" s="828"/>
      <c r="E17" s="829"/>
      <c r="F17" s="294" t="s">
        <v>204</v>
      </c>
      <c r="G17" s="295">
        <f>E16-G16</f>
        <v>858694.73684210517</v>
      </c>
      <c r="H17" s="274"/>
      <c r="I17" s="831"/>
      <c r="J17" s="822"/>
      <c r="K17" s="292" t="s">
        <v>205</v>
      </c>
      <c r="L17" s="293">
        <f>J16-L16</f>
        <v>3</v>
      </c>
    </row>
    <row r="18" spans="1:12" ht="23" customHeight="1">
      <c r="A18" s="824" t="s">
        <v>36</v>
      </c>
      <c r="B18" s="755">
        <f>目標_2025R7!I14</f>
        <v>2210526.3157894737</v>
      </c>
      <c r="C18" s="825">
        <f>目標_2025R7!F14</f>
        <v>20</v>
      </c>
      <c r="D18" s="827" t="str">
        <f>IF(B18&gt;=7000000, 30%, IF(B18&gt;=6000000, 32%, IF(B18&gt;=4000000, 34%, "")))</f>
        <v/>
      </c>
      <c r="E18" s="829" t="e">
        <f>B18*D18</f>
        <v>#VALUE!</v>
      </c>
      <c r="F18" s="290" t="s">
        <v>202</v>
      </c>
      <c r="G18" s="291">
        <f>$G$34</f>
        <v>900000</v>
      </c>
      <c r="H18" s="274"/>
      <c r="I18" s="830" t="e">
        <f>G19/$B$33</f>
        <v>#VALUE!</v>
      </c>
      <c r="J18" s="821" t="e">
        <f>CEILING(I18 / C18, 1)</f>
        <v>#VALUE!</v>
      </c>
      <c r="K18" s="292" t="s">
        <v>203</v>
      </c>
      <c r="L18" s="293" t="e">
        <f>ROUNDUP(J18 * 0.3, 0)</f>
        <v>#VALUE!</v>
      </c>
    </row>
    <row r="19" spans="1:12" ht="23" customHeight="1">
      <c r="A19" s="824"/>
      <c r="B19" s="755"/>
      <c r="C19" s="826"/>
      <c r="D19" s="828"/>
      <c r="E19" s="829"/>
      <c r="F19" s="294" t="s">
        <v>204</v>
      </c>
      <c r="G19" s="295" t="e">
        <f>E18-G18</f>
        <v>#VALUE!</v>
      </c>
      <c r="H19" s="274"/>
      <c r="I19" s="831"/>
      <c r="J19" s="822"/>
      <c r="K19" s="292" t="s">
        <v>205</v>
      </c>
      <c r="L19" s="293" t="e">
        <f>J18-L18</f>
        <v>#VALUE!</v>
      </c>
    </row>
    <row r="20" spans="1:12" ht="23" customHeight="1">
      <c r="A20" s="824" t="s">
        <v>37</v>
      </c>
      <c r="B20" s="755">
        <f>目標_2025R7!I15</f>
        <v>3050526.3157894737</v>
      </c>
      <c r="C20" s="825">
        <f>目標_2025R7!F15</f>
        <v>23</v>
      </c>
      <c r="D20" s="827" t="str">
        <f>IF(B20&gt;=7000000, 30%, IF(B20&gt;=6000000, 32%, IF(B20&gt;=4000000, 34%, "")))</f>
        <v/>
      </c>
      <c r="E20" s="829" t="e">
        <f>B20*D20</f>
        <v>#VALUE!</v>
      </c>
      <c r="F20" s="290" t="s">
        <v>202</v>
      </c>
      <c r="G20" s="291">
        <f>$G$34</f>
        <v>900000</v>
      </c>
      <c r="H20" s="274"/>
      <c r="I20" s="830" t="e">
        <f>G21/$B$33</f>
        <v>#VALUE!</v>
      </c>
      <c r="J20" s="821" t="e">
        <f>CEILING(I20 / C20, 1)</f>
        <v>#VALUE!</v>
      </c>
      <c r="K20" s="292" t="s">
        <v>203</v>
      </c>
      <c r="L20" s="293" t="e">
        <f>ROUNDUP(J20 * 0.3, 0)</f>
        <v>#VALUE!</v>
      </c>
    </row>
    <row r="21" spans="1:12" ht="23" customHeight="1">
      <c r="A21" s="824"/>
      <c r="B21" s="755"/>
      <c r="C21" s="826"/>
      <c r="D21" s="828"/>
      <c r="E21" s="829"/>
      <c r="F21" s="294" t="s">
        <v>204</v>
      </c>
      <c r="G21" s="295" t="e">
        <f>E20-G20</f>
        <v>#VALUE!</v>
      </c>
      <c r="H21" s="274"/>
      <c r="I21" s="831"/>
      <c r="J21" s="822"/>
      <c r="K21" s="292" t="s">
        <v>205</v>
      </c>
      <c r="L21" s="293" t="e">
        <f>J20-L20</f>
        <v>#VALUE!</v>
      </c>
    </row>
    <row r="22" spans="1:12" ht="23" customHeight="1">
      <c r="A22" s="824" t="s">
        <v>38</v>
      </c>
      <c r="B22" s="755">
        <f>目標_2025R7!I16</f>
        <v>5172631.5789473681</v>
      </c>
      <c r="C22" s="825">
        <f>目標_2025R7!F16</f>
        <v>26</v>
      </c>
      <c r="D22" s="827">
        <f>IF(B22&gt;=7000000, 30%, IF(B22&gt;=6000000, 32%, IF(B22&gt;=4000000, 34%, "")))</f>
        <v>0.34</v>
      </c>
      <c r="E22" s="829">
        <f>B22*D22</f>
        <v>1758694.7368421052</v>
      </c>
      <c r="F22" s="290" t="s">
        <v>202</v>
      </c>
      <c r="G22" s="291">
        <f>$G$34</f>
        <v>900000</v>
      </c>
      <c r="H22" s="274"/>
      <c r="I22" s="830">
        <f>G23/$B$33</f>
        <v>125.35689588935841</v>
      </c>
      <c r="J22" s="821">
        <f>CEILING(I22 / C22, 1)</f>
        <v>5</v>
      </c>
      <c r="K22" s="292" t="s">
        <v>203</v>
      </c>
      <c r="L22" s="293">
        <f>ROUNDUP(J22 * 0.3, 0)</f>
        <v>2</v>
      </c>
    </row>
    <row r="23" spans="1:12" ht="23" customHeight="1">
      <c r="A23" s="824"/>
      <c r="B23" s="755"/>
      <c r="C23" s="826"/>
      <c r="D23" s="828"/>
      <c r="E23" s="829"/>
      <c r="F23" s="294" t="s">
        <v>204</v>
      </c>
      <c r="G23" s="295">
        <f>E22-G22</f>
        <v>858694.73684210517</v>
      </c>
      <c r="H23" s="274"/>
      <c r="I23" s="831"/>
      <c r="J23" s="822"/>
      <c r="K23" s="292" t="s">
        <v>205</v>
      </c>
      <c r="L23" s="293">
        <f>J22-L22</f>
        <v>3</v>
      </c>
    </row>
    <row r="24" spans="1:12" ht="23" customHeight="1">
      <c r="A24" s="824" t="s">
        <v>39</v>
      </c>
      <c r="B24" s="755">
        <f>目標_2025R7!I17</f>
        <v>5084210.5263157897</v>
      </c>
      <c r="C24" s="825">
        <f>目標_2025R7!F17</f>
        <v>23</v>
      </c>
      <c r="D24" s="827">
        <f>IF(B24&gt;=7000000, 30%, IF(B24&gt;=6000000, 32%, IF(B24&gt;=4000000, 34%, "")))</f>
        <v>0.34</v>
      </c>
      <c r="E24" s="829">
        <f>B24*D24</f>
        <v>1728631.5789473685</v>
      </c>
      <c r="F24" s="290" t="s">
        <v>202</v>
      </c>
      <c r="G24" s="291">
        <f>$G$34</f>
        <v>900000</v>
      </c>
      <c r="H24" s="274"/>
      <c r="I24" s="830">
        <f>G25/$B$33</f>
        <v>120.96811371494431</v>
      </c>
      <c r="J24" s="821">
        <f>CEILING(I24 / C24, 1)</f>
        <v>6</v>
      </c>
      <c r="K24" s="292" t="s">
        <v>203</v>
      </c>
      <c r="L24" s="293">
        <f>ROUNDUP(J24 * 0.3, 0)</f>
        <v>2</v>
      </c>
    </row>
    <row r="25" spans="1:12" ht="23" customHeight="1">
      <c r="A25" s="824"/>
      <c r="B25" s="755"/>
      <c r="C25" s="826"/>
      <c r="D25" s="828"/>
      <c r="E25" s="829"/>
      <c r="F25" s="294" t="s">
        <v>204</v>
      </c>
      <c r="G25" s="295">
        <f>E24-G24</f>
        <v>828631.57894736854</v>
      </c>
      <c r="H25" s="274"/>
      <c r="I25" s="831"/>
      <c r="J25" s="822"/>
      <c r="K25" s="292" t="s">
        <v>205</v>
      </c>
      <c r="L25" s="293">
        <f>J24-L24</f>
        <v>4</v>
      </c>
    </row>
    <row r="26" spans="1:12" ht="23" customHeight="1">
      <c r="A26" s="824" t="s">
        <v>40</v>
      </c>
      <c r="B26" s="755">
        <f>目標_2025R7!I18</f>
        <v>5835789.4736842103</v>
      </c>
      <c r="C26" s="825">
        <f>目標_2025R7!F18</f>
        <v>24</v>
      </c>
      <c r="D26" s="827">
        <f>IF(B26&gt;=7000000, 30%, IF(B26&gt;=6000000, 32%, IF(B26&gt;=4000000, 34%, "")))</f>
        <v>0.34</v>
      </c>
      <c r="E26" s="829">
        <f>B26*D26</f>
        <v>1984168.4210526317</v>
      </c>
      <c r="F26" s="290" t="s">
        <v>202</v>
      </c>
      <c r="G26" s="291">
        <f>$G$34</f>
        <v>900000</v>
      </c>
      <c r="H26" s="274"/>
      <c r="I26" s="830">
        <f>G27/$B$33</f>
        <v>158.27276219746449</v>
      </c>
      <c r="J26" s="821">
        <f>CEILING(I26 / C26, 1)</f>
        <v>7</v>
      </c>
      <c r="K26" s="292" t="s">
        <v>203</v>
      </c>
      <c r="L26" s="293">
        <f>ROUNDUP(J26 * 0.3, 0)</f>
        <v>3</v>
      </c>
    </row>
    <row r="27" spans="1:12" ht="23" customHeight="1">
      <c r="A27" s="824"/>
      <c r="B27" s="755"/>
      <c r="C27" s="826"/>
      <c r="D27" s="828"/>
      <c r="E27" s="829"/>
      <c r="F27" s="294" t="s">
        <v>204</v>
      </c>
      <c r="G27" s="295">
        <f>E26-G26</f>
        <v>1084168.4210526317</v>
      </c>
      <c r="H27" s="274"/>
      <c r="I27" s="831"/>
      <c r="J27" s="822"/>
      <c r="K27" s="292" t="s">
        <v>205</v>
      </c>
      <c r="L27" s="293">
        <f>J26-L26</f>
        <v>4</v>
      </c>
    </row>
    <row r="28" spans="1:12" ht="13.25" customHeight="1">
      <c r="J28" s="297"/>
      <c r="K28" s="297"/>
    </row>
    <row r="29" spans="1:12">
      <c r="A29" s="823" t="s">
        <v>207</v>
      </c>
      <c r="B29" s="823"/>
      <c r="D29" s="832" t="s">
        <v>304</v>
      </c>
      <c r="E29" s="833"/>
      <c r="F29" s="833"/>
      <c r="G29" s="834"/>
    </row>
    <row r="30" spans="1:12">
      <c r="A30" s="298" t="s">
        <v>208</v>
      </c>
      <c r="B30" s="299">
        <v>1300</v>
      </c>
      <c r="D30" s="815" t="s">
        <v>305</v>
      </c>
      <c r="E30" s="511">
        <v>400000</v>
      </c>
      <c r="F30" s="512">
        <v>0</v>
      </c>
      <c r="G30" s="513">
        <f>E30*F30</f>
        <v>0</v>
      </c>
    </row>
    <row r="31" spans="1:12">
      <c r="A31" s="298" t="s">
        <v>209</v>
      </c>
      <c r="B31" s="298">
        <v>4.5</v>
      </c>
      <c r="D31" s="816"/>
      <c r="E31" s="511">
        <v>350000</v>
      </c>
      <c r="F31" s="512">
        <v>1</v>
      </c>
      <c r="G31" s="513">
        <f>E31*F31</f>
        <v>350000</v>
      </c>
    </row>
    <row r="32" spans="1:12">
      <c r="A32" s="298" t="s">
        <v>210</v>
      </c>
      <c r="B32" s="299">
        <v>1000</v>
      </c>
      <c r="D32" s="816"/>
      <c r="E32" s="511">
        <v>300000</v>
      </c>
      <c r="F32" s="512">
        <v>1</v>
      </c>
      <c r="G32" s="513">
        <f>E32*F32</f>
        <v>300000</v>
      </c>
    </row>
    <row r="33" spans="1:7">
      <c r="A33" s="265" t="s">
        <v>211</v>
      </c>
      <c r="B33" s="300">
        <f>(B30*B31)+B32</f>
        <v>6850</v>
      </c>
      <c r="D33" s="817"/>
      <c r="E33" s="511">
        <v>250000</v>
      </c>
      <c r="F33" s="512">
        <v>1</v>
      </c>
      <c r="G33" s="513">
        <f>E33*F33</f>
        <v>250000</v>
      </c>
    </row>
    <row r="34" spans="1:7">
      <c r="D34" s="818" t="s">
        <v>138</v>
      </c>
      <c r="E34" s="819"/>
      <c r="F34" s="820"/>
      <c r="G34" s="513">
        <f>SUM(G30:G33)</f>
        <v>900000</v>
      </c>
    </row>
  </sheetData>
  <mergeCells count="90">
    <mergeCell ref="F3:G3"/>
    <mergeCell ref="J3:L3"/>
    <mergeCell ref="A4:A5"/>
    <mergeCell ref="B4:B5"/>
    <mergeCell ref="C4:C5"/>
    <mergeCell ref="D4:D5"/>
    <mergeCell ref="E4:E5"/>
    <mergeCell ref="I4:I5"/>
    <mergeCell ref="J4:J5"/>
    <mergeCell ref="J6:J7"/>
    <mergeCell ref="A8:A9"/>
    <mergeCell ref="B8:B9"/>
    <mergeCell ref="C8:C9"/>
    <mergeCell ref="D8:D9"/>
    <mergeCell ref="E8:E9"/>
    <mergeCell ref="I8:I9"/>
    <mergeCell ref="J8:J9"/>
    <mergeCell ref="A6:A7"/>
    <mergeCell ref="B6:B7"/>
    <mergeCell ref="C6:C7"/>
    <mergeCell ref="D6:D7"/>
    <mergeCell ref="E6:E7"/>
    <mergeCell ref="I6:I7"/>
    <mergeCell ref="J10:J11"/>
    <mergeCell ref="A12:A13"/>
    <mergeCell ref="B12:B13"/>
    <mergeCell ref="C12:C13"/>
    <mergeCell ref="D12:D13"/>
    <mergeCell ref="E12:E13"/>
    <mergeCell ref="I12:I13"/>
    <mergeCell ref="J12:J13"/>
    <mergeCell ref="A10:A11"/>
    <mergeCell ref="B10:B11"/>
    <mergeCell ref="C10:C11"/>
    <mergeCell ref="D10:D11"/>
    <mergeCell ref="E10:E11"/>
    <mergeCell ref="I10:I11"/>
    <mergeCell ref="J14:J15"/>
    <mergeCell ref="A16:A17"/>
    <mergeCell ref="B16:B17"/>
    <mergeCell ref="C16:C17"/>
    <mergeCell ref="D16:D17"/>
    <mergeCell ref="E16:E17"/>
    <mergeCell ref="I16:I17"/>
    <mergeCell ref="J16:J17"/>
    <mergeCell ref="A14:A15"/>
    <mergeCell ref="B14:B15"/>
    <mergeCell ref="C14:C15"/>
    <mergeCell ref="D14:D15"/>
    <mergeCell ref="E14:E15"/>
    <mergeCell ref="I14:I15"/>
    <mergeCell ref="J18:J19"/>
    <mergeCell ref="A20:A21"/>
    <mergeCell ref="B20:B21"/>
    <mergeCell ref="C20:C21"/>
    <mergeCell ref="D20:D21"/>
    <mergeCell ref="E20:E21"/>
    <mergeCell ref="I20:I21"/>
    <mergeCell ref="J20:J21"/>
    <mergeCell ref="A18:A19"/>
    <mergeCell ref="B18:B19"/>
    <mergeCell ref="C18:C19"/>
    <mergeCell ref="D18:D19"/>
    <mergeCell ref="E18:E19"/>
    <mergeCell ref="I18:I19"/>
    <mergeCell ref="J22:J23"/>
    <mergeCell ref="A24:A25"/>
    <mergeCell ref="B24:B25"/>
    <mergeCell ref="C24:C25"/>
    <mergeCell ref="D24:D25"/>
    <mergeCell ref="E24:E25"/>
    <mergeCell ref="I24:I25"/>
    <mergeCell ref="J24:J25"/>
    <mergeCell ref="A22:A23"/>
    <mergeCell ref="B22:B23"/>
    <mergeCell ref="C22:C23"/>
    <mergeCell ref="D22:D23"/>
    <mergeCell ref="E22:E23"/>
    <mergeCell ref="I22:I23"/>
    <mergeCell ref="D30:D33"/>
    <mergeCell ref="D34:F34"/>
    <mergeCell ref="J26:J27"/>
    <mergeCell ref="A29:B29"/>
    <mergeCell ref="A26:A27"/>
    <mergeCell ref="B26:B27"/>
    <mergeCell ref="C26:C27"/>
    <mergeCell ref="D26:D27"/>
    <mergeCell ref="E26:E27"/>
    <mergeCell ref="I26:I27"/>
    <mergeCell ref="D29:G29"/>
  </mergeCells>
  <phoneticPr fontId="2"/>
  <pageMargins left="0.7" right="0.7" top="0.75" bottom="0.75" header="0.3" footer="0.3"/>
  <pageSetup paperSize="9" scale="66" orientation="landscape" horizontalDpi="0" verticalDpi="0" copies="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K10"/>
  <sheetViews>
    <sheetView view="pageLayout" topLeftCell="A2" zoomScale="106" zoomScaleNormal="100" zoomScalePageLayoutView="106" workbookViewId="0">
      <selection activeCell="D10" sqref="D10:F10"/>
    </sheetView>
  </sheetViews>
  <sheetFormatPr baseColWidth="10" defaultColWidth="9.140625" defaultRowHeight="19"/>
  <cols>
    <col min="1" max="1" width="15.140625" style="219" customWidth="1"/>
    <col min="2" max="9" width="11.140625" style="219" customWidth="1"/>
    <col min="10" max="16384" width="9.140625" style="219"/>
  </cols>
  <sheetData>
    <row r="1" spans="1:11" ht="42">
      <c r="A1" s="852">
        <f ca="1">TODAY()</f>
        <v>46195</v>
      </c>
      <c r="B1" s="852"/>
      <c r="C1" s="218" t="s">
        <v>116</v>
      </c>
      <c r="H1" s="220" t="s">
        <v>117</v>
      </c>
      <c r="I1" s="221" cm="1">
        <f t="array" aca="1" ref="I1" ca="1">INDIRECT("'適正原価率表(仕入れお小遣い制度)'!C" &amp; (2 * MONTH(A1) + 2))</f>
        <v>25</v>
      </c>
    </row>
    <row r="2" spans="1:11" ht="55.25" customHeight="1">
      <c r="A2" s="222" t="s">
        <v>118</v>
      </c>
    </row>
    <row r="3" spans="1:11" ht="32">
      <c r="A3" s="223"/>
      <c r="B3" s="853" t="s">
        <v>119</v>
      </c>
      <c r="C3" s="853"/>
      <c r="D3" s="853"/>
      <c r="E3" s="853"/>
      <c r="F3" s="853" t="s">
        <v>120</v>
      </c>
      <c r="G3" s="853"/>
      <c r="H3" s="853"/>
      <c r="I3" s="853"/>
    </row>
    <row r="4" spans="1:11" ht="76.25" customHeight="1">
      <c r="A4" s="224" t="s">
        <v>121</v>
      </c>
      <c r="B4" s="851" cm="1">
        <f t="array" aca="1" ref="B4" ca="1">INDEX('適正原価率表(仕入れお小遣い制度)'!I:I, MONTH(A1)*2+2)</f>
        <v>1378856.4561311454</v>
      </c>
      <c r="C4" s="851"/>
      <c r="D4" s="851"/>
      <c r="E4" s="851"/>
      <c r="F4" s="851" cm="1">
        <f t="array" aca="1" ref="F4" ca="1">INDEX('適正原価率表(仕入れお小遣い制度)'!J:J, MONTH(A1)*2+2)</f>
        <v>55154.258245245815</v>
      </c>
      <c r="G4" s="851"/>
      <c r="H4" s="851"/>
      <c r="I4" s="851"/>
    </row>
    <row r="5" spans="1:11" ht="76.25" customHeight="1">
      <c r="A5" s="224" t="s">
        <v>122</v>
      </c>
      <c r="B5" s="851" cm="1">
        <f t="array" aca="1" ref="B5" ca="1">INDEX('適正原価率表(仕入れお小遣い制度)'!I:I, MONTH(A1)*2+3)</f>
        <v>296551.83626344701</v>
      </c>
      <c r="C5" s="851"/>
      <c r="D5" s="851"/>
      <c r="E5" s="851"/>
      <c r="F5" s="851" cm="1">
        <f t="array" aca="1" ref="F5" ca="1">INDEX('適正原価率表(仕入れお小遣い制度)'!J:J, MONTH(A1)*2+3)</f>
        <v>11862.07345053788</v>
      </c>
      <c r="G5" s="851"/>
      <c r="H5" s="851"/>
      <c r="I5" s="851"/>
    </row>
    <row r="7" spans="1:11" ht="45">
      <c r="A7" s="222" t="s">
        <v>123</v>
      </c>
      <c r="K7" s="225"/>
    </row>
    <row r="8" spans="1:11" ht="32">
      <c r="A8" s="223"/>
      <c r="B8" s="836" t="s">
        <v>124</v>
      </c>
      <c r="C8" s="837"/>
      <c r="D8" s="838" t="s">
        <v>121</v>
      </c>
      <c r="E8" s="839"/>
      <c r="F8" s="840"/>
      <c r="G8" s="838" t="s">
        <v>122</v>
      </c>
      <c r="H8" s="839"/>
      <c r="I8" s="840"/>
      <c r="K8" s="225"/>
    </row>
    <row r="9" spans="1:11" ht="76.25" customHeight="1">
      <c r="A9" s="224" t="s">
        <v>125</v>
      </c>
      <c r="B9" s="841" cm="1">
        <f t="array" aca="1" ref="B9" ca="1">INDIRECT("'適正人件費表'!J" &amp; (2 * MONTH(A1) + 2))</f>
        <v>7</v>
      </c>
      <c r="C9" s="842"/>
      <c r="D9" s="845">
        <f ca="1">1 + IF(B9-4 &gt;= 8, 1, 0) + IF(B9-4 &gt;= 9, 1, 0)</f>
        <v>1</v>
      </c>
      <c r="E9" s="846"/>
      <c r="F9" s="847"/>
      <c r="G9" s="845">
        <f ca="1">1 + IF(B9-4 &gt;= 4, 1, 0) + IF(B9-4 &gt;= 5, 1, 0)</f>
        <v>1</v>
      </c>
      <c r="H9" s="846"/>
      <c r="I9" s="847"/>
    </row>
    <row r="10" spans="1:11" ht="76.25" customHeight="1">
      <c r="A10" s="226" t="s">
        <v>126</v>
      </c>
      <c r="B10" s="843"/>
      <c r="C10" s="844"/>
      <c r="D10" s="848">
        <f ca="1">1 + IF(B9-4 &gt;= 6, 1, 0) + IF(B9-4 &gt;= 7, 1, 0)</f>
        <v>1</v>
      </c>
      <c r="E10" s="849"/>
      <c r="F10" s="850"/>
      <c r="G10" s="848">
        <f ca="1">1 + IF(B9-4 &gt;= 1, 1, 0) + IF(B9-4 &gt;= 2, 1, 0) + IF(B9-4 &gt;= 3, 1, 0)</f>
        <v>4</v>
      </c>
      <c r="H10" s="849"/>
      <c r="I10" s="850"/>
    </row>
  </sheetData>
  <sheetProtection sheet="1" selectLockedCells="1"/>
  <mergeCells count="15">
    <mergeCell ref="B5:E5"/>
    <mergeCell ref="F5:I5"/>
    <mergeCell ref="A1:B1"/>
    <mergeCell ref="B3:E3"/>
    <mergeCell ref="F3:I3"/>
    <mergeCell ref="B4:E4"/>
    <mergeCell ref="F4:I4"/>
    <mergeCell ref="B8:C8"/>
    <mergeCell ref="D8:F8"/>
    <mergeCell ref="G8:I8"/>
    <mergeCell ref="B9:C10"/>
    <mergeCell ref="D9:F9"/>
    <mergeCell ref="G9:I9"/>
    <mergeCell ref="D10:F10"/>
    <mergeCell ref="G10:I10"/>
  </mergeCells>
  <phoneticPr fontId="2"/>
  <printOptions horizontalCentered="1"/>
  <pageMargins left="0.39370078740157483" right="0.39370078740157483" top="0.39370078740157483" bottom="0.39370078740157483" header="0" footer="0.19685039370078741"/>
  <pageSetup paperSize="9" orientation="landscape" verticalDpi="0" copies="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U404"/>
  <sheetViews>
    <sheetView zoomScale="90" zoomScaleNormal="90" workbookViewId="0">
      <pane ySplit="1" topLeftCell="A2" activePane="bottomLeft" state="frozen"/>
      <selection pane="bottomLeft" activeCell="R145" sqref="R145"/>
    </sheetView>
  </sheetViews>
  <sheetFormatPr baseColWidth="10" defaultColWidth="9.140625" defaultRowHeight="19" outlineLevelRow="1" outlineLevelCol="1"/>
  <cols>
    <col min="1" max="1" width="8" style="219" customWidth="1"/>
    <col min="2" max="2" width="9" style="219" customWidth="1"/>
    <col min="3" max="3" width="4.5703125" style="236" customWidth="1"/>
    <col min="4" max="4" width="4.85546875" style="236" customWidth="1"/>
    <col min="5" max="5" width="12.85546875" style="219" customWidth="1"/>
    <col min="6" max="6" width="11.85546875" style="219" customWidth="1"/>
    <col min="7" max="7" width="13" style="219" customWidth="1"/>
    <col min="8" max="9" width="13.42578125" style="219" customWidth="1"/>
    <col min="10" max="10" width="3.140625" style="219" customWidth="1"/>
    <col min="11" max="11" width="8.140625" style="219" customWidth="1"/>
    <col min="12" max="13" width="4.85546875" style="236" customWidth="1"/>
    <col min="14" max="14" width="13.42578125" style="219" customWidth="1"/>
    <col min="15" max="15" width="13.140625" style="219" customWidth="1"/>
    <col min="16" max="16" width="12.5703125" style="219" customWidth="1"/>
    <col min="17" max="18" width="13.42578125" style="219" customWidth="1"/>
    <col min="19" max="19" width="9.140625" style="219"/>
    <col min="20" max="20" width="10" style="219" hidden="1" customWidth="1" outlineLevel="1"/>
    <col min="21" max="21" width="9.140625" style="219" collapsed="1"/>
    <col min="22" max="16384" width="9.140625" style="219"/>
  </cols>
  <sheetData>
    <row r="1" spans="1:20" ht="35" customHeight="1">
      <c r="A1" s="527">
        <v>45658</v>
      </c>
      <c r="B1" s="854" t="s">
        <v>127</v>
      </c>
      <c r="C1" s="854"/>
      <c r="D1" s="854"/>
      <c r="E1" s="854"/>
      <c r="F1" s="854"/>
      <c r="G1" s="854"/>
      <c r="H1" s="854"/>
      <c r="I1" s="854"/>
      <c r="J1" s="227"/>
      <c r="K1" s="854" t="s">
        <v>128</v>
      </c>
      <c r="L1" s="854"/>
      <c r="M1" s="854"/>
      <c r="N1" s="854"/>
      <c r="O1" s="854"/>
      <c r="P1" s="854"/>
      <c r="Q1" s="854"/>
      <c r="R1" s="854"/>
    </row>
    <row r="2" spans="1:20" ht="19.25" customHeight="1">
      <c r="B2" s="519"/>
      <c r="C2" s="519"/>
      <c r="D2" s="519"/>
      <c r="E2" s="519"/>
      <c r="F2" s="519"/>
      <c r="G2" s="519"/>
      <c r="H2" s="519"/>
      <c r="I2" s="519"/>
      <c r="J2" s="227"/>
      <c r="K2" s="519"/>
      <c r="L2" s="519"/>
      <c r="M2" s="519"/>
      <c r="N2" s="519"/>
      <c r="O2" s="519"/>
      <c r="P2" s="519"/>
      <c r="Q2" s="519"/>
      <c r="R2" s="519"/>
    </row>
    <row r="3" spans="1:20" s="231" customFormat="1">
      <c r="B3" s="855" t="s">
        <v>201</v>
      </c>
      <c r="C3" s="856"/>
      <c r="D3" s="857"/>
      <c r="E3" s="516" t="s">
        <v>129</v>
      </c>
      <c r="F3" s="517" t="s">
        <v>130</v>
      </c>
      <c r="G3" s="517" t="s">
        <v>131</v>
      </c>
      <c r="H3" s="517" t="s">
        <v>132</v>
      </c>
      <c r="I3" s="518" t="s">
        <v>133</v>
      </c>
      <c r="J3" s="230"/>
      <c r="K3" s="858" t="str">
        <f>B3</f>
        <v>1月</v>
      </c>
      <c r="L3" s="858"/>
      <c r="M3" s="858"/>
      <c r="N3" s="516" t="s">
        <v>134</v>
      </c>
      <c r="O3" s="517" t="s">
        <v>135</v>
      </c>
      <c r="P3" s="517" t="s">
        <v>136</v>
      </c>
      <c r="Q3" s="517" t="s">
        <v>137</v>
      </c>
      <c r="R3" s="517" t="s">
        <v>133</v>
      </c>
    </row>
    <row r="4" spans="1:20" ht="19.25" hidden="1" customHeight="1" outlineLevel="1">
      <c r="B4" s="520">
        <f>A1</f>
        <v>45658</v>
      </c>
      <c r="C4" s="233">
        <f>B4</f>
        <v>45658</v>
      </c>
      <c r="D4" s="234">
        <f>目標_2025R7!D21</f>
        <v>0</v>
      </c>
      <c r="E4" s="525">
        <f>IF(D4=1,'適正原価率表(仕入れお小遣い制度)'!$J$4,0)</f>
        <v>0</v>
      </c>
      <c r="F4" s="525">
        <f>IF(D4=1,E4,0)</f>
        <v>0</v>
      </c>
      <c r="G4" s="528">
        <v>0</v>
      </c>
      <c r="H4" s="525">
        <f>IF(D4=1,G4,0)</f>
        <v>0</v>
      </c>
      <c r="I4" s="235">
        <f>IF(D4=1,F4-H4,0)</f>
        <v>0</v>
      </c>
      <c r="J4" s="227"/>
      <c r="K4" s="520">
        <f>B4</f>
        <v>45658</v>
      </c>
      <c r="L4" s="521">
        <f>C4</f>
        <v>45658</v>
      </c>
      <c r="M4" s="524">
        <f>D4</f>
        <v>0</v>
      </c>
      <c r="N4" s="525">
        <f>IF(M4=1,'適正原価率表(仕入れお小遣い制度)'!$J$5,0)</f>
        <v>0</v>
      </c>
      <c r="O4" s="525">
        <f>IF(M4=1,N4,0)</f>
        <v>0</v>
      </c>
      <c r="P4" s="535">
        <v>0</v>
      </c>
      <c r="Q4" s="525">
        <f>IF(M4=1,P4,0)</f>
        <v>0</v>
      </c>
      <c r="R4" s="235">
        <f t="shared" ref="R4:R34" si="0">IF(D4=1,O4-Q4,0)</f>
        <v>0</v>
      </c>
      <c r="T4" s="526">
        <f>A1</f>
        <v>45658</v>
      </c>
    </row>
    <row r="5" spans="1:20" ht="19.25" hidden="1" customHeight="1" outlineLevel="1">
      <c r="B5" s="520">
        <f>B4+1</f>
        <v>45659</v>
      </c>
      <c r="C5" s="233">
        <f t="shared" ref="C5:C34" si="1">B5</f>
        <v>45659</v>
      </c>
      <c r="D5" s="234">
        <f>目標_2025R7!D22</f>
        <v>0</v>
      </c>
      <c r="E5" s="525">
        <f>IF(D5=1,'適正原価率表(仕入れお小遣い制度)'!$J$4,0)</f>
        <v>0</v>
      </c>
      <c r="F5" s="525">
        <f>IF(D5=1,SUM($E$4:E5),0)</f>
        <v>0</v>
      </c>
      <c r="G5" s="528">
        <v>0</v>
      </c>
      <c r="H5" s="525">
        <f>IF(D5=1,SUM($G$4:G5),0)</f>
        <v>0</v>
      </c>
      <c r="I5" s="235">
        <f t="shared" ref="I5:I34" si="2">IF(D5=1,F5-H5,0)</f>
        <v>0</v>
      </c>
      <c r="J5" s="227"/>
      <c r="K5" s="520">
        <v>45659</v>
      </c>
      <c r="L5" s="521">
        <f t="shared" ref="L5:L34" si="3">C5</f>
        <v>45659</v>
      </c>
      <c r="M5" s="524">
        <f t="shared" ref="M5:M34" si="4">D5</f>
        <v>0</v>
      </c>
      <c r="N5" s="525">
        <f>IF(M5=1,'適正原価率表(仕入れお小遣い制度)'!$J$5,0)</f>
        <v>0</v>
      </c>
      <c r="O5" s="525">
        <f>IF(M5=1,SUM($N$4:N5),0)</f>
        <v>0</v>
      </c>
      <c r="P5" s="535">
        <v>0</v>
      </c>
      <c r="Q5" s="525">
        <f>IF(M5=1,SUM($P$4:P5),0)</f>
        <v>0</v>
      </c>
      <c r="R5" s="235">
        <f t="shared" si="0"/>
        <v>0</v>
      </c>
      <c r="T5" s="526">
        <f>T4+1</f>
        <v>45659</v>
      </c>
    </row>
    <row r="6" spans="1:20" ht="19.25" hidden="1" customHeight="1" outlineLevel="1">
      <c r="B6" s="520">
        <f t="shared" ref="B6:B34" si="5">B5+1</f>
        <v>45660</v>
      </c>
      <c r="C6" s="233">
        <f t="shared" si="1"/>
        <v>45660</v>
      </c>
      <c r="D6" s="234">
        <f>目標_2025R7!D23</f>
        <v>0</v>
      </c>
      <c r="E6" s="525">
        <f>IF(D6=1,'適正原価率表(仕入れお小遣い制度)'!$J$4,0)</f>
        <v>0</v>
      </c>
      <c r="F6" s="525">
        <f>IF(D6=1,SUM($E$4:E6),0)</f>
        <v>0</v>
      </c>
      <c r="G6" s="528">
        <v>0</v>
      </c>
      <c r="H6" s="525">
        <f>IF(D6=1,SUM($G$4:G6),0)</f>
        <v>0</v>
      </c>
      <c r="I6" s="235">
        <f t="shared" si="2"/>
        <v>0</v>
      </c>
      <c r="J6" s="227"/>
      <c r="K6" s="520">
        <v>45660</v>
      </c>
      <c r="L6" s="521">
        <f t="shared" si="3"/>
        <v>45660</v>
      </c>
      <c r="M6" s="524">
        <f t="shared" si="4"/>
        <v>0</v>
      </c>
      <c r="N6" s="525">
        <f>IF(M6=1,'適正原価率表(仕入れお小遣い制度)'!$J$5,0)</f>
        <v>0</v>
      </c>
      <c r="O6" s="525">
        <f>IF(M6=1,SUM($N$4:N6),0)</f>
        <v>0</v>
      </c>
      <c r="P6" s="535">
        <v>0</v>
      </c>
      <c r="Q6" s="525">
        <f>IF(M6=1,SUM($P$4:P6),0)</f>
        <v>0</v>
      </c>
      <c r="R6" s="235">
        <f t="shared" si="0"/>
        <v>0</v>
      </c>
      <c r="T6" s="526">
        <f t="shared" ref="T6:T34" si="6">T5+1</f>
        <v>45660</v>
      </c>
    </row>
    <row r="7" spans="1:20" ht="19.25" hidden="1" customHeight="1" outlineLevel="1">
      <c r="B7" s="520">
        <f t="shared" si="5"/>
        <v>45661</v>
      </c>
      <c r="C7" s="233">
        <f t="shared" si="1"/>
        <v>45661</v>
      </c>
      <c r="D7" s="234">
        <f>目標_2025R7!D24</f>
        <v>0</v>
      </c>
      <c r="E7" s="525">
        <f>IF(D7=1,'適正原価率表(仕入れお小遣い制度)'!$J$4,0)</f>
        <v>0</v>
      </c>
      <c r="F7" s="525">
        <f>IF(D7=1,SUM($E$4:E7),0)</f>
        <v>0</v>
      </c>
      <c r="G7" s="525">
        <v>0</v>
      </c>
      <c r="H7" s="525">
        <f>IF(D7=1,SUM($G$4:G7),0)</f>
        <v>0</v>
      </c>
      <c r="I7" s="235">
        <f t="shared" si="2"/>
        <v>0</v>
      </c>
      <c r="J7" s="227"/>
      <c r="K7" s="520">
        <v>45661</v>
      </c>
      <c r="L7" s="521">
        <f t="shared" si="3"/>
        <v>45661</v>
      </c>
      <c r="M7" s="524">
        <f t="shared" si="4"/>
        <v>0</v>
      </c>
      <c r="N7" s="525">
        <f>IF(M7=1,'適正原価率表(仕入れお小遣い制度)'!$J$5,0)</f>
        <v>0</v>
      </c>
      <c r="O7" s="525">
        <f>IF(M7=1,SUM($N$4:N7),0)</f>
        <v>0</v>
      </c>
      <c r="P7" s="535">
        <v>0</v>
      </c>
      <c r="Q7" s="525">
        <f>IF(M7=1,SUM($P$4:P7),0)</f>
        <v>0</v>
      </c>
      <c r="R7" s="235">
        <f t="shared" si="0"/>
        <v>0</v>
      </c>
      <c r="T7" s="526">
        <f t="shared" si="6"/>
        <v>45661</v>
      </c>
    </row>
    <row r="8" spans="1:20" ht="19.25" hidden="1" customHeight="1" outlineLevel="1">
      <c r="B8" s="520">
        <f t="shared" si="5"/>
        <v>45662</v>
      </c>
      <c r="C8" s="233">
        <f t="shared" si="1"/>
        <v>45662</v>
      </c>
      <c r="D8" s="234">
        <f>目標_2025R7!D25</f>
        <v>0</v>
      </c>
      <c r="E8" s="525">
        <f>IF(D8=1,'適正原価率表(仕入れお小遣い制度)'!$J$4,0)</f>
        <v>0</v>
      </c>
      <c r="F8" s="525">
        <f>IF(D8=1,SUM($E$4:E8),0)</f>
        <v>0</v>
      </c>
      <c r="G8" s="525">
        <v>19065</v>
      </c>
      <c r="H8" s="525">
        <f>IF(D8=1,SUM($G$4:G8),0)</f>
        <v>0</v>
      </c>
      <c r="I8" s="235">
        <f t="shared" si="2"/>
        <v>0</v>
      </c>
      <c r="J8" s="227"/>
      <c r="K8" s="520">
        <v>45662</v>
      </c>
      <c r="L8" s="521">
        <f t="shared" si="3"/>
        <v>45662</v>
      </c>
      <c r="M8" s="524">
        <f t="shared" si="4"/>
        <v>0</v>
      </c>
      <c r="N8" s="525">
        <f>IF(M8=1,'適正原価率表(仕入れお小遣い制度)'!$J$5,0)</f>
        <v>0</v>
      </c>
      <c r="O8" s="525">
        <f>IF(M8=1,SUM($N$4:N8),0)</f>
        <v>0</v>
      </c>
      <c r="P8" s="535">
        <v>0</v>
      </c>
      <c r="Q8" s="525">
        <f>IF(M8=1,SUM($P$4:P8),0)</f>
        <v>0</v>
      </c>
      <c r="R8" s="235">
        <f t="shared" si="0"/>
        <v>0</v>
      </c>
      <c r="T8" s="526">
        <f t="shared" si="6"/>
        <v>45662</v>
      </c>
    </row>
    <row r="9" spans="1:20" ht="19.25" hidden="1" customHeight="1" outlineLevel="1">
      <c r="B9" s="520">
        <f t="shared" si="5"/>
        <v>45663</v>
      </c>
      <c r="C9" s="233">
        <f t="shared" si="1"/>
        <v>45663</v>
      </c>
      <c r="D9" s="234">
        <f>目標_2025R7!D26</f>
        <v>1</v>
      </c>
      <c r="E9" s="525">
        <f>IF(D9=1,'適正原価率表(仕入れお小遣い制度)'!$J$4,0)</f>
        <v>58436.781975398626</v>
      </c>
      <c r="F9" s="525">
        <f>IF(D9=1,SUM($E$4:E9),0)</f>
        <v>58436.781975398626</v>
      </c>
      <c r="G9" s="525">
        <v>123288</v>
      </c>
      <c r="H9" s="525">
        <f>IF(D9=1,SUM($G$4:G9),0)</f>
        <v>142353</v>
      </c>
      <c r="I9" s="235">
        <f t="shared" si="2"/>
        <v>-83916.218024601374</v>
      </c>
      <c r="J9" s="227"/>
      <c r="K9" s="520">
        <v>45663</v>
      </c>
      <c r="L9" s="521">
        <f t="shared" si="3"/>
        <v>45663</v>
      </c>
      <c r="M9" s="524">
        <f t="shared" si="4"/>
        <v>1</v>
      </c>
      <c r="N9" s="525">
        <f>IF(M9=1,'適正原価率表(仕入れお小遣い制度)'!$J$5,0)</f>
        <v>14094.776928681618</v>
      </c>
      <c r="O9" s="525">
        <f>IF(M9=1,SUM($N$4:N9),0)</f>
        <v>14094.776928681618</v>
      </c>
      <c r="P9" s="535">
        <v>57353</v>
      </c>
      <c r="Q9" s="525">
        <f>IF(M9=1,SUM($P$4:P9),0)</f>
        <v>57353</v>
      </c>
      <c r="R9" s="235">
        <f t="shared" si="0"/>
        <v>-43258.223071318382</v>
      </c>
      <c r="T9" s="526">
        <f t="shared" si="6"/>
        <v>45663</v>
      </c>
    </row>
    <row r="10" spans="1:20" ht="19.25" hidden="1" customHeight="1" outlineLevel="1">
      <c r="B10" s="520">
        <f t="shared" si="5"/>
        <v>45664</v>
      </c>
      <c r="C10" s="233">
        <f t="shared" si="1"/>
        <v>45664</v>
      </c>
      <c r="D10" s="234">
        <f>目標_2025R7!D27</f>
        <v>1</v>
      </c>
      <c r="E10" s="525">
        <f>IF(D10=1,'適正原価率表(仕入れお小遣い制度)'!$J$4,0)</f>
        <v>58436.781975398626</v>
      </c>
      <c r="F10" s="525">
        <f>IF(D10=1,SUM($E$4:E10),0)</f>
        <v>116873.56395079725</v>
      </c>
      <c r="G10" s="525">
        <v>102011</v>
      </c>
      <c r="H10" s="525">
        <f>IF(D10=1,SUM($G$4:G10),0)</f>
        <v>244364</v>
      </c>
      <c r="I10" s="235">
        <f t="shared" si="2"/>
        <v>-127490.43604920275</v>
      </c>
      <c r="J10" s="227"/>
      <c r="K10" s="520">
        <v>45664</v>
      </c>
      <c r="L10" s="521">
        <f t="shared" si="3"/>
        <v>45664</v>
      </c>
      <c r="M10" s="524">
        <f t="shared" si="4"/>
        <v>1</v>
      </c>
      <c r="N10" s="525">
        <f>IF(M10=1,'適正原価率表(仕入れお小遣い制度)'!$J$5,0)</f>
        <v>14094.776928681618</v>
      </c>
      <c r="O10" s="525">
        <f>IF(M10=1,SUM($N$4:N10),0)</f>
        <v>28189.553857363237</v>
      </c>
      <c r="P10" s="535">
        <v>0</v>
      </c>
      <c r="Q10" s="525">
        <f>IF(M10=1,SUM($P$4:P10),0)</f>
        <v>57353</v>
      </c>
      <c r="R10" s="235">
        <f t="shared" si="0"/>
        <v>-29163.446142636763</v>
      </c>
      <c r="T10" s="526">
        <f t="shared" si="6"/>
        <v>45664</v>
      </c>
    </row>
    <row r="11" spans="1:20" ht="19.25" hidden="1" customHeight="1" outlineLevel="1">
      <c r="B11" s="520">
        <f t="shared" si="5"/>
        <v>45665</v>
      </c>
      <c r="C11" s="233">
        <f t="shared" si="1"/>
        <v>45665</v>
      </c>
      <c r="D11" s="234">
        <f>目標_2025R7!D28</f>
        <v>1</v>
      </c>
      <c r="E11" s="525">
        <f>IF(D11=1,'適正原価率表(仕入れお小遣い制度)'!$J$4,0)</f>
        <v>58436.781975398626</v>
      </c>
      <c r="F11" s="525">
        <f>IF(D11=1,SUM($E$4:E11),0)</f>
        <v>175310.34592619588</v>
      </c>
      <c r="G11" s="525">
        <v>28301</v>
      </c>
      <c r="H11" s="525">
        <f>IF(D11=1,SUM($G$4:G11),0)</f>
        <v>272665</v>
      </c>
      <c r="I11" s="235">
        <f t="shared" si="2"/>
        <v>-97354.654073804122</v>
      </c>
      <c r="J11" s="227"/>
      <c r="K11" s="520">
        <v>45665</v>
      </c>
      <c r="L11" s="521">
        <f t="shared" si="3"/>
        <v>45665</v>
      </c>
      <c r="M11" s="524">
        <f t="shared" si="4"/>
        <v>1</v>
      </c>
      <c r="N11" s="525">
        <f>IF(M11=1,'適正原価率表(仕入れお小遣い制度)'!$J$5,0)</f>
        <v>14094.776928681618</v>
      </c>
      <c r="O11" s="525">
        <f>IF(M11=1,SUM($N$4:N11),0)</f>
        <v>42284.330786044855</v>
      </c>
      <c r="P11" s="535">
        <v>0</v>
      </c>
      <c r="Q11" s="525">
        <f>IF(M11=1,SUM($P$4:P11),0)</f>
        <v>57353</v>
      </c>
      <c r="R11" s="235">
        <f t="shared" si="0"/>
        <v>-15068.669213955145</v>
      </c>
      <c r="T11" s="526">
        <f t="shared" si="6"/>
        <v>45665</v>
      </c>
    </row>
    <row r="12" spans="1:20" ht="19.25" hidden="1" customHeight="1" outlineLevel="1">
      <c r="B12" s="520">
        <f t="shared" si="5"/>
        <v>45666</v>
      </c>
      <c r="C12" s="233">
        <f t="shared" si="1"/>
        <v>45666</v>
      </c>
      <c r="D12" s="234">
        <f>目標_2025R7!D29</f>
        <v>1</v>
      </c>
      <c r="E12" s="525">
        <f>IF(D12=1,'適正原価率表(仕入れお小遣い制度)'!$J$4,0)</f>
        <v>58436.781975398626</v>
      </c>
      <c r="F12" s="525">
        <f>IF(D12=1,SUM($E$4:E12),0)</f>
        <v>233747.1279015945</v>
      </c>
      <c r="G12" s="525">
        <v>87934</v>
      </c>
      <c r="H12" s="525">
        <f>IF(D12=1,SUM($G$4:G12),0)</f>
        <v>360599</v>
      </c>
      <c r="I12" s="235">
        <f t="shared" si="2"/>
        <v>-126851.8720984055</v>
      </c>
      <c r="J12" s="227"/>
      <c r="K12" s="520">
        <v>45666</v>
      </c>
      <c r="L12" s="521">
        <f t="shared" si="3"/>
        <v>45666</v>
      </c>
      <c r="M12" s="524">
        <f t="shared" si="4"/>
        <v>1</v>
      </c>
      <c r="N12" s="525">
        <f>IF(M12=1,'適正原価率表(仕入れお小遣い制度)'!$J$5,0)</f>
        <v>14094.776928681618</v>
      </c>
      <c r="O12" s="525">
        <f>IF(M12=1,SUM($N$4:N12),0)</f>
        <v>56379.107714726473</v>
      </c>
      <c r="P12" s="535">
        <v>29840</v>
      </c>
      <c r="Q12" s="525">
        <f>IF(M12=1,SUM($P$4:P12),0)</f>
        <v>87193</v>
      </c>
      <c r="R12" s="235">
        <f t="shared" si="0"/>
        <v>-30813.892285273527</v>
      </c>
      <c r="T12" s="526">
        <f t="shared" si="6"/>
        <v>45666</v>
      </c>
    </row>
    <row r="13" spans="1:20" ht="19.25" hidden="1" customHeight="1" outlineLevel="1">
      <c r="B13" s="520">
        <f t="shared" si="5"/>
        <v>45667</v>
      </c>
      <c r="C13" s="233">
        <f t="shared" si="1"/>
        <v>45667</v>
      </c>
      <c r="D13" s="234">
        <f>目標_2025R7!D30</f>
        <v>1</v>
      </c>
      <c r="E13" s="525">
        <f>IF(D13=1,'適正原価率表(仕入れお小遣い制度)'!$J$4,0)</f>
        <v>58436.781975398626</v>
      </c>
      <c r="F13" s="525">
        <f>IF(D13=1,SUM($E$4:E13),0)</f>
        <v>292183.90987699316</v>
      </c>
      <c r="G13" s="525">
        <v>147190</v>
      </c>
      <c r="H13" s="525">
        <f>IF(D13=1,SUM($G$4:G13),0)</f>
        <v>507789</v>
      </c>
      <c r="I13" s="235">
        <f t="shared" si="2"/>
        <v>-215605.09012300684</v>
      </c>
      <c r="J13" s="227"/>
      <c r="K13" s="520">
        <v>45667</v>
      </c>
      <c r="L13" s="521">
        <f t="shared" si="3"/>
        <v>45667</v>
      </c>
      <c r="M13" s="524">
        <f t="shared" si="4"/>
        <v>1</v>
      </c>
      <c r="N13" s="525">
        <f>IF(M13=1,'適正原価率表(仕入れお小遣い制度)'!$J$5,0)</f>
        <v>14094.776928681618</v>
      </c>
      <c r="O13" s="525">
        <f>IF(M13=1,SUM($N$4:N13),0)</f>
        <v>70473.884643408092</v>
      </c>
      <c r="P13" s="535">
        <v>33674</v>
      </c>
      <c r="Q13" s="525">
        <f>IF(M13=1,SUM($P$4:P13),0)</f>
        <v>120867</v>
      </c>
      <c r="R13" s="235">
        <f t="shared" si="0"/>
        <v>-50393.115356591908</v>
      </c>
      <c r="T13" s="526">
        <f t="shared" si="6"/>
        <v>45667</v>
      </c>
    </row>
    <row r="14" spans="1:20" ht="19.25" hidden="1" customHeight="1" outlineLevel="1">
      <c r="B14" s="520">
        <f t="shared" si="5"/>
        <v>45668</v>
      </c>
      <c r="C14" s="233">
        <f t="shared" si="1"/>
        <v>45668</v>
      </c>
      <c r="D14" s="234">
        <f>目標_2025R7!D31</f>
        <v>1</v>
      </c>
      <c r="E14" s="525">
        <f>IF(D14=1,'適正原価率表(仕入れお小遣い制度)'!$J$4,0)</f>
        <v>58436.781975398626</v>
      </c>
      <c r="F14" s="525">
        <f>IF(D14=1,SUM($E$4:E14),0)</f>
        <v>350620.69185239181</v>
      </c>
      <c r="G14" s="525">
        <v>8065</v>
      </c>
      <c r="H14" s="525">
        <f>IF(D14=1,SUM($G$4:G14),0)</f>
        <v>515854</v>
      </c>
      <c r="I14" s="235">
        <f t="shared" si="2"/>
        <v>-165233.30814760819</v>
      </c>
      <c r="J14" s="227"/>
      <c r="K14" s="520">
        <v>45668</v>
      </c>
      <c r="L14" s="521">
        <f t="shared" si="3"/>
        <v>45668</v>
      </c>
      <c r="M14" s="524">
        <f t="shared" si="4"/>
        <v>1</v>
      </c>
      <c r="N14" s="525">
        <f>IF(M14=1,'適正原価率表(仕入れお小遣い制度)'!$J$5,0)</f>
        <v>14094.776928681618</v>
      </c>
      <c r="O14" s="525">
        <f>IF(M14=1,SUM($N$4:N14),0)</f>
        <v>84568.66157208971</v>
      </c>
      <c r="P14" s="535">
        <v>0</v>
      </c>
      <c r="Q14" s="525">
        <f>IF(M14=1,SUM($P$4:P14),0)</f>
        <v>120867</v>
      </c>
      <c r="R14" s="235">
        <f t="shared" si="0"/>
        <v>-36298.33842791029</v>
      </c>
      <c r="T14" s="526">
        <f t="shared" si="6"/>
        <v>45668</v>
      </c>
    </row>
    <row r="15" spans="1:20" ht="19.25" hidden="1" customHeight="1" outlineLevel="1">
      <c r="B15" s="520">
        <f t="shared" si="5"/>
        <v>45669</v>
      </c>
      <c r="C15" s="233">
        <f t="shared" si="1"/>
        <v>45669</v>
      </c>
      <c r="D15" s="234">
        <f>目標_2025R7!D32</f>
        <v>0</v>
      </c>
      <c r="E15" s="525">
        <f>IF(D15=1,'適正原価率表(仕入れお小遣い制度)'!$J$4,0)</f>
        <v>0</v>
      </c>
      <c r="F15" s="525">
        <f>IF(D15=1,SUM($E$4:E15),0)</f>
        <v>0</v>
      </c>
      <c r="G15" s="525">
        <v>0</v>
      </c>
      <c r="H15" s="525">
        <f>IF(D15=1,SUM($G$4:G15),0)</f>
        <v>0</v>
      </c>
      <c r="I15" s="235">
        <f t="shared" si="2"/>
        <v>0</v>
      </c>
      <c r="J15" s="227"/>
      <c r="K15" s="520">
        <v>45669</v>
      </c>
      <c r="L15" s="521">
        <f t="shared" si="3"/>
        <v>45669</v>
      </c>
      <c r="M15" s="524">
        <f t="shared" si="4"/>
        <v>0</v>
      </c>
      <c r="N15" s="525">
        <f>IF(M15=1,'適正原価率表(仕入れお小遣い制度)'!$J$5,0)</f>
        <v>0</v>
      </c>
      <c r="O15" s="525">
        <f>IF(M15=1,SUM($N$4:N15),0)</f>
        <v>0</v>
      </c>
      <c r="P15" s="535">
        <v>0</v>
      </c>
      <c r="Q15" s="525">
        <f>IF(M15=1,SUM($P$4:P15),0)</f>
        <v>0</v>
      </c>
      <c r="R15" s="235">
        <f t="shared" si="0"/>
        <v>0</v>
      </c>
      <c r="T15" s="526">
        <f t="shared" si="6"/>
        <v>45669</v>
      </c>
    </row>
    <row r="16" spans="1:20" ht="19.25" hidden="1" customHeight="1" outlineLevel="1">
      <c r="B16" s="520">
        <f t="shared" si="5"/>
        <v>45670</v>
      </c>
      <c r="C16" s="233">
        <f t="shared" si="1"/>
        <v>45670</v>
      </c>
      <c r="D16" s="234">
        <f>目標_2025R7!D33</f>
        <v>0</v>
      </c>
      <c r="E16" s="525">
        <f>IF(D16=1,'適正原価率表(仕入れお小遣い制度)'!$J$4,0)</f>
        <v>0</v>
      </c>
      <c r="F16" s="525">
        <f>IF(D16=1,SUM($E$4:E16),0)</f>
        <v>0</v>
      </c>
      <c r="G16" s="525">
        <v>0</v>
      </c>
      <c r="H16" s="525">
        <f>IF(D16=1,SUM($G$4:G16),0)</f>
        <v>0</v>
      </c>
      <c r="I16" s="235">
        <f t="shared" si="2"/>
        <v>0</v>
      </c>
      <c r="J16" s="227"/>
      <c r="K16" s="520">
        <v>45670</v>
      </c>
      <c r="L16" s="521">
        <f t="shared" si="3"/>
        <v>45670</v>
      </c>
      <c r="M16" s="524">
        <f t="shared" si="4"/>
        <v>0</v>
      </c>
      <c r="N16" s="525">
        <f>IF(M16=1,'適正原価率表(仕入れお小遣い制度)'!$J$5,0)</f>
        <v>0</v>
      </c>
      <c r="O16" s="525">
        <f>IF(M16=1,SUM($N$4:N16),0)</f>
        <v>0</v>
      </c>
      <c r="P16" s="535">
        <v>0</v>
      </c>
      <c r="Q16" s="525">
        <f>IF(M16=1,SUM($P$4:P16),0)</f>
        <v>0</v>
      </c>
      <c r="R16" s="235">
        <f t="shared" si="0"/>
        <v>0</v>
      </c>
      <c r="T16" s="526">
        <f t="shared" si="6"/>
        <v>45670</v>
      </c>
    </row>
    <row r="17" spans="2:20" ht="19.25" hidden="1" customHeight="1" outlineLevel="1">
      <c r="B17" s="520">
        <f t="shared" si="5"/>
        <v>45671</v>
      </c>
      <c r="C17" s="233">
        <f t="shared" si="1"/>
        <v>45671</v>
      </c>
      <c r="D17" s="234">
        <f>目標_2025R7!D34</f>
        <v>1</v>
      </c>
      <c r="E17" s="525">
        <f>IF(D17=1,'適正原価率表(仕入れお小遣い制度)'!$J$4,0)</f>
        <v>58436.781975398626</v>
      </c>
      <c r="F17" s="525">
        <f>IF(D17=1,SUM($E$4:E17),0)</f>
        <v>409057.47382779047</v>
      </c>
      <c r="G17" s="525">
        <v>127397</v>
      </c>
      <c r="H17" s="525">
        <f>IF(D17=1,SUM($G$4:G17),0)</f>
        <v>643251</v>
      </c>
      <c r="I17" s="235">
        <f t="shared" si="2"/>
        <v>-234193.52617220953</v>
      </c>
      <c r="J17" s="227"/>
      <c r="K17" s="520">
        <v>45671</v>
      </c>
      <c r="L17" s="521">
        <f t="shared" si="3"/>
        <v>45671</v>
      </c>
      <c r="M17" s="524">
        <f t="shared" si="4"/>
        <v>1</v>
      </c>
      <c r="N17" s="525">
        <f>IF(M17=1,'適正原価率表(仕入れお小遣い制度)'!$J$5,0)</f>
        <v>14094.776928681618</v>
      </c>
      <c r="O17" s="525">
        <f>IF(M17=1,SUM($N$4:N17),0)</f>
        <v>98663.438500771328</v>
      </c>
      <c r="P17" s="535">
        <v>14176</v>
      </c>
      <c r="Q17" s="525">
        <f>IF(M17=1,SUM($P$4:P17),0)</f>
        <v>135043</v>
      </c>
      <c r="R17" s="235">
        <f t="shared" si="0"/>
        <v>-36379.561499228672</v>
      </c>
      <c r="T17" s="526">
        <f t="shared" si="6"/>
        <v>45671</v>
      </c>
    </row>
    <row r="18" spans="2:20" ht="19.25" hidden="1" customHeight="1" outlineLevel="1">
      <c r="B18" s="520">
        <f t="shared" si="5"/>
        <v>45672</v>
      </c>
      <c r="C18" s="233">
        <f t="shared" si="1"/>
        <v>45672</v>
      </c>
      <c r="D18" s="234">
        <f>目標_2025R7!D35</f>
        <v>1</v>
      </c>
      <c r="E18" s="525">
        <f>IF(D18=1,'適正原価率表(仕入れお小遣い制度)'!$J$4,0)</f>
        <v>58436.781975398626</v>
      </c>
      <c r="F18" s="525">
        <f>IF(D18=1,SUM($E$4:E18),0)</f>
        <v>467494.25580318912</v>
      </c>
      <c r="G18" s="525">
        <v>57873</v>
      </c>
      <c r="H18" s="525">
        <f>IF(D18=1,SUM($G$4:G18),0)</f>
        <v>701124</v>
      </c>
      <c r="I18" s="235">
        <f t="shared" si="2"/>
        <v>-233629.74419681088</v>
      </c>
      <c r="J18" s="227"/>
      <c r="K18" s="520">
        <v>45672</v>
      </c>
      <c r="L18" s="521">
        <f t="shared" si="3"/>
        <v>45672</v>
      </c>
      <c r="M18" s="524">
        <f t="shared" si="4"/>
        <v>1</v>
      </c>
      <c r="N18" s="525">
        <f>IF(M18=1,'適正原価率表(仕入れお小遣い制度)'!$J$5,0)</f>
        <v>14094.776928681618</v>
      </c>
      <c r="O18" s="525">
        <f>IF(M18=1,SUM($N$4:N18),0)</f>
        <v>112758.21542945295</v>
      </c>
      <c r="P18" s="535">
        <v>23797</v>
      </c>
      <c r="Q18" s="525">
        <f>IF(M18=1,SUM($P$4:P18),0)</f>
        <v>158840</v>
      </c>
      <c r="R18" s="235">
        <f t="shared" si="0"/>
        <v>-46081.784570547054</v>
      </c>
      <c r="T18" s="526">
        <f t="shared" si="6"/>
        <v>45672</v>
      </c>
    </row>
    <row r="19" spans="2:20" ht="19.25" hidden="1" customHeight="1" outlineLevel="1">
      <c r="B19" s="520">
        <f t="shared" si="5"/>
        <v>45673</v>
      </c>
      <c r="C19" s="233">
        <f t="shared" si="1"/>
        <v>45673</v>
      </c>
      <c r="D19" s="234">
        <f>目標_2025R7!D36</f>
        <v>1</v>
      </c>
      <c r="E19" s="525">
        <f>IF(D19=1,'適正原価率表(仕入れお小遣い制度)'!$J$4,0)</f>
        <v>58436.781975398626</v>
      </c>
      <c r="F19" s="525">
        <f>IF(D19=1,SUM($E$4:E19),0)</f>
        <v>525931.03777858778</v>
      </c>
      <c r="G19" s="525">
        <v>78247</v>
      </c>
      <c r="H19" s="525">
        <f>IF(D19=1,SUM($G$4:G19),0)</f>
        <v>779371</v>
      </c>
      <c r="I19" s="235">
        <f t="shared" si="2"/>
        <v>-253439.96222141222</v>
      </c>
      <c r="J19" s="227"/>
      <c r="K19" s="520">
        <v>45673</v>
      </c>
      <c r="L19" s="521">
        <f t="shared" si="3"/>
        <v>45673</v>
      </c>
      <c r="M19" s="524">
        <f t="shared" si="4"/>
        <v>1</v>
      </c>
      <c r="N19" s="525">
        <f>IF(M19=1,'適正原価率表(仕入れお小遣い制度)'!$J$5,0)</f>
        <v>14094.776928681618</v>
      </c>
      <c r="O19" s="525">
        <f>IF(M19=1,SUM($N$4:N19),0)</f>
        <v>126852.99235813456</v>
      </c>
      <c r="P19" s="535">
        <v>46955</v>
      </c>
      <c r="Q19" s="525">
        <f>IF(M19=1,SUM($P$4:P19),0)</f>
        <v>205795</v>
      </c>
      <c r="R19" s="235">
        <f t="shared" si="0"/>
        <v>-78942.007641865435</v>
      </c>
      <c r="T19" s="526">
        <f t="shared" si="6"/>
        <v>45673</v>
      </c>
    </row>
    <row r="20" spans="2:20" ht="19.25" hidden="1" customHeight="1" outlineLevel="1">
      <c r="B20" s="520">
        <f t="shared" si="5"/>
        <v>45674</v>
      </c>
      <c r="C20" s="233">
        <f t="shared" si="1"/>
        <v>45674</v>
      </c>
      <c r="D20" s="234">
        <f>目標_2025R7!D37</f>
        <v>1</v>
      </c>
      <c r="E20" s="525">
        <f>IF(D20=1,'適正原価率表(仕入れお小遣い制度)'!$J$4,0)</f>
        <v>58436.781975398626</v>
      </c>
      <c r="F20" s="525">
        <f>IF(D20=1,SUM($E$4:E20),0)</f>
        <v>584367.81975398643</v>
      </c>
      <c r="G20" s="525">
        <v>97267</v>
      </c>
      <c r="H20" s="525">
        <f>IF(D20=1,SUM($G$4:G20),0)</f>
        <v>876638</v>
      </c>
      <c r="I20" s="235">
        <f t="shared" si="2"/>
        <v>-292270.18024601357</v>
      </c>
      <c r="J20" s="227"/>
      <c r="K20" s="520">
        <v>45674</v>
      </c>
      <c r="L20" s="521">
        <f t="shared" si="3"/>
        <v>45674</v>
      </c>
      <c r="M20" s="524">
        <f t="shared" si="4"/>
        <v>1</v>
      </c>
      <c r="N20" s="525">
        <f>IF(M20=1,'適正原価率表(仕入れお小遣い制度)'!$J$5,0)</f>
        <v>14094.776928681618</v>
      </c>
      <c r="O20" s="525">
        <f>IF(M20=1,SUM($N$4:N20),0)</f>
        <v>140947.76928681618</v>
      </c>
      <c r="P20" s="535">
        <v>18648</v>
      </c>
      <c r="Q20" s="525">
        <f>IF(M20=1,SUM($P$4:P20),0)</f>
        <v>224443</v>
      </c>
      <c r="R20" s="235">
        <f t="shared" si="0"/>
        <v>-83495.230713183817</v>
      </c>
      <c r="T20" s="526">
        <f t="shared" si="6"/>
        <v>45674</v>
      </c>
    </row>
    <row r="21" spans="2:20" ht="19.25" hidden="1" customHeight="1" outlineLevel="1">
      <c r="B21" s="520">
        <f t="shared" si="5"/>
        <v>45675</v>
      </c>
      <c r="C21" s="233">
        <f t="shared" si="1"/>
        <v>45675</v>
      </c>
      <c r="D21" s="234">
        <f>目標_2025R7!D38</f>
        <v>1</v>
      </c>
      <c r="E21" s="525">
        <f>IF(D21=1,'適正原価率表(仕入れお小遣い制度)'!$J$4,0)</f>
        <v>58436.781975398626</v>
      </c>
      <c r="F21" s="525">
        <f>IF(D21=1,SUM($E$4:E21),0)</f>
        <v>642804.60172938509</v>
      </c>
      <c r="G21" s="525">
        <v>39752</v>
      </c>
      <c r="H21" s="525">
        <f>IF(D21=1,SUM($G$4:G21),0)</f>
        <v>916390</v>
      </c>
      <c r="I21" s="235">
        <f t="shared" si="2"/>
        <v>-273585.39827061491</v>
      </c>
      <c r="J21" s="227"/>
      <c r="K21" s="520">
        <v>45675</v>
      </c>
      <c r="L21" s="521">
        <f t="shared" si="3"/>
        <v>45675</v>
      </c>
      <c r="M21" s="524">
        <f t="shared" si="4"/>
        <v>1</v>
      </c>
      <c r="N21" s="525">
        <f>IF(M21=1,'適正原価率表(仕入れお小遣い制度)'!$J$5,0)</f>
        <v>14094.776928681618</v>
      </c>
      <c r="O21" s="525">
        <f>IF(M21=1,SUM($N$4:N21),0)</f>
        <v>155042.5462154978</v>
      </c>
      <c r="P21" s="535">
        <v>0</v>
      </c>
      <c r="Q21" s="525">
        <f>IF(M21=1,SUM($P$4:P21),0)</f>
        <v>224443</v>
      </c>
      <c r="R21" s="235">
        <f t="shared" si="0"/>
        <v>-69400.453784502199</v>
      </c>
      <c r="T21" s="526">
        <f t="shared" si="6"/>
        <v>45675</v>
      </c>
    </row>
    <row r="22" spans="2:20" ht="19.25" hidden="1" customHeight="1" outlineLevel="1">
      <c r="B22" s="520">
        <f t="shared" si="5"/>
        <v>45676</v>
      </c>
      <c r="C22" s="233">
        <f t="shared" si="1"/>
        <v>45676</v>
      </c>
      <c r="D22" s="234">
        <f>目標_2025R7!D39</f>
        <v>0</v>
      </c>
      <c r="E22" s="525">
        <f>IF(D22=1,'適正原価率表(仕入れお小遣い制度)'!$J$4,0)</f>
        <v>0</v>
      </c>
      <c r="F22" s="525">
        <f>IF(D22=1,SUM($E$4:E22),0)</f>
        <v>0</v>
      </c>
      <c r="G22" s="525">
        <v>0</v>
      </c>
      <c r="H22" s="525">
        <f>IF(D22=1,SUM($G$4:G22),0)</f>
        <v>0</v>
      </c>
      <c r="I22" s="235">
        <f t="shared" si="2"/>
        <v>0</v>
      </c>
      <c r="J22" s="227"/>
      <c r="K22" s="520">
        <v>45676</v>
      </c>
      <c r="L22" s="521">
        <f t="shared" si="3"/>
        <v>45676</v>
      </c>
      <c r="M22" s="524">
        <f t="shared" si="4"/>
        <v>0</v>
      </c>
      <c r="N22" s="525">
        <f>IF(M22=1,'適正原価率表(仕入れお小遣い制度)'!$J$5,0)</f>
        <v>0</v>
      </c>
      <c r="O22" s="525">
        <f>IF(M22=1,SUM($N$4:N22),0)</f>
        <v>0</v>
      </c>
      <c r="P22" s="535">
        <v>0</v>
      </c>
      <c r="Q22" s="525">
        <f>IF(M22=1,SUM($P$4:P22),0)</f>
        <v>0</v>
      </c>
      <c r="R22" s="235">
        <f t="shared" si="0"/>
        <v>0</v>
      </c>
      <c r="T22" s="526">
        <f t="shared" si="6"/>
        <v>45676</v>
      </c>
    </row>
    <row r="23" spans="2:20" ht="19.25" hidden="1" customHeight="1" outlineLevel="1">
      <c r="B23" s="520">
        <f t="shared" si="5"/>
        <v>45677</v>
      </c>
      <c r="C23" s="233">
        <f t="shared" si="1"/>
        <v>45677</v>
      </c>
      <c r="D23" s="234">
        <f>目標_2025R7!D40</f>
        <v>1</v>
      </c>
      <c r="E23" s="525">
        <f>IF(D23=1,'適正原価率表(仕入れお小遣い制度)'!$J$4,0)</f>
        <v>58436.781975398626</v>
      </c>
      <c r="F23" s="525">
        <f>IF(D23=1,SUM($E$4:E23),0)</f>
        <v>701241.38370478374</v>
      </c>
      <c r="G23" s="525">
        <v>99267</v>
      </c>
      <c r="H23" s="525">
        <f>IF(D23=1,SUM($G$4:G23),0)</f>
        <v>1015657</v>
      </c>
      <c r="I23" s="235">
        <f t="shared" si="2"/>
        <v>-314415.61629521626</v>
      </c>
      <c r="J23" s="227"/>
      <c r="K23" s="520">
        <v>45677</v>
      </c>
      <c r="L23" s="521">
        <f t="shared" si="3"/>
        <v>45677</v>
      </c>
      <c r="M23" s="524">
        <f t="shared" si="4"/>
        <v>1</v>
      </c>
      <c r="N23" s="525">
        <f>IF(M23=1,'適正原価率表(仕入れお小遣い制度)'!$J$5,0)</f>
        <v>14094.776928681618</v>
      </c>
      <c r="O23" s="525">
        <f>IF(M23=1,SUM($N$4:N23),0)</f>
        <v>169137.32314417942</v>
      </c>
      <c r="P23" s="535">
        <v>6473</v>
      </c>
      <c r="Q23" s="525">
        <f>IF(M23=1,SUM($P$4:P23),0)</f>
        <v>230916</v>
      </c>
      <c r="R23" s="235">
        <f t="shared" si="0"/>
        <v>-61778.67685582058</v>
      </c>
      <c r="T23" s="526">
        <f t="shared" si="6"/>
        <v>45677</v>
      </c>
    </row>
    <row r="24" spans="2:20" ht="19.25" hidden="1" customHeight="1" outlineLevel="1">
      <c r="B24" s="520">
        <f t="shared" si="5"/>
        <v>45678</v>
      </c>
      <c r="C24" s="233">
        <f t="shared" si="1"/>
        <v>45678</v>
      </c>
      <c r="D24" s="234">
        <f>目標_2025R7!D41</f>
        <v>1</v>
      </c>
      <c r="E24" s="525">
        <f>IF(D24=1,'適正原価率表(仕入れお小遣い制度)'!$J$4,0)</f>
        <v>58436.781975398626</v>
      </c>
      <c r="F24" s="525">
        <f>IF(D24=1,SUM($E$4:E24),0)</f>
        <v>759678.1656801824</v>
      </c>
      <c r="G24" s="525">
        <v>75573</v>
      </c>
      <c r="H24" s="525">
        <f>IF(D24=1,SUM($G$4:G24),0)</f>
        <v>1091230</v>
      </c>
      <c r="I24" s="235">
        <f t="shared" si="2"/>
        <v>-331551.8343198176</v>
      </c>
      <c r="J24" s="227"/>
      <c r="K24" s="520">
        <v>45678</v>
      </c>
      <c r="L24" s="521">
        <f t="shared" si="3"/>
        <v>45678</v>
      </c>
      <c r="M24" s="524">
        <f t="shared" si="4"/>
        <v>1</v>
      </c>
      <c r="N24" s="525">
        <f>IF(M24=1,'適正原価率表(仕入れお小遣い制度)'!$J$5,0)</f>
        <v>14094.776928681618</v>
      </c>
      <c r="O24" s="525">
        <f>IF(M24=1,SUM($N$4:N24),0)</f>
        <v>183232.10007286104</v>
      </c>
      <c r="P24" s="535">
        <v>2760</v>
      </c>
      <c r="Q24" s="525">
        <f>IF(M24=1,SUM($P$4:P24),0)</f>
        <v>233676</v>
      </c>
      <c r="R24" s="235">
        <f t="shared" si="0"/>
        <v>-50443.899927138962</v>
      </c>
      <c r="T24" s="526">
        <f t="shared" si="6"/>
        <v>45678</v>
      </c>
    </row>
    <row r="25" spans="2:20" ht="19.25" hidden="1" customHeight="1" outlineLevel="1">
      <c r="B25" s="520">
        <f t="shared" si="5"/>
        <v>45679</v>
      </c>
      <c r="C25" s="233">
        <f t="shared" si="1"/>
        <v>45679</v>
      </c>
      <c r="D25" s="234">
        <f>目標_2025R7!D42</f>
        <v>1</v>
      </c>
      <c r="E25" s="525">
        <f>IF(D25=1,'適正原価率表(仕入れお小遣い制度)'!$J$4,0)</f>
        <v>58436.781975398626</v>
      </c>
      <c r="F25" s="525">
        <f>IF(D25=1,SUM($E$4:E25),0)</f>
        <v>818114.94765558105</v>
      </c>
      <c r="G25" s="525">
        <v>13048</v>
      </c>
      <c r="H25" s="525">
        <f>IF(D25=1,SUM($G$4:G25),0)</f>
        <v>1104278</v>
      </c>
      <c r="I25" s="235">
        <f t="shared" si="2"/>
        <v>-286163.05234441895</v>
      </c>
      <c r="J25" s="227"/>
      <c r="K25" s="520">
        <v>45679</v>
      </c>
      <c r="L25" s="521">
        <f t="shared" si="3"/>
        <v>45679</v>
      </c>
      <c r="M25" s="524">
        <f t="shared" si="4"/>
        <v>1</v>
      </c>
      <c r="N25" s="525">
        <f>IF(M25=1,'適正原価率表(仕入れお小遣い制度)'!$J$5,0)</f>
        <v>14094.776928681618</v>
      </c>
      <c r="O25" s="525">
        <f>IF(M25=1,SUM($N$4:N25),0)</f>
        <v>197326.87700154266</v>
      </c>
      <c r="P25" s="535">
        <v>9028</v>
      </c>
      <c r="Q25" s="525">
        <f>IF(M25=1,SUM($P$4:P25),0)</f>
        <v>242704</v>
      </c>
      <c r="R25" s="235">
        <f t="shared" si="0"/>
        <v>-45377.122998457344</v>
      </c>
      <c r="T25" s="526">
        <f t="shared" si="6"/>
        <v>45679</v>
      </c>
    </row>
    <row r="26" spans="2:20" ht="19.25" hidden="1" customHeight="1" outlineLevel="1">
      <c r="B26" s="520">
        <f t="shared" si="5"/>
        <v>45680</v>
      </c>
      <c r="C26" s="233">
        <f t="shared" si="1"/>
        <v>45680</v>
      </c>
      <c r="D26" s="234">
        <f>目標_2025R7!D43</f>
        <v>1</v>
      </c>
      <c r="E26" s="525">
        <f>IF(D26=1,'適正原価率表(仕入れお小遣い制度)'!$J$4,0)</f>
        <v>58436.781975398626</v>
      </c>
      <c r="F26" s="525">
        <f>IF(D26=1,SUM($E$4:E26),0)</f>
        <v>876551.72963097971</v>
      </c>
      <c r="G26" s="525">
        <v>80295</v>
      </c>
      <c r="H26" s="525">
        <f>IF(D26=1,SUM($G$4:G26),0)</f>
        <v>1184573</v>
      </c>
      <c r="I26" s="235">
        <f t="shared" si="2"/>
        <v>-308021.27036902029</v>
      </c>
      <c r="J26" s="227"/>
      <c r="K26" s="520">
        <v>45680</v>
      </c>
      <c r="L26" s="521">
        <f t="shared" si="3"/>
        <v>45680</v>
      </c>
      <c r="M26" s="524">
        <f t="shared" si="4"/>
        <v>1</v>
      </c>
      <c r="N26" s="525">
        <f>IF(M26=1,'適正原価率表(仕入れお小遣い制度)'!$J$5,0)</f>
        <v>14094.776928681618</v>
      </c>
      <c r="O26" s="525">
        <f>IF(M26=1,SUM($N$4:N26),0)</f>
        <v>211421.65393022427</v>
      </c>
      <c r="P26" s="535">
        <v>22035</v>
      </c>
      <c r="Q26" s="525">
        <f>IF(M26=1,SUM($P$4:P26),0)</f>
        <v>264739</v>
      </c>
      <c r="R26" s="235">
        <f t="shared" si="0"/>
        <v>-53317.346069775725</v>
      </c>
      <c r="T26" s="526">
        <f t="shared" si="6"/>
        <v>45680</v>
      </c>
    </row>
    <row r="27" spans="2:20" ht="19.25" hidden="1" customHeight="1" outlineLevel="1">
      <c r="B27" s="520">
        <f t="shared" si="5"/>
        <v>45681</v>
      </c>
      <c r="C27" s="233">
        <f t="shared" si="1"/>
        <v>45681</v>
      </c>
      <c r="D27" s="234">
        <f>目標_2025R7!D44</f>
        <v>1</v>
      </c>
      <c r="E27" s="525">
        <f>IF(D27=1,'適正原価率表(仕入れお小遣い制度)'!$J$4,0)</f>
        <v>58436.781975398626</v>
      </c>
      <c r="F27" s="525">
        <f>IF(D27=1,SUM($E$4:E27),0)</f>
        <v>934988.51160637836</v>
      </c>
      <c r="G27" s="525">
        <v>95456</v>
      </c>
      <c r="H27" s="525">
        <f>IF(D27=1,SUM($G$4:G27),0)</f>
        <v>1280029</v>
      </c>
      <c r="I27" s="235">
        <f t="shared" si="2"/>
        <v>-345040.48839362164</v>
      </c>
      <c r="J27" s="227"/>
      <c r="K27" s="520">
        <v>45681</v>
      </c>
      <c r="L27" s="521">
        <f t="shared" si="3"/>
        <v>45681</v>
      </c>
      <c r="M27" s="524">
        <f t="shared" si="4"/>
        <v>1</v>
      </c>
      <c r="N27" s="525">
        <f>IF(M27=1,'適正原価率表(仕入れお小遣い制度)'!$J$5,0)</f>
        <v>14094.776928681618</v>
      </c>
      <c r="O27" s="525">
        <f>IF(M27=1,SUM($N$4:N27),0)</f>
        <v>225516.43085890589</v>
      </c>
      <c r="P27" s="535">
        <v>19420</v>
      </c>
      <c r="Q27" s="525">
        <f>IF(M27=1,SUM($P$4:P27),0)</f>
        <v>284159</v>
      </c>
      <c r="R27" s="235">
        <f t="shared" si="0"/>
        <v>-58642.569141094107</v>
      </c>
      <c r="T27" s="526">
        <f t="shared" si="6"/>
        <v>45681</v>
      </c>
    </row>
    <row r="28" spans="2:20" ht="19.25" hidden="1" customHeight="1" outlineLevel="1">
      <c r="B28" s="520">
        <f t="shared" si="5"/>
        <v>45682</v>
      </c>
      <c r="C28" s="233">
        <f t="shared" si="1"/>
        <v>45682</v>
      </c>
      <c r="D28" s="234">
        <f>目標_2025R7!D45</f>
        <v>1</v>
      </c>
      <c r="E28" s="525">
        <f>IF(D28=1,'適正原価率表(仕入れお小遣い制度)'!$J$4,0)</f>
        <v>58436.781975398626</v>
      </c>
      <c r="F28" s="525">
        <f>IF(D28=1,SUM($E$4:E28),0)</f>
        <v>993425.29358177702</v>
      </c>
      <c r="G28" s="525">
        <v>9976</v>
      </c>
      <c r="H28" s="525">
        <f>IF(D28=1,SUM($G$4:G28),0)</f>
        <v>1290005</v>
      </c>
      <c r="I28" s="235">
        <f t="shared" si="2"/>
        <v>-296579.70641822298</v>
      </c>
      <c r="J28" s="227"/>
      <c r="K28" s="520">
        <v>45682</v>
      </c>
      <c r="L28" s="521">
        <f t="shared" si="3"/>
        <v>45682</v>
      </c>
      <c r="M28" s="524">
        <f t="shared" si="4"/>
        <v>1</v>
      </c>
      <c r="N28" s="525">
        <f>IF(M28=1,'適正原価率表(仕入れお小遣い制度)'!$J$5,0)</f>
        <v>14094.776928681618</v>
      </c>
      <c r="O28" s="525">
        <f>IF(M28=1,SUM($N$4:N28),0)</f>
        <v>239611.20778758751</v>
      </c>
      <c r="P28" s="535">
        <v>0</v>
      </c>
      <c r="Q28" s="525">
        <f>IF(M28=1,SUM($P$4:P28),0)</f>
        <v>284159</v>
      </c>
      <c r="R28" s="235">
        <f t="shared" si="0"/>
        <v>-44547.792212412489</v>
      </c>
      <c r="T28" s="526">
        <f t="shared" si="6"/>
        <v>45682</v>
      </c>
    </row>
    <row r="29" spans="2:20" ht="19.25" hidden="1" customHeight="1" outlineLevel="1">
      <c r="B29" s="520">
        <f t="shared" si="5"/>
        <v>45683</v>
      </c>
      <c r="C29" s="233">
        <f t="shared" si="1"/>
        <v>45683</v>
      </c>
      <c r="D29" s="234">
        <f>目標_2025R7!D46</f>
        <v>0</v>
      </c>
      <c r="E29" s="525">
        <f>IF(D29=1,'適正原価率表(仕入れお小遣い制度)'!$J$4,0)</f>
        <v>0</v>
      </c>
      <c r="F29" s="525">
        <f>IF(D29=1,SUM($E$4:E29),0)</f>
        <v>0</v>
      </c>
      <c r="G29" s="525">
        <v>0</v>
      </c>
      <c r="H29" s="525">
        <f>IF(D29=1,SUM($G$4:G29),0)</f>
        <v>0</v>
      </c>
      <c r="I29" s="235">
        <f t="shared" si="2"/>
        <v>0</v>
      </c>
      <c r="J29" s="227"/>
      <c r="K29" s="520">
        <v>45683</v>
      </c>
      <c r="L29" s="521">
        <f t="shared" si="3"/>
        <v>45683</v>
      </c>
      <c r="M29" s="524">
        <f t="shared" si="4"/>
        <v>0</v>
      </c>
      <c r="N29" s="525">
        <f>IF(M29=1,'適正原価率表(仕入れお小遣い制度)'!$J$5,0)</f>
        <v>0</v>
      </c>
      <c r="O29" s="525">
        <f>IF(M29=1,SUM($N$4:N29),0)</f>
        <v>0</v>
      </c>
      <c r="P29" s="535">
        <v>0</v>
      </c>
      <c r="Q29" s="525">
        <f>IF(M29=1,SUM($P$4:P29),0)</f>
        <v>0</v>
      </c>
      <c r="R29" s="235">
        <f t="shared" si="0"/>
        <v>0</v>
      </c>
      <c r="T29" s="526">
        <f t="shared" si="6"/>
        <v>45683</v>
      </c>
    </row>
    <row r="30" spans="2:20" ht="19.25" hidden="1" customHeight="1" outlineLevel="1">
      <c r="B30" s="520">
        <f t="shared" si="5"/>
        <v>45684</v>
      </c>
      <c r="C30" s="233">
        <f t="shared" si="1"/>
        <v>45684</v>
      </c>
      <c r="D30" s="234">
        <f>目標_2025R7!D47</f>
        <v>1</v>
      </c>
      <c r="E30" s="525">
        <f>IF(D30=1,'適正原価率表(仕入れお小遣い制度)'!$J$4,0)</f>
        <v>58436.781975398626</v>
      </c>
      <c r="F30" s="525">
        <f>IF(D30=1,SUM($E$4:E30),0)</f>
        <v>1051862.0755571756</v>
      </c>
      <c r="G30" s="525">
        <v>73878</v>
      </c>
      <c r="H30" s="525">
        <f>IF(D30=1,SUM($G$4:G30),0)</f>
        <v>1363883</v>
      </c>
      <c r="I30" s="235">
        <f t="shared" si="2"/>
        <v>-312020.92444282444</v>
      </c>
      <c r="J30" s="227"/>
      <c r="K30" s="520">
        <v>45684</v>
      </c>
      <c r="L30" s="521">
        <f t="shared" si="3"/>
        <v>45684</v>
      </c>
      <c r="M30" s="524">
        <f t="shared" si="4"/>
        <v>1</v>
      </c>
      <c r="N30" s="525">
        <f>IF(M30=1,'適正原価率表(仕入れお小遣い制度)'!$J$5,0)</f>
        <v>14094.776928681618</v>
      </c>
      <c r="O30" s="525">
        <f>IF(M30=1,SUM($N$4:N30),0)</f>
        <v>253705.98471626913</v>
      </c>
      <c r="P30" s="535">
        <v>43172</v>
      </c>
      <c r="Q30" s="525">
        <f>IF(M30=1,SUM($P$4:P30),0)</f>
        <v>327331</v>
      </c>
      <c r="R30" s="235">
        <f t="shared" si="0"/>
        <v>-73625.015283730871</v>
      </c>
      <c r="T30" s="526">
        <f t="shared" si="6"/>
        <v>45684</v>
      </c>
    </row>
    <row r="31" spans="2:20" ht="19.25" hidden="1" customHeight="1" outlineLevel="1">
      <c r="B31" s="520">
        <f t="shared" si="5"/>
        <v>45685</v>
      </c>
      <c r="C31" s="233">
        <f t="shared" si="1"/>
        <v>45685</v>
      </c>
      <c r="D31" s="234">
        <f>目標_2025R7!D48</f>
        <v>1</v>
      </c>
      <c r="E31" s="525">
        <f>IF(D31=1,'適正原価率表(仕入れお小遣い制度)'!$J$4,0)</f>
        <v>58436.781975398626</v>
      </c>
      <c r="F31" s="525">
        <f>IF(D31=1,SUM($E$4:E31),0)</f>
        <v>1110298.8575325741</v>
      </c>
      <c r="G31" s="525">
        <v>84823</v>
      </c>
      <c r="H31" s="525">
        <f>IF(D31=1,SUM($G$4:G31),0)</f>
        <v>1448706</v>
      </c>
      <c r="I31" s="235">
        <f t="shared" si="2"/>
        <v>-338407.1424674259</v>
      </c>
      <c r="J31" s="227"/>
      <c r="K31" s="520">
        <v>45685</v>
      </c>
      <c r="L31" s="521">
        <f t="shared" si="3"/>
        <v>45685</v>
      </c>
      <c r="M31" s="524">
        <f t="shared" si="4"/>
        <v>1</v>
      </c>
      <c r="N31" s="525">
        <f>IF(M31=1,'適正原価率表(仕入れお小遣い制度)'!$J$5,0)</f>
        <v>14094.776928681618</v>
      </c>
      <c r="O31" s="525">
        <f>IF(M31=1,SUM($N$4:N31),0)</f>
        <v>267800.76164495072</v>
      </c>
      <c r="P31" s="535">
        <v>37722</v>
      </c>
      <c r="Q31" s="525">
        <f>IF(M31=1,SUM($P$4:P31),0)</f>
        <v>365053</v>
      </c>
      <c r="R31" s="235">
        <f t="shared" si="0"/>
        <v>-97252.238355049281</v>
      </c>
      <c r="T31" s="526">
        <f t="shared" si="6"/>
        <v>45685</v>
      </c>
    </row>
    <row r="32" spans="2:20" ht="19.25" hidden="1" customHeight="1" outlineLevel="1">
      <c r="B32" s="520">
        <f t="shared" si="5"/>
        <v>45686</v>
      </c>
      <c r="C32" s="233">
        <f t="shared" si="1"/>
        <v>45686</v>
      </c>
      <c r="D32" s="234">
        <f>目標_2025R7!D49</f>
        <v>1</v>
      </c>
      <c r="E32" s="525">
        <f>IF(D32=1,'適正原価率表(仕入れお小遣い制度)'!$J$4,0)</f>
        <v>58436.781975398626</v>
      </c>
      <c r="F32" s="525">
        <f>IF(D32=1,SUM($E$4:E32),0)</f>
        <v>1168735.6395079726</v>
      </c>
      <c r="G32" s="525">
        <v>23996</v>
      </c>
      <c r="H32" s="525">
        <f>IF(D32=1,SUM($G$4:G32),0)</f>
        <v>1472702</v>
      </c>
      <c r="I32" s="235">
        <f t="shared" si="2"/>
        <v>-303966.36049202736</v>
      </c>
      <c r="J32" s="227"/>
      <c r="K32" s="520">
        <v>45686</v>
      </c>
      <c r="L32" s="521">
        <f t="shared" si="3"/>
        <v>45686</v>
      </c>
      <c r="M32" s="524">
        <f t="shared" si="4"/>
        <v>1</v>
      </c>
      <c r="N32" s="525">
        <f>IF(M32=1,'適正原価率表(仕入れお小遣い制度)'!$J$5,0)</f>
        <v>14094.776928681618</v>
      </c>
      <c r="O32" s="525">
        <f>IF(M32=1,SUM($N$4:N32),0)</f>
        <v>281895.53857363237</v>
      </c>
      <c r="P32" s="535">
        <v>1578</v>
      </c>
      <c r="Q32" s="525">
        <f>IF(M32=1,SUM($P$4:P32),0)</f>
        <v>366631</v>
      </c>
      <c r="R32" s="235">
        <f t="shared" si="0"/>
        <v>-84735.461426367634</v>
      </c>
      <c r="T32" s="526">
        <f t="shared" si="6"/>
        <v>45686</v>
      </c>
    </row>
    <row r="33" spans="2:20" ht="19.25" hidden="1" customHeight="1" outlineLevel="1">
      <c r="B33" s="520">
        <f t="shared" si="5"/>
        <v>45687</v>
      </c>
      <c r="C33" s="233">
        <f t="shared" si="1"/>
        <v>45687</v>
      </c>
      <c r="D33" s="234">
        <f>目標_2025R7!D50</f>
        <v>1</v>
      </c>
      <c r="E33" s="525">
        <f>IF(D33=1,'適正原価率表(仕入れお小遣い制度)'!$J$4,0)</f>
        <v>58436.781975398626</v>
      </c>
      <c r="F33" s="525">
        <f>IF(D33=1,SUM($E$4:E33),0)</f>
        <v>1227172.4214833712</v>
      </c>
      <c r="G33" s="525">
        <v>122070</v>
      </c>
      <c r="H33" s="525">
        <f>IF(D33=1,SUM($G$4:G33),0)</f>
        <v>1594772</v>
      </c>
      <c r="I33" s="235">
        <f t="shared" si="2"/>
        <v>-367599.57851662883</v>
      </c>
      <c r="J33" s="227"/>
      <c r="K33" s="520">
        <v>45687</v>
      </c>
      <c r="L33" s="521">
        <f t="shared" si="3"/>
        <v>45687</v>
      </c>
      <c r="M33" s="524">
        <f t="shared" si="4"/>
        <v>1</v>
      </c>
      <c r="N33" s="525">
        <f>IF(M33=1,'適正原価率表(仕入れお小遣い制度)'!$J$5,0)</f>
        <v>14094.776928681618</v>
      </c>
      <c r="O33" s="525">
        <f>IF(M33=1,SUM($N$4:N33),0)</f>
        <v>295990.31550231401</v>
      </c>
      <c r="P33" s="535">
        <v>40592</v>
      </c>
      <c r="Q33" s="525">
        <f>IF(M33=1,SUM($P$4:P33),0)</f>
        <v>407223</v>
      </c>
      <c r="R33" s="235">
        <f t="shared" si="0"/>
        <v>-111232.68449768599</v>
      </c>
      <c r="T33" s="526">
        <f t="shared" si="6"/>
        <v>45687</v>
      </c>
    </row>
    <row r="34" spans="2:20" ht="19.25" hidden="1" customHeight="1" outlineLevel="1">
      <c r="B34" s="520">
        <f t="shared" si="5"/>
        <v>45688</v>
      </c>
      <c r="C34" s="233">
        <f t="shared" si="1"/>
        <v>45688</v>
      </c>
      <c r="D34" s="234">
        <f>目標_2025R7!D51</f>
        <v>1</v>
      </c>
      <c r="E34" s="525">
        <f>IF(D34=1,'適正原価率表(仕入れお小遣い制度)'!$J$4,0)</f>
        <v>58436.781975398626</v>
      </c>
      <c r="F34" s="525">
        <f>IF(D34=1,SUM($E$4:E34),0)</f>
        <v>1285609.2034587697</v>
      </c>
      <c r="G34" s="525">
        <v>84225</v>
      </c>
      <c r="H34" s="525">
        <f>IF(D34=1,SUM($G$4:G34),0)</f>
        <v>1678997</v>
      </c>
      <c r="I34" s="235">
        <f t="shared" si="2"/>
        <v>-393387.79654123029</v>
      </c>
      <c r="J34" s="227"/>
      <c r="K34" s="520">
        <v>45688</v>
      </c>
      <c r="L34" s="521">
        <f t="shared" si="3"/>
        <v>45688</v>
      </c>
      <c r="M34" s="524">
        <f t="shared" si="4"/>
        <v>1</v>
      </c>
      <c r="N34" s="525">
        <f>IF(M34=1,'適正原価率表(仕入れお小遣い制度)'!$J$5,0)</f>
        <v>14094.776928681618</v>
      </c>
      <c r="O34" s="525">
        <f>IF(M34=1,SUM($N$4:N34),0)</f>
        <v>310085.09243099566</v>
      </c>
      <c r="P34" s="535">
        <v>12688</v>
      </c>
      <c r="Q34" s="525">
        <f>IF(M34=1,SUM($P$4:P34),0)</f>
        <v>419911</v>
      </c>
      <c r="R34" s="235">
        <f t="shared" si="0"/>
        <v>-109825.90756900434</v>
      </c>
      <c r="T34" s="526">
        <f t="shared" si="6"/>
        <v>45688</v>
      </c>
    </row>
    <row r="35" spans="2:20" ht="19.25" hidden="1" customHeight="1" outlineLevel="1">
      <c r="B35" s="860" t="s">
        <v>211</v>
      </c>
      <c r="C35" s="861"/>
      <c r="D35" s="862"/>
      <c r="E35" s="528">
        <f>SUM(E4:E34)</f>
        <v>1285609.2034587697</v>
      </c>
      <c r="F35" s="514"/>
      <c r="G35" s="515"/>
      <c r="H35" s="515"/>
      <c r="I35" s="515"/>
      <c r="J35" s="227"/>
      <c r="K35" s="860" t="s">
        <v>211</v>
      </c>
      <c r="L35" s="861"/>
      <c r="M35" s="862"/>
      <c r="N35" s="528">
        <f>SUM(N4:N34)</f>
        <v>310085.09243099566</v>
      </c>
      <c r="O35" s="514"/>
      <c r="P35" s="515"/>
      <c r="Q35" s="515"/>
      <c r="R35" s="515"/>
    </row>
    <row r="36" spans="2:20" ht="19.25" customHeight="1" collapsed="1">
      <c r="B36" s="519"/>
      <c r="C36" s="519"/>
      <c r="D36" s="519"/>
      <c r="E36" s="519"/>
      <c r="F36" s="519"/>
      <c r="G36" s="519"/>
      <c r="H36" s="519"/>
      <c r="I36" s="519"/>
      <c r="J36" s="227"/>
      <c r="K36" s="519"/>
      <c r="L36" s="519"/>
      <c r="M36" s="519"/>
      <c r="N36" s="519"/>
      <c r="O36" s="519"/>
      <c r="P36" s="519"/>
      <c r="Q36" s="519"/>
      <c r="R36" s="519"/>
    </row>
    <row r="37" spans="2:20" s="231" customFormat="1">
      <c r="B37" s="855" t="s">
        <v>206</v>
      </c>
      <c r="C37" s="856"/>
      <c r="D37" s="857"/>
      <c r="E37" s="516" t="s">
        <v>129</v>
      </c>
      <c r="F37" s="517" t="s">
        <v>130</v>
      </c>
      <c r="G37" s="517" t="s">
        <v>131</v>
      </c>
      <c r="H37" s="517" t="s">
        <v>132</v>
      </c>
      <c r="I37" s="518" t="s">
        <v>133</v>
      </c>
      <c r="J37" s="230"/>
      <c r="K37" s="858" t="str">
        <f>B37</f>
        <v>2月</v>
      </c>
      <c r="L37" s="858"/>
      <c r="M37" s="858"/>
      <c r="N37" s="516" t="s">
        <v>134</v>
      </c>
      <c r="O37" s="517" t="s">
        <v>135</v>
      </c>
      <c r="P37" s="517" t="s">
        <v>136</v>
      </c>
      <c r="Q37" s="517" t="s">
        <v>137</v>
      </c>
      <c r="R37" s="517" t="s">
        <v>133</v>
      </c>
    </row>
    <row r="38" spans="2:20" ht="19.25" hidden="1" customHeight="1" outlineLevel="1">
      <c r="B38" s="520">
        <f>B34+1</f>
        <v>45689</v>
      </c>
      <c r="C38" s="233">
        <f>B38</f>
        <v>45689</v>
      </c>
      <c r="D38" s="234">
        <f>目標_2025R7!D52</f>
        <v>1</v>
      </c>
      <c r="E38" s="525">
        <f>IF(D38=1,'適正原価率表(仕入れお小遣い制度)'!$J$6,0)</f>
        <v>48522.878521198087</v>
      </c>
      <c r="F38" s="525">
        <f>IF(D38=1,E38,0)</f>
        <v>48522.878521198087</v>
      </c>
      <c r="G38" s="535">
        <v>21248</v>
      </c>
      <c r="H38" s="525">
        <f>IF(D38=1,G38,0)</f>
        <v>21248</v>
      </c>
      <c r="I38" s="235">
        <f>IF(D38=1,F38-H38,0)</f>
        <v>27274.878521198087</v>
      </c>
      <c r="J38" s="227"/>
      <c r="K38" s="520">
        <f>B38</f>
        <v>45689</v>
      </c>
      <c r="L38" s="521">
        <f>C38</f>
        <v>45689</v>
      </c>
      <c r="M38" s="524">
        <f t="shared" ref="M38:M65" si="7">D38</f>
        <v>1</v>
      </c>
      <c r="N38" s="525">
        <f>IF(M38=1,'適正原価率表(仕入れお小遣い制度)'!$J$7,0)</f>
        <v>11861.940634990753</v>
      </c>
      <c r="O38" s="525">
        <f>IF(M38=1,N38,0)</f>
        <v>11861.940634990753</v>
      </c>
      <c r="P38" s="535">
        <v>17316</v>
      </c>
      <c r="Q38" s="525">
        <f>IF(M38=1,P38,0)</f>
        <v>17316</v>
      </c>
      <c r="R38" s="235">
        <f t="shared" ref="R38:R65" si="8">IF(D38=1,O38-Q38,0)</f>
        <v>-5454.0593650092469</v>
      </c>
      <c r="T38" s="526">
        <f>T34+1</f>
        <v>45689</v>
      </c>
    </row>
    <row r="39" spans="2:20" ht="19.25" hidden="1" customHeight="1" outlineLevel="1">
      <c r="B39" s="520">
        <f>B38+1</f>
        <v>45690</v>
      </c>
      <c r="C39" s="233">
        <f t="shared" ref="C39:C65" si="9">B39</f>
        <v>45690</v>
      </c>
      <c r="D39" s="234">
        <f>目標_2025R7!D53</f>
        <v>0</v>
      </c>
      <c r="E39" s="525">
        <f>IF(D39=1,'適正原価率表(仕入れお小遣い制度)'!$J$6,0)</f>
        <v>0</v>
      </c>
      <c r="F39" s="525">
        <f>IF(D39=1,SUM($E$38:E39),0)</f>
        <v>0</v>
      </c>
      <c r="G39" s="535">
        <v>0</v>
      </c>
      <c r="H39" s="525">
        <f>IF(D39=1,SUM($G$38:G39),0)</f>
        <v>0</v>
      </c>
      <c r="I39" s="235">
        <f>IF(D39=1,F39-H39,0)</f>
        <v>0</v>
      </c>
      <c r="J39" s="227"/>
      <c r="K39" s="520">
        <f t="shared" ref="K39:K54" si="10">B39</f>
        <v>45690</v>
      </c>
      <c r="L39" s="521">
        <f t="shared" ref="L39:L54" si="11">C39</f>
        <v>45690</v>
      </c>
      <c r="M39" s="524">
        <f t="shared" si="7"/>
        <v>0</v>
      </c>
      <c r="N39" s="525">
        <f>IF(M39=1,'適正原価率表(仕入れお小遣い制度)'!$J$7,0)</f>
        <v>0</v>
      </c>
      <c r="O39" s="525">
        <f>IF(M39=1,SUM($N$38:N39),0)</f>
        <v>0</v>
      </c>
      <c r="P39" s="535">
        <v>0</v>
      </c>
      <c r="Q39" s="525">
        <f>IF(M39=1,SUM($P$38:P39),0)</f>
        <v>0</v>
      </c>
      <c r="R39" s="235">
        <f t="shared" si="8"/>
        <v>0</v>
      </c>
      <c r="T39" s="526">
        <f>T38+1</f>
        <v>45690</v>
      </c>
    </row>
    <row r="40" spans="2:20" ht="19.25" hidden="1" customHeight="1" outlineLevel="1">
      <c r="B40" s="520">
        <f t="shared" ref="B40:B65" si="12">B39+1</f>
        <v>45691</v>
      </c>
      <c r="C40" s="233">
        <f t="shared" si="9"/>
        <v>45691</v>
      </c>
      <c r="D40" s="234">
        <f>目標_2025R7!D54</f>
        <v>1</v>
      </c>
      <c r="E40" s="525">
        <f>IF(D40=1,'適正原価率表(仕入れお小遣い制度)'!$J$6,0)</f>
        <v>48522.878521198087</v>
      </c>
      <c r="F40" s="525">
        <f>IF(D40=1,SUM($E$38:E40),0)</f>
        <v>97045.757042396173</v>
      </c>
      <c r="G40" s="535">
        <v>118926</v>
      </c>
      <c r="H40" s="525">
        <f>IF(D40=1,SUM($G$38:G40),0)</f>
        <v>140174</v>
      </c>
      <c r="I40" s="235">
        <f t="shared" ref="I40:I65" si="13">IF(D40=1,F40-H40,0)</f>
        <v>-43128.242957603827</v>
      </c>
      <c r="J40" s="227"/>
      <c r="K40" s="520">
        <f t="shared" si="10"/>
        <v>45691</v>
      </c>
      <c r="L40" s="521">
        <f t="shared" si="11"/>
        <v>45691</v>
      </c>
      <c r="M40" s="524">
        <f t="shared" si="7"/>
        <v>1</v>
      </c>
      <c r="N40" s="525">
        <f>IF(M40=1,'適正原価率表(仕入れお小遣い制度)'!$J$7,0)</f>
        <v>11861.940634990753</v>
      </c>
      <c r="O40" s="525">
        <f>IF(M40=1,SUM($N$38:N40),0)</f>
        <v>23723.881269981506</v>
      </c>
      <c r="P40" s="535">
        <v>24143</v>
      </c>
      <c r="Q40" s="525">
        <f>IF(M40=1,SUM($P$38:P40),0)</f>
        <v>41459</v>
      </c>
      <c r="R40" s="235">
        <f t="shared" si="8"/>
        <v>-17735.118730018494</v>
      </c>
      <c r="T40" s="526">
        <f t="shared" ref="T40:T65" si="14">T39+1</f>
        <v>45691</v>
      </c>
    </row>
    <row r="41" spans="2:20" ht="19.25" hidden="1" customHeight="1" outlineLevel="1">
      <c r="B41" s="520">
        <f t="shared" si="12"/>
        <v>45692</v>
      </c>
      <c r="C41" s="233">
        <f t="shared" si="9"/>
        <v>45692</v>
      </c>
      <c r="D41" s="234">
        <f>目標_2025R7!D55</f>
        <v>1</v>
      </c>
      <c r="E41" s="525">
        <f>IF(D41=1,'適正原価率表(仕入れお小遣い制度)'!$J$6,0)</f>
        <v>48522.878521198087</v>
      </c>
      <c r="F41" s="525">
        <f>IF(D41=1,SUM($E$38:E41),0)</f>
        <v>145568.63556359426</v>
      </c>
      <c r="G41" s="535">
        <v>65613</v>
      </c>
      <c r="H41" s="525">
        <f>IF(D41=1,SUM($G$38:G41),0)</f>
        <v>205787</v>
      </c>
      <c r="I41" s="235">
        <f t="shared" si="13"/>
        <v>-60218.36443640574</v>
      </c>
      <c r="J41" s="227"/>
      <c r="K41" s="520">
        <f t="shared" si="10"/>
        <v>45692</v>
      </c>
      <c r="L41" s="521">
        <f t="shared" si="11"/>
        <v>45692</v>
      </c>
      <c r="M41" s="524">
        <f t="shared" si="7"/>
        <v>1</v>
      </c>
      <c r="N41" s="525">
        <f>IF(M41=1,'適正原価率表(仕入れお小遣い制度)'!$J$7,0)</f>
        <v>11861.940634990753</v>
      </c>
      <c r="O41" s="525">
        <f>IF(M41=1,SUM($N$38:N41),0)</f>
        <v>35585.821904972261</v>
      </c>
      <c r="P41" s="535">
        <v>0</v>
      </c>
      <c r="Q41" s="525">
        <f>IF(M41=1,SUM($P$38:P41),0)</f>
        <v>41459</v>
      </c>
      <c r="R41" s="235">
        <f t="shared" si="8"/>
        <v>-5873.1780950277389</v>
      </c>
      <c r="T41" s="526">
        <f t="shared" si="14"/>
        <v>45692</v>
      </c>
    </row>
    <row r="42" spans="2:20" ht="19.25" hidden="1" customHeight="1" outlineLevel="1">
      <c r="B42" s="520">
        <f t="shared" si="12"/>
        <v>45693</v>
      </c>
      <c r="C42" s="233">
        <f t="shared" si="9"/>
        <v>45693</v>
      </c>
      <c r="D42" s="234">
        <f>目標_2025R7!D56</f>
        <v>1</v>
      </c>
      <c r="E42" s="525">
        <f>IF(D42=1,'適正原価率表(仕入れお小遣い制度)'!$J$6,0)</f>
        <v>48522.878521198087</v>
      </c>
      <c r="F42" s="525">
        <f>IF(D42=1,SUM($E$38:E42),0)</f>
        <v>194091.51408479235</v>
      </c>
      <c r="G42" s="535">
        <v>42601</v>
      </c>
      <c r="H42" s="525">
        <f>IF(D42=1,SUM($G$38:G42),0)</f>
        <v>248388</v>
      </c>
      <c r="I42" s="235">
        <f t="shared" si="13"/>
        <v>-54296.485915207653</v>
      </c>
      <c r="J42" s="227"/>
      <c r="K42" s="520">
        <f t="shared" si="10"/>
        <v>45693</v>
      </c>
      <c r="L42" s="521">
        <f t="shared" si="11"/>
        <v>45693</v>
      </c>
      <c r="M42" s="524">
        <f t="shared" si="7"/>
        <v>1</v>
      </c>
      <c r="N42" s="525">
        <f>IF(M42=1,'適正原価率表(仕入れお小遣い制度)'!$J$7,0)</f>
        <v>11861.940634990753</v>
      </c>
      <c r="O42" s="525">
        <f>IF(M42=1,SUM($N$38:N42),0)</f>
        <v>47447.762539963012</v>
      </c>
      <c r="P42" s="535">
        <v>34835</v>
      </c>
      <c r="Q42" s="525">
        <f>IF(M42=1,SUM($P$38:P42),0)</f>
        <v>76294</v>
      </c>
      <c r="R42" s="235">
        <f t="shared" si="8"/>
        <v>-28846.237460036988</v>
      </c>
      <c r="T42" s="526">
        <f t="shared" si="14"/>
        <v>45693</v>
      </c>
    </row>
    <row r="43" spans="2:20" ht="19.25" hidden="1" customHeight="1" outlineLevel="1">
      <c r="B43" s="520">
        <f t="shared" si="12"/>
        <v>45694</v>
      </c>
      <c r="C43" s="233">
        <f t="shared" si="9"/>
        <v>45694</v>
      </c>
      <c r="D43" s="234">
        <f>目標_2025R7!D57</f>
        <v>1</v>
      </c>
      <c r="E43" s="525">
        <f>IF(D43=1,'適正原価率表(仕入れお小遣い制度)'!$J$6,0)</f>
        <v>48522.878521198087</v>
      </c>
      <c r="F43" s="525">
        <f>IF(D43=1,SUM($E$38:E43),0)</f>
        <v>242614.39260599043</v>
      </c>
      <c r="G43" s="535">
        <v>100489</v>
      </c>
      <c r="H43" s="525">
        <f>IF(D43=1,SUM($G$38:G43),0)</f>
        <v>348877</v>
      </c>
      <c r="I43" s="235">
        <f t="shared" si="13"/>
        <v>-106262.60739400957</v>
      </c>
      <c r="J43" s="227"/>
      <c r="K43" s="520">
        <f t="shared" si="10"/>
        <v>45694</v>
      </c>
      <c r="L43" s="521">
        <f t="shared" si="11"/>
        <v>45694</v>
      </c>
      <c r="M43" s="524">
        <f t="shared" si="7"/>
        <v>1</v>
      </c>
      <c r="N43" s="525">
        <f>IF(M43=1,'適正原価率表(仕入れお小遣い制度)'!$J$7,0)</f>
        <v>11861.940634990753</v>
      </c>
      <c r="O43" s="525">
        <f>IF(M43=1,SUM($N$38:N43),0)</f>
        <v>59309.703174953764</v>
      </c>
      <c r="P43" s="535">
        <v>14450</v>
      </c>
      <c r="Q43" s="525">
        <f>IF(M43=1,SUM($P$38:P43),0)</f>
        <v>90744</v>
      </c>
      <c r="R43" s="235">
        <f t="shared" si="8"/>
        <v>-31434.296825046236</v>
      </c>
      <c r="T43" s="526">
        <f t="shared" si="14"/>
        <v>45694</v>
      </c>
    </row>
    <row r="44" spans="2:20" ht="19.25" hidden="1" customHeight="1" outlineLevel="1">
      <c r="B44" s="520">
        <f t="shared" si="12"/>
        <v>45695</v>
      </c>
      <c r="C44" s="233">
        <f t="shared" si="9"/>
        <v>45695</v>
      </c>
      <c r="D44" s="234">
        <f>目標_2025R7!D58</f>
        <v>1</v>
      </c>
      <c r="E44" s="525">
        <f>IF(D44=1,'適正原価率表(仕入れお小遣い制度)'!$J$6,0)</f>
        <v>48522.878521198087</v>
      </c>
      <c r="F44" s="525">
        <f>IF(D44=1,SUM($E$38:E44),0)</f>
        <v>291137.27112718852</v>
      </c>
      <c r="G44" s="535">
        <v>62510</v>
      </c>
      <c r="H44" s="525">
        <f>IF(D44=1,SUM($G$38:G44),0)</f>
        <v>411387</v>
      </c>
      <c r="I44" s="235">
        <f t="shared" si="13"/>
        <v>-120249.72887281148</v>
      </c>
      <c r="J44" s="227"/>
      <c r="K44" s="520">
        <f t="shared" si="10"/>
        <v>45695</v>
      </c>
      <c r="L44" s="521">
        <f t="shared" si="11"/>
        <v>45695</v>
      </c>
      <c r="M44" s="524">
        <f t="shared" si="7"/>
        <v>1</v>
      </c>
      <c r="N44" s="525">
        <f>IF(M44=1,'適正原価率表(仕入れお小遣い制度)'!$J$7,0)</f>
        <v>11861.940634990753</v>
      </c>
      <c r="O44" s="525">
        <f>IF(M44=1,SUM($N$38:N44),0)</f>
        <v>71171.643809944522</v>
      </c>
      <c r="P44" s="535">
        <v>24225</v>
      </c>
      <c r="Q44" s="525">
        <f>IF(M44=1,SUM($P$38:P44),0)</f>
        <v>114969</v>
      </c>
      <c r="R44" s="235">
        <f t="shared" si="8"/>
        <v>-43797.356190055478</v>
      </c>
      <c r="T44" s="526">
        <f t="shared" si="14"/>
        <v>45695</v>
      </c>
    </row>
    <row r="45" spans="2:20" ht="19.25" hidden="1" customHeight="1" outlineLevel="1">
      <c r="B45" s="520">
        <f t="shared" si="12"/>
        <v>45696</v>
      </c>
      <c r="C45" s="233">
        <f t="shared" si="9"/>
        <v>45696</v>
      </c>
      <c r="D45" s="234">
        <f>目標_2025R7!D59</f>
        <v>1</v>
      </c>
      <c r="E45" s="525">
        <f>IF(D45=1,'適正原価率表(仕入れお小遣い制度)'!$J$6,0)</f>
        <v>48522.878521198087</v>
      </c>
      <c r="F45" s="525">
        <f>IF(D45=1,SUM($E$38:E45),0)</f>
        <v>339660.14964838664</v>
      </c>
      <c r="G45" s="535">
        <v>39003</v>
      </c>
      <c r="H45" s="525">
        <f>IF(D45=1,SUM($G$38:G45),0)</f>
        <v>450390</v>
      </c>
      <c r="I45" s="235">
        <f t="shared" si="13"/>
        <v>-110729.85035161336</v>
      </c>
      <c r="J45" s="227"/>
      <c r="K45" s="520">
        <f t="shared" si="10"/>
        <v>45696</v>
      </c>
      <c r="L45" s="521">
        <f t="shared" si="11"/>
        <v>45696</v>
      </c>
      <c r="M45" s="524">
        <f t="shared" si="7"/>
        <v>1</v>
      </c>
      <c r="N45" s="525">
        <f>IF(M45=1,'適正原価率表(仕入れお小遣い制度)'!$J$7,0)</f>
        <v>11861.940634990753</v>
      </c>
      <c r="O45" s="525">
        <f>IF(M45=1,SUM($N$38:N45),0)</f>
        <v>83033.584444935273</v>
      </c>
      <c r="P45" s="535">
        <v>82320</v>
      </c>
      <c r="Q45" s="525">
        <f>IF(M45=1,SUM($P$38:P45),0)</f>
        <v>197289</v>
      </c>
      <c r="R45" s="235">
        <f t="shared" si="8"/>
        <v>-114255.41555506473</v>
      </c>
      <c r="T45" s="526">
        <f t="shared" si="14"/>
        <v>45696</v>
      </c>
    </row>
    <row r="46" spans="2:20" ht="19.25" hidden="1" customHeight="1" outlineLevel="1">
      <c r="B46" s="520">
        <f t="shared" si="12"/>
        <v>45697</v>
      </c>
      <c r="C46" s="233">
        <f t="shared" si="9"/>
        <v>45697</v>
      </c>
      <c r="D46" s="234">
        <f>目標_2025R7!D60</f>
        <v>0</v>
      </c>
      <c r="E46" s="525">
        <f>IF(D46=1,'適正原価率表(仕入れお小遣い制度)'!$J$6,0)</f>
        <v>0</v>
      </c>
      <c r="F46" s="525">
        <f>IF(D46=1,SUM($E$38:E46),0)</f>
        <v>0</v>
      </c>
      <c r="G46" s="535">
        <v>0</v>
      </c>
      <c r="H46" s="525">
        <f>IF(D46=1,SUM($G$38:G46),0)</f>
        <v>0</v>
      </c>
      <c r="I46" s="235">
        <f t="shared" si="13"/>
        <v>0</v>
      </c>
      <c r="J46" s="227"/>
      <c r="K46" s="520">
        <f t="shared" si="10"/>
        <v>45697</v>
      </c>
      <c r="L46" s="521">
        <f t="shared" si="11"/>
        <v>45697</v>
      </c>
      <c r="M46" s="524">
        <f t="shared" si="7"/>
        <v>0</v>
      </c>
      <c r="N46" s="525">
        <f>IF(M46=1,'適正原価率表(仕入れお小遣い制度)'!$J$7,0)</f>
        <v>0</v>
      </c>
      <c r="O46" s="525">
        <f>IF(M46=1,SUM($N$38:N46),0)</f>
        <v>0</v>
      </c>
      <c r="P46" s="535">
        <v>0</v>
      </c>
      <c r="Q46" s="525">
        <f>IF(M46=1,SUM($P$38:P46),0)</f>
        <v>0</v>
      </c>
      <c r="R46" s="235">
        <f t="shared" si="8"/>
        <v>0</v>
      </c>
      <c r="T46" s="526">
        <f t="shared" si="14"/>
        <v>45697</v>
      </c>
    </row>
    <row r="47" spans="2:20" ht="19.25" hidden="1" customHeight="1" outlineLevel="1">
      <c r="B47" s="520">
        <f t="shared" si="12"/>
        <v>45698</v>
      </c>
      <c r="C47" s="233">
        <f t="shared" si="9"/>
        <v>45698</v>
      </c>
      <c r="D47" s="234">
        <f>目標_2025R7!D61</f>
        <v>1</v>
      </c>
      <c r="E47" s="525">
        <f>IF(D47=1,'適正原価率表(仕入れお小遣い制度)'!$J$6,0)</f>
        <v>48522.878521198087</v>
      </c>
      <c r="F47" s="525">
        <f>IF(D47=1,SUM($E$38:E47),0)</f>
        <v>388183.02816958469</v>
      </c>
      <c r="G47" s="535">
        <v>92453</v>
      </c>
      <c r="H47" s="525">
        <f>IF(D47=1,SUM($G$38:G47),0)</f>
        <v>542843</v>
      </c>
      <c r="I47" s="235">
        <f t="shared" si="13"/>
        <v>-154659.97183041531</v>
      </c>
      <c r="J47" s="227"/>
      <c r="K47" s="520">
        <f t="shared" si="10"/>
        <v>45698</v>
      </c>
      <c r="L47" s="521">
        <f t="shared" si="11"/>
        <v>45698</v>
      </c>
      <c r="M47" s="524">
        <f t="shared" si="7"/>
        <v>1</v>
      </c>
      <c r="N47" s="525">
        <f>IF(M47=1,'適正原価率表(仕入れお小遣い制度)'!$J$7,0)</f>
        <v>11861.940634990753</v>
      </c>
      <c r="O47" s="525">
        <f>IF(M47=1,SUM($N$38:N47),0)</f>
        <v>94895.525079926025</v>
      </c>
      <c r="P47" s="535">
        <v>13584</v>
      </c>
      <c r="Q47" s="525">
        <f>IF(M47=1,SUM($P$38:P47),0)</f>
        <v>210873</v>
      </c>
      <c r="R47" s="235">
        <f t="shared" si="8"/>
        <v>-115977.47492007398</v>
      </c>
      <c r="T47" s="526">
        <f t="shared" si="14"/>
        <v>45698</v>
      </c>
    </row>
    <row r="48" spans="2:20" ht="19.25" hidden="1" customHeight="1" outlineLevel="1">
      <c r="B48" s="520">
        <f t="shared" si="12"/>
        <v>45699</v>
      </c>
      <c r="C48" s="233">
        <f t="shared" si="9"/>
        <v>45699</v>
      </c>
      <c r="D48" s="234">
        <f>目標_2025R7!D62</f>
        <v>0</v>
      </c>
      <c r="E48" s="525">
        <f>IF(D48=1,'適正原価率表(仕入れお小遣い制度)'!$J$6,0)</f>
        <v>0</v>
      </c>
      <c r="F48" s="525">
        <f>IF(D48=1,SUM($E$38:E48),0)</f>
        <v>0</v>
      </c>
      <c r="G48" s="535">
        <v>0</v>
      </c>
      <c r="H48" s="525">
        <f>IF(D48=1,SUM($G$38:G48),0)</f>
        <v>0</v>
      </c>
      <c r="I48" s="235">
        <f t="shared" si="13"/>
        <v>0</v>
      </c>
      <c r="J48" s="227"/>
      <c r="K48" s="520">
        <f t="shared" si="10"/>
        <v>45699</v>
      </c>
      <c r="L48" s="521">
        <f t="shared" si="11"/>
        <v>45699</v>
      </c>
      <c r="M48" s="524">
        <f t="shared" si="7"/>
        <v>0</v>
      </c>
      <c r="N48" s="525">
        <f>IF(M48=1,'適正原価率表(仕入れお小遣い制度)'!$J$7,0)</f>
        <v>0</v>
      </c>
      <c r="O48" s="525">
        <f>IF(M48=1,SUM($N$38:N48),0)</f>
        <v>0</v>
      </c>
      <c r="P48" s="535">
        <v>0</v>
      </c>
      <c r="Q48" s="525">
        <f>IF(M48=1,SUM($P$38:P48),0)</f>
        <v>0</v>
      </c>
      <c r="R48" s="235">
        <f t="shared" si="8"/>
        <v>0</v>
      </c>
      <c r="T48" s="526">
        <f t="shared" si="14"/>
        <v>45699</v>
      </c>
    </row>
    <row r="49" spans="2:20" ht="19.25" hidden="1" customHeight="1" outlineLevel="1">
      <c r="B49" s="520">
        <f t="shared" si="12"/>
        <v>45700</v>
      </c>
      <c r="C49" s="233">
        <f t="shared" si="9"/>
        <v>45700</v>
      </c>
      <c r="D49" s="234">
        <f>目標_2025R7!D63</f>
        <v>1</v>
      </c>
      <c r="E49" s="525">
        <f>IF(D49=1,'適正原価率表(仕入れお小遣い制度)'!$J$6,0)</f>
        <v>48522.878521198087</v>
      </c>
      <c r="F49" s="525">
        <f>IF(D49=1,SUM($E$38:E49),0)</f>
        <v>436705.90669078275</v>
      </c>
      <c r="G49" s="535">
        <v>60266</v>
      </c>
      <c r="H49" s="525">
        <f>IF(D49=1,SUM($G$38:G49),0)</f>
        <v>603109</v>
      </c>
      <c r="I49" s="235">
        <f t="shared" si="13"/>
        <v>-166403.09330921725</v>
      </c>
      <c r="J49" s="227"/>
      <c r="K49" s="520">
        <f t="shared" si="10"/>
        <v>45700</v>
      </c>
      <c r="L49" s="521">
        <f t="shared" si="11"/>
        <v>45700</v>
      </c>
      <c r="M49" s="524">
        <f t="shared" si="7"/>
        <v>1</v>
      </c>
      <c r="N49" s="525">
        <f>IF(M49=1,'適正原価率表(仕入れお小遣い制度)'!$J$7,0)</f>
        <v>11861.940634990753</v>
      </c>
      <c r="O49" s="525">
        <f>IF(M49=1,SUM($N$38:N49),0)</f>
        <v>106757.46571491678</v>
      </c>
      <c r="P49" s="535">
        <v>19800</v>
      </c>
      <c r="Q49" s="525">
        <f>IF(M49=1,SUM($P$38:P49),0)</f>
        <v>230673</v>
      </c>
      <c r="R49" s="235">
        <f t="shared" si="8"/>
        <v>-123915.53428508322</v>
      </c>
      <c r="T49" s="526">
        <f t="shared" si="14"/>
        <v>45700</v>
      </c>
    </row>
    <row r="50" spans="2:20" ht="19.25" hidden="1" customHeight="1" outlineLevel="1">
      <c r="B50" s="520">
        <f t="shared" si="12"/>
        <v>45701</v>
      </c>
      <c r="C50" s="233">
        <f t="shared" si="9"/>
        <v>45701</v>
      </c>
      <c r="D50" s="234">
        <f>目標_2025R7!D64</f>
        <v>1</v>
      </c>
      <c r="E50" s="525">
        <f>IF(D50=1,'適正原価率表(仕入れお小遣い制度)'!$J$6,0)</f>
        <v>48522.878521198087</v>
      </c>
      <c r="F50" s="525">
        <f>IF(D50=1,SUM($E$38:E50),0)</f>
        <v>485228.78521198081</v>
      </c>
      <c r="G50" s="535">
        <v>26782</v>
      </c>
      <c r="H50" s="525">
        <f>IF(D50=1,SUM($G$38:G50),0)</f>
        <v>629891</v>
      </c>
      <c r="I50" s="235">
        <f t="shared" si="13"/>
        <v>-144662.21478801919</v>
      </c>
      <c r="J50" s="227"/>
      <c r="K50" s="520">
        <f t="shared" si="10"/>
        <v>45701</v>
      </c>
      <c r="L50" s="521">
        <f t="shared" si="11"/>
        <v>45701</v>
      </c>
      <c r="M50" s="524">
        <f t="shared" si="7"/>
        <v>1</v>
      </c>
      <c r="N50" s="525">
        <f>IF(M50=1,'適正原価率表(仕入れお小遣い制度)'!$J$7,0)</f>
        <v>11861.940634990753</v>
      </c>
      <c r="O50" s="525">
        <f>IF(M50=1,SUM($N$38:N50),0)</f>
        <v>118619.40634990753</v>
      </c>
      <c r="P50" s="535">
        <v>17009</v>
      </c>
      <c r="Q50" s="525">
        <f>IF(M50=1,SUM($P$38:P50),0)</f>
        <v>247682</v>
      </c>
      <c r="R50" s="235">
        <f t="shared" si="8"/>
        <v>-129062.59365009247</v>
      </c>
      <c r="T50" s="526">
        <f t="shared" si="14"/>
        <v>45701</v>
      </c>
    </row>
    <row r="51" spans="2:20" ht="19.25" hidden="1" customHeight="1" outlineLevel="1">
      <c r="B51" s="520">
        <f t="shared" si="12"/>
        <v>45702</v>
      </c>
      <c r="C51" s="233">
        <f t="shared" si="9"/>
        <v>45702</v>
      </c>
      <c r="D51" s="234">
        <f>目標_2025R7!D65</f>
        <v>1</v>
      </c>
      <c r="E51" s="525">
        <f>IF(D51=1,'適正原価率表(仕入れお小遣い制度)'!$J$6,0)</f>
        <v>48522.878521198087</v>
      </c>
      <c r="F51" s="525">
        <f>IF(D51=1,SUM($E$38:E51),0)</f>
        <v>533751.66373317887</v>
      </c>
      <c r="G51" s="535">
        <v>28001</v>
      </c>
      <c r="H51" s="525">
        <f>IF(D51=1,SUM($G$38:G51),0)</f>
        <v>657892</v>
      </c>
      <c r="I51" s="235">
        <f t="shared" si="13"/>
        <v>-124140.33626682113</v>
      </c>
      <c r="J51" s="227"/>
      <c r="K51" s="520">
        <f t="shared" si="10"/>
        <v>45702</v>
      </c>
      <c r="L51" s="521">
        <f t="shared" si="11"/>
        <v>45702</v>
      </c>
      <c r="M51" s="524">
        <f t="shared" si="7"/>
        <v>1</v>
      </c>
      <c r="N51" s="525">
        <f>IF(M51=1,'適正原価率表(仕入れお小遣い制度)'!$J$7,0)</f>
        <v>11861.940634990753</v>
      </c>
      <c r="O51" s="525">
        <f>IF(M51=1,SUM($N$38:N51),0)</f>
        <v>130481.34698489828</v>
      </c>
      <c r="P51" s="535">
        <v>17904</v>
      </c>
      <c r="Q51" s="525">
        <f>IF(M51=1,SUM($P$38:P51),0)</f>
        <v>265586</v>
      </c>
      <c r="R51" s="235">
        <f t="shared" si="8"/>
        <v>-135104.65301510174</v>
      </c>
      <c r="T51" s="526">
        <f t="shared" si="14"/>
        <v>45702</v>
      </c>
    </row>
    <row r="52" spans="2:20" ht="19.25" hidden="1" customHeight="1" outlineLevel="1">
      <c r="B52" s="520">
        <f t="shared" si="12"/>
        <v>45703</v>
      </c>
      <c r="C52" s="233">
        <f t="shared" si="9"/>
        <v>45703</v>
      </c>
      <c r="D52" s="234">
        <f>目標_2025R7!D66</f>
        <v>1</v>
      </c>
      <c r="E52" s="525">
        <f>IF(D52=1,'適正原価率表(仕入れお小遣い制度)'!$J$6,0)</f>
        <v>48522.878521198087</v>
      </c>
      <c r="F52" s="525">
        <f>IF(D52=1,SUM($E$38:E52),0)</f>
        <v>582274.54225437692</v>
      </c>
      <c r="G52" s="535">
        <v>3445</v>
      </c>
      <c r="H52" s="525">
        <f>IF(D52=1,SUM($G$38:G52),0)</f>
        <v>661337</v>
      </c>
      <c r="I52" s="235">
        <f t="shared" si="13"/>
        <v>-79062.457745623076</v>
      </c>
      <c r="J52" s="227"/>
      <c r="K52" s="520">
        <f t="shared" si="10"/>
        <v>45703</v>
      </c>
      <c r="L52" s="521">
        <f t="shared" si="11"/>
        <v>45703</v>
      </c>
      <c r="M52" s="524">
        <f t="shared" si="7"/>
        <v>1</v>
      </c>
      <c r="N52" s="525">
        <f>IF(M52=1,'適正原価率表(仕入れお小遣い制度)'!$J$7,0)</f>
        <v>11861.940634990753</v>
      </c>
      <c r="O52" s="525">
        <f>IF(M52=1,SUM($N$38:N52),0)</f>
        <v>142343.28761988904</v>
      </c>
      <c r="P52" s="535">
        <v>7712</v>
      </c>
      <c r="Q52" s="525">
        <f>IF(M52=1,SUM($P$38:P52),0)</f>
        <v>273298</v>
      </c>
      <c r="R52" s="235">
        <f t="shared" si="8"/>
        <v>-130954.71238011096</v>
      </c>
      <c r="T52" s="526">
        <f t="shared" si="14"/>
        <v>45703</v>
      </c>
    </row>
    <row r="53" spans="2:20" ht="19.25" hidden="1" customHeight="1" outlineLevel="1">
      <c r="B53" s="520">
        <f t="shared" si="12"/>
        <v>45704</v>
      </c>
      <c r="C53" s="233">
        <f t="shared" si="9"/>
        <v>45704</v>
      </c>
      <c r="D53" s="234">
        <f>目標_2025R7!D67</f>
        <v>0</v>
      </c>
      <c r="E53" s="525">
        <f>IF(D53=1,'適正原価率表(仕入れお小遣い制度)'!$J$6,0)</f>
        <v>0</v>
      </c>
      <c r="F53" s="525">
        <f>IF(D53=1,SUM($E$38:E53),0)</f>
        <v>0</v>
      </c>
      <c r="G53" s="535">
        <v>0</v>
      </c>
      <c r="H53" s="525">
        <f>IF(D53=1,SUM($G$38:G53),0)</f>
        <v>0</v>
      </c>
      <c r="I53" s="235">
        <f t="shared" si="13"/>
        <v>0</v>
      </c>
      <c r="J53" s="227"/>
      <c r="K53" s="520">
        <f t="shared" si="10"/>
        <v>45704</v>
      </c>
      <c r="L53" s="521">
        <f t="shared" si="11"/>
        <v>45704</v>
      </c>
      <c r="M53" s="524">
        <f t="shared" si="7"/>
        <v>0</v>
      </c>
      <c r="N53" s="525">
        <f>IF(M53=1,'適正原価率表(仕入れお小遣い制度)'!$J$7,0)</f>
        <v>0</v>
      </c>
      <c r="O53" s="525">
        <f>IF(M53=1,SUM($N$38:N53),0)</f>
        <v>0</v>
      </c>
      <c r="P53" s="535">
        <v>0</v>
      </c>
      <c r="Q53" s="525">
        <f>IF(M53=1,SUM($P$38:P53),0)</f>
        <v>0</v>
      </c>
      <c r="R53" s="235">
        <f t="shared" si="8"/>
        <v>0</v>
      </c>
      <c r="T53" s="526">
        <f t="shared" si="14"/>
        <v>45704</v>
      </c>
    </row>
    <row r="54" spans="2:20" ht="19.25" hidden="1" customHeight="1" outlineLevel="1">
      <c r="B54" s="520">
        <f t="shared" si="12"/>
        <v>45705</v>
      </c>
      <c r="C54" s="233">
        <f t="shared" si="9"/>
        <v>45705</v>
      </c>
      <c r="D54" s="234">
        <f>目標_2025R7!D68</f>
        <v>1</v>
      </c>
      <c r="E54" s="525">
        <f>IF(D54=1,'適正原価率表(仕入れお小遣い制度)'!$J$6,0)</f>
        <v>48522.878521198087</v>
      </c>
      <c r="F54" s="525">
        <f>IF(D54=1,SUM($E$38:E54),0)</f>
        <v>630797.42077557498</v>
      </c>
      <c r="G54" s="535">
        <v>38207</v>
      </c>
      <c r="H54" s="525">
        <f>IF(D54=1,SUM($G$38:G54),0)</f>
        <v>699544</v>
      </c>
      <c r="I54" s="235">
        <f t="shared" si="13"/>
        <v>-68746.579224425019</v>
      </c>
      <c r="J54" s="227"/>
      <c r="K54" s="520">
        <f t="shared" si="10"/>
        <v>45705</v>
      </c>
      <c r="L54" s="521">
        <f t="shared" si="11"/>
        <v>45705</v>
      </c>
      <c r="M54" s="524">
        <f t="shared" si="7"/>
        <v>1</v>
      </c>
      <c r="N54" s="525">
        <f>IF(M54=1,'適正原価率表(仕入れお小遣い制度)'!$J$7,0)</f>
        <v>11861.940634990753</v>
      </c>
      <c r="O54" s="525">
        <f>IF(M54=1,SUM($N$38:N54),0)</f>
        <v>154205.2282548798</v>
      </c>
      <c r="P54" s="535">
        <v>18916</v>
      </c>
      <c r="Q54" s="525">
        <f>IF(M54=1,SUM($P$38:P54),0)</f>
        <v>292214</v>
      </c>
      <c r="R54" s="235">
        <f t="shared" si="8"/>
        <v>-138008.7717451202</v>
      </c>
      <c r="T54" s="526">
        <f t="shared" si="14"/>
        <v>45705</v>
      </c>
    </row>
    <row r="55" spans="2:20" ht="19.25" hidden="1" customHeight="1" outlineLevel="1">
      <c r="B55" s="520">
        <f t="shared" si="12"/>
        <v>45706</v>
      </c>
      <c r="C55" s="233">
        <f>B55</f>
        <v>45706</v>
      </c>
      <c r="D55" s="234">
        <f>目標_2025R7!D69</f>
        <v>1</v>
      </c>
      <c r="E55" s="525">
        <f>IF(D55=1,'適正原価率表(仕入れお小遣い制度)'!$J$6,0)</f>
        <v>48522.878521198087</v>
      </c>
      <c r="F55" s="525">
        <f>IF(D55=1,SUM($E$38:E55),0)</f>
        <v>679320.29929677304</v>
      </c>
      <c r="G55" s="535">
        <v>23250</v>
      </c>
      <c r="H55" s="525">
        <f>IF(D55=1,SUM($G$38:G55),0)</f>
        <v>722794</v>
      </c>
      <c r="I55" s="235">
        <f t="shared" si="13"/>
        <v>-43473.700703226961</v>
      </c>
      <c r="J55" s="227"/>
      <c r="K55" s="520">
        <f>B55</f>
        <v>45706</v>
      </c>
      <c r="L55" s="521">
        <f>C55</f>
        <v>45706</v>
      </c>
      <c r="M55" s="524">
        <f t="shared" si="7"/>
        <v>1</v>
      </c>
      <c r="N55" s="525">
        <f>IF(M55=1,'適正原価率表(仕入れお小遣い制度)'!$J$7,0)</f>
        <v>11861.940634990753</v>
      </c>
      <c r="O55" s="525">
        <f>IF(M55=1,SUM($N$38:N55),0)</f>
        <v>166067.16888987055</v>
      </c>
      <c r="P55" s="535">
        <v>0</v>
      </c>
      <c r="Q55" s="525">
        <f>IF(M55=1,SUM($P$38:P55),0)</f>
        <v>292214</v>
      </c>
      <c r="R55" s="235">
        <f t="shared" si="8"/>
        <v>-126146.83111012945</v>
      </c>
      <c r="T55" s="526">
        <f t="shared" si="14"/>
        <v>45706</v>
      </c>
    </row>
    <row r="56" spans="2:20" ht="19.25" hidden="1" customHeight="1" outlineLevel="1">
      <c r="B56" s="520">
        <f t="shared" si="12"/>
        <v>45707</v>
      </c>
      <c r="C56" s="233">
        <f t="shared" si="9"/>
        <v>45707</v>
      </c>
      <c r="D56" s="234">
        <f>目標_2025R7!D70</f>
        <v>1</v>
      </c>
      <c r="E56" s="525">
        <f>IF(D56=1,'適正原価率表(仕入れお小遣い制度)'!$J$6,0)</f>
        <v>48522.878521198087</v>
      </c>
      <c r="F56" s="525">
        <f>IF(D56=1,SUM($E$38:E56),0)</f>
        <v>727843.1778179711</v>
      </c>
      <c r="G56" s="535">
        <v>17068</v>
      </c>
      <c r="H56" s="525">
        <f>IF(D56=1,SUM($G$38:G56),0)</f>
        <v>739862</v>
      </c>
      <c r="I56" s="235">
        <f t="shared" si="13"/>
        <v>-12018.822182028904</v>
      </c>
      <c r="J56" s="227"/>
      <c r="K56" s="520">
        <f t="shared" ref="K56:K65" si="15">B56</f>
        <v>45707</v>
      </c>
      <c r="L56" s="521">
        <f t="shared" ref="L56:L65" si="16">C56</f>
        <v>45707</v>
      </c>
      <c r="M56" s="524">
        <f t="shared" si="7"/>
        <v>1</v>
      </c>
      <c r="N56" s="525">
        <f>IF(M56=1,'適正原価率表(仕入れお小遣い制度)'!$J$7,0)</f>
        <v>11861.940634990753</v>
      </c>
      <c r="O56" s="525">
        <f>IF(M56=1,SUM($N$38:N56),0)</f>
        <v>177929.1095248613</v>
      </c>
      <c r="P56" s="535">
        <v>32426</v>
      </c>
      <c r="Q56" s="525">
        <f>IF(M56=1,SUM($P$38:P56),0)</f>
        <v>324640</v>
      </c>
      <c r="R56" s="235">
        <f t="shared" si="8"/>
        <v>-146710.8904751387</v>
      </c>
      <c r="T56" s="526">
        <f t="shared" si="14"/>
        <v>45707</v>
      </c>
    </row>
    <row r="57" spans="2:20" ht="19.25" hidden="1" customHeight="1" outlineLevel="1">
      <c r="B57" s="520">
        <f t="shared" si="12"/>
        <v>45708</v>
      </c>
      <c r="C57" s="233">
        <f t="shared" si="9"/>
        <v>45708</v>
      </c>
      <c r="D57" s="234">
        <f>目標_2025R7!D71</f>
        <v>1</v>
      </c>
      <c r="E57" s="525">
        <f>IF(D57=1,'適正原価率表(仕入れお小遣い制度)'!$J$6,0)</f>
        <v>48522.878521198087</v>
      </c>
      <c r="F57" s="525">
        <f>IF(D57=1,SUM($E$38:E57),0)</f>
        <v>776366.05633916915</v>
      </c>
      <c r="G57" s="535">
        <v>43274</v>
      </c>
      <c r="H57" s="525">
        <f>IF(D57=1,SUM($G$38:G57),0)</f>
        <v>783136</v>
      </c>
      <c r="I57" s="235">
        <f t="shared" si="13"/>
        <v>-6769.9436608308461</v>
      </c>
      <c r="J57" s="227"/>
      <c r="K57" s="520">
        <f t="shared" si="15"/>
        <v>45708</v>
      </c>
      <c r="L57" s="521">
        <f t="shared" si="16"/>
        <v>45708</v>
      </c>
      <c r="M57" s="524">
        <f t="shared" si="7"/>
        <v>1</v>
      </c>
      <c r="N57" s="525">
        <f>IF(M57=1,'適正原価率表(仕入れお小遣い制度)'!$J$7,0)</f>
        <v>11861.940634990753</v>
      </c>
      <c r="O57" s="525">
        <f>IF(M57=1,SUM($N$38:N57),0)</f>
        <v>189791.05015985205</v>
      </c>
      <c r="P57" s="535">
        <v>30867</v>
      </c>
      <c r="Q57" s="525">
        <f>IF(M57=1,SUM($P$38:P57),0)</f>
        <v>355507</v>
      </c>
      <c r="R57" s="235">
        <f t="shared" si="8"/>
        <v>-165715.94984014795</v>
      </c>
      <c r="T57" s="526">
        <f t="shared" si="14"/>
        <v>45708</v>
      </c>
    </row>
    <row r="58" spans="2:20" ht="19.25" hidden="1" customHeight="1" outlineLevel="1">
      <c r="B58" s="520">
        <f t="shared" si="12"/>
        <v>45709</v>
      </c>
      <c r="C58" s="233">
        <f t="shared" si="9"/>
        <v>45709</v>
      </c>
      <c r="D58" s="234">
        <f>目標_2025R7!D72</f>
        <v>1</v>
      </c>
      <c r="E58" s="525">
        <f>IF(D58=1,'適正原価率表(仕入れお小遣い制度)'!$J$6,0)</f>
        <v>48522.878521198087</v>
      </c>
      <c r="F58" s="525">
        <f>IF(D58=1,SUM($E$38:E58),0)</f>
        <v>824888.93486036721</v>
      </c>
      <c r="G58" s="535">
        <v>17388</v>
      </c>
      <c r="H58" s="525">
        <f>IF(D58=1,SUM($G$38:G58),0)</f>
        <v>800524</v>
      </c>
      <c r="I58" s="235">
        <f t="shared" si="13"/>
        <v>24364.934860367212</v>
      </c>
      <c r="J58" s="227"/>
      <c r="K58" s="520">
        <f t="shared" si="15"/>
        <v>45709</v>
      </c>
      <c r="L58" s="521">
        <f t="shared" si="16"/>
        <v>45709</v>
      </c>
      <c r="M58" s="524">
        <f t="shared" si="7"/>
        <v>1</v>
      </c>
      <c r="N58" s="525">
        <f>IF(M58=1,'適正原価率表(仕入れお小遣い制度)'!$J$7,0)</f>
        <v>11861.940634990753</v>
      </c>
      <c r="O58" s="525">
        <f>IF(M58=1,SUM($N$38:N58),0)</f>
        <v>201652.9907948428</v>
      </c>
      <c r="P58" s="535">
        <v>2216</v>
      </c>
      <c r="Q58" s="525">
        <f>IF(M58=1,SUM($P$38:P58),0)</f>
        <v>357723</v>
      </c>
      <c r="R58" s="235">
        <f t="shared" si="8"/>
        <v>-156070.0092051572</v>
      </c>
      <c r="T58" s="526">
        <f t="shared" si="14"/>
        <v>45709</v>
      </c>
    </row>
    <row r="59" spans="2:20" ht="19.25" hidden="1" customHeight="1" outlineLevel="1">
      <c r="B59" s="520">
        <f t="shared" si="12"/>
        <v>45710</v>
      </c>
      <c r="C59" s="233">
        <f t="shared" si="9"/>
        <v>45710</v>
      </c>
      <c r="D59" s="234">
        <f>目標_2025R7!D73</f>
        <v>1</v>
      </c>
      <c r="E59" s="525">
        <f>IF(D59=1,'適正原価率表(仕入れお小遣い制度)'!$J$6,0)</f>
        <v>48522.878521198087</v>
      </c>
      <c r="F59" s="525">
        <f>IF(D59=1,SUM($E$38:E59),0)</f>
        <v>873411.81338156527</v>
      </c>
      <c r="G59" s="535">
        <v>17993</v>
      </c>
      <c r="H59" s="525">
        <f>IF(D59=1,SUM($G$38:G59),0)</f>
        <v>818517</v>
      </c>
      <c r="I59" s="235">
        <f t="shared" si="13"/>
        <v>54894.813381565269</v>
      </c>
      <c r="J59" s="227"/>
      <c r="K59" s="520">
        <f t="shared" si="15"/>
        <v>45710</v>
      </c>
      <c r="L59" s="521">
        <f t="shared" si="16"/>
        <v>45710</v>
      </c>
      <c r="M59" s="524">
        <f t="shared" si="7"/>
        <v>1</v>
      </c>
      <c r="N59" s="525">
        <f>IF(M59=1,'適正原価率表(仕入れお小遣い制度)'!$J$7,0)</f>
        <v>11861.940634990753</v>
      </c>
      <c r="O59" s="525">
        <f>IF(M59=1,SUM($N$38:N59),0)</f>
        <v>213514.93142983355</v>
      </c>
      <c r="P59" s="535">
        <v>0</v>
      </c>
      <c r="Q59" s="525">
        <f>IF(M59=1,SUM($P$38:P59),0)</f>
        <v>357723</v>
      </c>
      <c r="R59" s="235">
        <f t="shared" si="8"/>
        <v>-144208.06857016645</v>
      </c>
      <c r="T59" s="526">
        <f t="shared" si="14"/>
        <v>45710</v>
      </c>
    </row>
    <row r="60" spans="2:20" ht="19.25" hidden="1" customHeight="1" outlineLevel="1">
      <c r="B60" s="520">
        <f t="shared" si="12"/>
        <v>45711</v>
      </c>
      <c r="C60" s="233">
        <f t="shared" si="9"/>
        <v>45711</v>
      </c>
      <c r="D60" s="234">
        <f>目標_2025R7!D74</f>
        <v>0</v>
      </c>
      <c r="E60" s="525">
        <f>IF(D60=1,'適正原価率表(仕入れお小遣い制度)'!$J$6,0)</f>
        <v>0</v>
      </c>
      <c r="F60" s="525">
        <f>IF(D60=1,SUM($E$38:E60),0)</f>
        <v>0</v>
      </c>
      <c r="G60" s="535">
        <v>0</v>
      </c>
      <c r="H60" s="525">
        <f>IF(D60=1,SUM($G$38:G60),0)</f>
        <v>0</v>
      </c>
      <c r="I60" s="235">
        <f t="shared" si="13"/>
        <v>0</v>
      </c>
      <c r="J60" s="227"/>
      <c r="K60" s="520">
        <f t="shared" si="15"/>
        <v>45711</v>
      </c>
      <c r="L60" s="521">
        <f t="shared" si="16"/>
        <v>45711</v>
      </c>
      <c r="M60" s="524">
        <f t="shared" si="7"/>
        <v>0</v>
      </c>
      <c r="N60" s="525">
        <f>IF(M60=1,'適正原価率表(仕入れお小遣い制度)'!$J$7,0)</f>
        <v>0</v>
      </c>
      <c r="O60" s="525">
        <f>IF(M60=1,SUM($N$38:N60),0)</f>
        <v>0</v>
      </c>
      <c r="P60" s="535">
        <v>0</v>
      </c>
      <c r="Q60" s="525">
        <f>IF(M60=1,SUM($P$38:P60),0)</f>
        <v>0</v>
      </c>
      <c r="R60" s="235">
        <f t="shared" si="8"/>
        <v>0</v>
      </c>
      <c r="T60" s="526">
        <f t="shared" si="14"/>
        <v>45711</v>
      </c>
    </row>
    <row r="61" spans="2:20" ht="19.25" hidden="1" customHeight="1" outlineLevel="1">
      <c r="B61" s="520">
        <f t="shared" si="12"/>
        <v>45712</v>
      </c>
      <c r="C61" s="233">
        <f t="shared" si="9"/>
        <v>45712</v>
      </c>
      <c r="D61" s="234">
        <f>目標_2025R7!D75</f>
        <v>0</v>
      </c>
      <c r="E61" s="525">
        <f>IF(D61=1,'適正原価率表(仕入れお小遣い制度)'!$J$6,0)</f>
        <v>0</v>
      </c>
      <c r="F61" s="525">
        <f>IF(D61=1,SUM($E$38:E61),0)</f>
        <v>0</v>
      </c>
      <c r="G61" s="535">
        <v>0</v>
      </c>
      <c r="H61" s="525">
        <f>IF(D61=1,SUM($G$38:G61),0)</f>
        <v>0</v>
      </c>
      <c r="I61" s="235">
        <f t="shared" si="13"/>
        <v>0</v>
      </c>
      <c r="J61" s="227"/>
      <c r="K61" s="520">
        <f t="shared" si="15"/>
        <v>45712</v>
      </c>
      <c r="L61" s="521">
        <f t="shared" si="16"/>
        <v>45712</v>
      </c>
      <c r="M61" s="524">
        <f t="shared" si="7"/>
        <v>0</v>
      </c>
      <c r="N61" s="525">
        <f>IF(M61=1,'適正原価率表(仕入れお小遣い制度)'!$J$7,0)</f>
        <v>0</v>
      </c>
      <c r="O61" s="525">
        <f>IF(M61=1,SUM($N$38:N61),0)</f>
        <v>0</v>
      </c>
      <c r="P61" s="535">
        <v>0</v>
      </c>
      <c r="Q61" s="525">
        <f>IF(M61=1,SUM($P$38:P61),0)</f>
        <v>0</v>
      </c>
      <c r="R61" s="235">
        <f t="shared" si="8"/>
        <v>0</v>
      </c>
      <c r="T61" s="526">
        <f t="shared" si="14"/>
        <v>45712</v>
      </c>
    </row>
    <row r="62" spans="2:20" ht="19.25" hidden="1" customHeight="1" outlineLevel="1">
      <c r="B62" s="520">
        <f t="shared" si="12"/>
        <v>45713</v>
      </c>
      <c r="C62" s="233">
        <f t="shared" si="9"/>
        <v>45713</v>
      </c>
      <c r="D62" s="234">
        <f>目標_2025R7!D76</f>
        <v>1</v>
      </c>
      <c r="E62" s="525">
        <f>IF(D62=1,'適正原価率表(仕入れお小遣い制度)'!$J$6,0)</f>
        <v>48522.878521198087</v>
      </c>
      <c r="F62" s="525">
        <f>IF(D62=1,SUM($E$38:E62),0)</f>
        <v>921934.69190276333</v>
      </c>
      <c r="G62" s="535">
        <v>60613</v>
      </c>
      <c r="H62" s="525">
        <f>IF(D62=1,SUM($G$38:G62),0)</f>
        <v>879130</v>
      </c>
      <c r="I62" s="235">
        <f t="shared" si="13"/>
        <v>42804.691902763327</v>
      </c>
      <c r="J62" s="227"/>
      <c r="K62" s="520">
        <f t="shared" si="15"/>
        <v>45713</v>
      </c>
      <c r="L62" s="521">
        <f t="shared" si="16"/>
        <v>45713</v>
      </c>
      <c r="M62" s="524">
        <f t="shared" si="7"/>
        <v>1</v>
      </c>
      <c r="N62" s="525">
        <f>IF(M62=1,'適正原価率表(仕入れお小遣い制度)'!$J$7,0)</f>
        <v>11861.940634990753</v>
      </c>
      <c r="O62" s="525">
        <f>IF(M62=1,SUM($N$38:N62),0)</f>
        <v>225376.8720648243</v>
      </c>
      <c r="P62" s="535">
        <v>17934</v>
      </c>
      <c r="Q62" s="525">
        <f>IF(M62=1,SUM($P$38:P62),0)</f>
        <v>375657</v>
      </c>
      <c r="R62" s="235">
        <f t="shared" si="8"/>
        <v>-150280.1279351757</v>
      </c>
      <c r="T62" s="526">
        <f t="shared" si="14"/>
        <v>45713</v>
      </c>
    </row>
    <row r="63" spans="2:20" ht="19.25" hidden="1" customHeight="1" outlineLevel="1">
      <c r="B63" s="520">
        <f t="shared" si="12"/>
        <v>45714</v>
      </c>
      <c r="C63" s="233">
        <f t="shared" si="9"/>
        <v>45714</v>
      </c>
      <c r="D63" s="234">
        <f>目標_2025R7!D77</f>
        <v>1</v>
      </c>
      <c r="E63" s="525">
        <f>IF(D63=1,'適正原価率表(仕入れお小遣い制度)'!$J$6,0)</f>
        <v>48522.878521198087</v>
      </c>
      <c r="F63" s="525">
        <f>IF(D63=1,SUM($E$38:E63),0)</f>
        <v>970457.57042396138</v>
      </c>
      <c r="G63" s="535">
        <v>10349</v>
      </c>
      <c r="H63" s="525">
        <f>IF(D63=1,SUM($G$38:G63),0)</f>
        <v>889479</v>
      </c>
      <c r="I63" s="235">
        <f t="shared" si="13"/>
        <v>80978.570423961384</v>
      </c>
      <c r="J63" s="227"/>
      <c r="K63" s="520">
        <f t="shared" si="15"/>
        <v>45714</v>
      </c>
      <c r="L63" s="521">
        <f t="shared" si="16"/>
        <v>45714</v>
      </c>
      <c r="M63" s="524">
        <f t="shared" si="7"/>
        <v>1</v>
      </c>
      <c r="N63" s="525">
        <f>IF(M63=1,'適正原価率表(仕入れお小遣い制度)'!$J$7,0)</f>
        <v>11861.940634990753</v>
      </c>
      <c r="O63" s="525">
        <f>IF(M63=1,SUM($N$38:N63),0)</f>
        <v>237238.81269981505</v>
      </c>
      <c r="P63" s="535">
        <v>0</v>
      </c>
      <c r="Q63" s="525">
        <f>IF(M63=1,SUM($P$38:P63),0)</f>
        <v>375657</v>
      </c>
      <c r="R63" s="235">
        <f t="shared" si="8"/>
        <v>-138418.18730018495</v>
      </c>
      <c r="T63" s="526">
        <f t="shared" si="14"/>
        <v>45714</v>
      </c>
    </row>
    <row r="64" spans="2:20" ht="19.25" hidden="1" customHeight="1" outlineLevel="1">
      <c r="B64" s="520">
        <f t="shared" si="12"/>
        <v>45715</v>
      </c>
      <c r="C64" s="233">
        <f t="shared" si="9"/>
        <v>45715</v>
      </c>
      <c r="D64" s="234">
        <f>目標_2025R7!D78</f>
        <v>1</v>
      </c>
      <c r="E64" s="525">
        <f>IF(D64=1,'適正原価率表(仕入れお小遣い制度)'!$J$6,0)</f>
        <v>48522.878521198087</v>
      </c>
      <c r="F64" s="525">
        <f>IF(D64=1,SUM($E$38:E64),0)</f>
        <v>1018980.4489451594</v>
      </c>
      <c r="G64" s="535">
        <v>20350</v>
      </c>
      <c r="H64" s="525">
        <f>IF(D64=1,SUM($G$38:G64),0)</f>
        <v>909829</v>
      </c>
      <c r="I64" s="235">
        <f t="shared" si="13"/>
        <v>109151.44894515944</v>
      </c>
      <c r="J64" s="227"/>
      <c r="K64" s="520">
        <f t="shared" si="15"/>
        <v>45715</v>
      </c>
      <c r="L64" s="521">
        <f t="shared" si="16"/>
        <v>45715</v>
      </c>
      <c r="M64" s="524">
        <f t="shared" si="7"/>
        <v>1</v>
      </c>
      <c r="N64" s="525">
        <f>IF(M64=1,'適正原価率表(仕入れお小遣い制度)'!$J$7,0)</f>
        <v>11861.940634990753</v>
      </c>
      <c r="O64" s="525">
        <f>IF(M64=1,SUM($N$38:N64),0)</f>
        <v>249100.75333480581</v>
      </c>
      <c r="P64" s="535">
        <v>5060</v>
      </c>
      <c r="Q64" s="525">
        <f>IF(M64=1,SUM($P$38:P64),0)</f>
        <v>380717</v>
      </c>
      <c r="R64" s="235">
        <f t="shared" si="8"/>
        <v>-131616.24666519419</v>
      </c>
      <c r="T64" s="526">
        <f t="shared" si="14"/>
        <v>45715</v>
      </c>
    </row>
    <row r="65" spans="2:20" ht="19.25" hidden="1" customHeight="1" outlineLevel="1">
      <c r="B65" s="520">
        <f t="shared" si="12"/>
        <v>45716</v>
      </c>
      <c r="C65" s="233">
        <f t="shared" si="9"/>
        <v>45716</v>
      </c>
      <c r="D65" s="234">
        <f>目標_2025R7!D79</f>
        <v>1</v>
      </c>
      <c r="E65" s="525">
        <f>IF(D65=1,'適正原価率表(仕入れお小遣い制度)'!$J$6,0)</f>
        <v>48522.878521198087</v>
      </c>
      <c r="F65" s="525">
        <f>IF(D65=1,SUM($E$38:E65),0)</f>
        <v>1067503.3274663575</v>
      </c>
      <c r="G65" s="535">
        <v>21394</v>
      </c>
      <c r="H65" s="525">
        <f>IF(D65=1,SUM($G$38:G65),0)</f>
        <v>931223</v>
      </c>
      <c r="I65" s="235">
        <f t="shared" si="13"/>
        <v>136280.3274663575</v>
      </c>
      <c r="J65" s="227"/>
      <c r="K65" s="520">
        <f t="shared" si="15"/>
        <v>45716</v>
      </c>
      <c r="L65" s="521">
        <f t="shared" si="16"/>
        <v>45716</v>
      </c>
      <c r="M65" s="524">
        <f t="shared" si="7"/>
        <v>1</v>
      </c>
      <c r="N65" s="525">
        <f>IF(M65=1,'適正原価率表(仕入れお小遣い制度)'!$J$7,0)</f>
        <v>11861.940634990753</v>
      </c>
      <c r="O65" s="525">
        <f>IF(M65=1,SUM($N$38:N65),0)</f>
        <v>260962.69396979656</v>
      </c>
      <c r="P65" s="535">
        <v>22763</v>
      </c>
      <c r="Q65" s="525">
        <f>IF(M65=1,SUM($P$38:P65),0)</f>
        <v>403480</v>
      </c>
      <c r="R65" s="235">
        <f t="shared" si="8"/>
        <v>-142517.30603020344</v>
      </c>
      <c r="T65" s="526">
        <f t="shared" si="14"/>
        <v>45716</v>
      </c>
    </row>
    <row r="66" spans="2:20" ht="19.25" hidden="1" customHeight="1" outlineLevel="1">
      <c r="B66" s="860" t="s">
        <v>211</v>
      </c>
      <c r="C66" s="861"/>
      <c r="D66" s="862"/>
      <c r="E66" s="528">
        <f>SUM(E38:E65)</f>
        <v>1067503.3274663575</v>
      </c>
      <c r="F66" s="514"/>
      <c r="G66" s="537">
        <v>0</v>
      </c>
      <c r="H66" s="537"/>
      <c r="I66" s="537"/>
      <c r="J66" s="538"/>
      <c r="K66" s="867" t="s">
        <v>211</v>
      </c>
      <c r="L66" s="868"/>
      <c r="M66" s="869"/>
      <c r="N66" s="539">
        <f>SUM(N38:N65)</f>
        <v>260962.69396979656</v>
      </c>
      <c r="O66" s="540"/>
      <c r="P66" s="537">
        <v>0</v>
      </c>
      <c r="Q66" s="515"/>
      <c r="R66" s="515"/>
    </row>
    <row r="67" spans="2:20" ht="19.25" hidden="1" customHeight="1" outlineLevel="1">
      <c r="B67" s="543"/>
      <c r="C67" s="543"/>
      <c r="D67" s="543"/>
      <c r="E67" s="544"/>
      <c r="F67" s="227"/>
      <c r="G67" s="538"/>
      <c r="H67" s="538"/>
      <c r="I67" s="538"/>
      <c r="J67" s="538"/>
      <c r="K67" s="545"/>
      <c r="L67" s="545"/>
      <c r="M67" s="545"/>
      <c r="N67" s="546"/>
      <c r="O67" s="538"/>
      <c r="P67" s="538"/>
      <c r="Q67" s="227"/>
      <c r="R67" s="227"/>
    </row>
    <row r="68" spans="2:20" ht="19.25" hidden="1" customHeight="1" outlineLevel="1">
      <c r="B68" s="543"/>
      <c r="C68" s="543"/>
      <c r="D68" s="543"/>
      <c r="E68" s="544"/>
      <c r="F68" s="227"/>
      <c r="G68" s="538"/>
      <c r="H68" s="538"/>
      <c r="I68" s="538"/>
      <c r="J68" s="538"/>
      <c r="K68" s="545"/>
      <c r="L68" s="545"/>
      <c r="M68" s="545"/>
      <c r="N68" s="546"/>
      <c r="O68" s="538"/>
      <c r="P68" s="538"/>
      <c r="Q68" s="227"/>
      <c r="R68" s="227"/>
    </row>
    <row r="69" spans="2:20" ht="19.25" customHeight="1" collapsed="1">
      <c r="B69" s="522"/>
      <c r="C69" s="523"/>
      <c r="D69" s="227"/>
      <c r="E69" s="227"/>
      <c r="F69" s="227"/>
      <c r="G69" s="538">
        <v>25235</v>
      </c>
      <c r="H69" s="538"/>
      <c r="I69" s="538"/>
      <c r="J69" s="538"/>
      <c r="K69" s="541"/>
      <c r="L69" s="542"/>
      <c r="M69" s="538"/>
      <c r="N69" s="538"/>
      <c r="O69" s="538"/>
      <c r="P69" s="538">
        <v>22224</v>
      </c>
      <c r="Q69" s="227"/>
      <c r="R69" s="227"/>
    </row>
    <row r="70" spans="2:20" s="231" customFormat="1">
      <c r="B70" s="863" t="s">
        <v>306</v>
      </c>
      <c r="C70" s="864"/>
      <c r="D70" s="865"/>
      <c r="E70" s="228" t="s">
        <v>129</v>
      </c>
      <c r="F70" s="229" t="s">
        <v>130</v>
      </c>
      <c r="G70" s="229">
        <v>0</v>
      </c>
      <c r="H70" s="229" t="s">
        <v>132</v>
      </c>
      <c r="I70" s="229" t="s">
        <v>133</v>
      </c>
      <c r="J70" s="230"/>
      <c r="K70" s="866" t="str">
        <f>B70</f>
        <v>3月</v>
      </c>
      <c r="L70" s="866"/>
      <c r="M70" s="866"/>
      <c r="N70" s="228" t="s">
        <v>134</v>
      </c>
      <c r="O70" s="229" t="s">
        <v>135</v>
      </c>
      <c r="P70" s="229">
        <v>0</v>
      </c>
      <c r="Q70" s="229" t="s">
        <v>137</v>
      </c>
      <c r="R70" s="229" t="s">
        <v>133</v>
      </c>
    </row>
    <row r="71" spans="2:20" ht="19.25" hidden="1" customHeight="1" outlineLevel="1">
      <c r="B71" s="520">
        <f>B65+1</f>
        <v>45717</v>
      </c>
      <c r="C71" s="233">
        <f>B71</f>
        <v>45717</v>
      </c>
      <c r="D71" s="234">
        <f>目標_2025R7!D80</f>
        <v>1</v>
      </c>
      <c r="E71" s="525">
        <f>IF(D71=1,'適正原価率表(仕入れお小遣い制度)'!$J$8,0)</f>
        <v>65138.070936919445</v>
      </c>
      <c r="F71" s="525">
        <f>IF(D71=1,E71,0)</f>
        <v>65138.070936919445</v>
      </c>
      <c r="G71" s="535">
        <v>100519</v>
      </c>
      <c r="H71" s="525">
        <f>IF(D71=1,G71,0)</f>
        <v>100519</v>
      </c>
      <c r="I71" s="235">
        <f>IF(D71=1,F71-H71,0)</f>
        <v>-35380.929063080555</v>
      </c>
      <c r="J71" s="227"/>
      <c r="K71" s="520">
        <f>B71</f>
        <v>45717</v>
      </c>
      <c r="L71" s="521">
        <f>C71</f>
        <v>45717</v>
      </c>
      <c r="M71" s="524">
        <f t="shared" ref="M71:M101" si="17">D71</f>
        <v>1</v>
      </c>
      <c r="N71" s="525">
        <f>IF(M71=1,'適正原価率表(仕入れお小遣い制度)'!$J$9,0)</f>
        <v>14048.303585913345</v>
      </c>
      <c r="O71" s="525">
        <f>IF(M71=1,N71,0)</f>
        <v>14048.303585913345</v>
      </c>
      <c r="P71" s="535">
        <v>31599</v>
      </c>
      <c r="Q71" s="525">
        <f>IF(M71=1,P71,0)</f>
        <v>31599</v>
      </c>
      <c r="R71" s="235">
        <f t="shared" ref="R71:R101" si="18">IF(D71=1,O71-Q71,0)</f>
        <v>-17550.696414086655</v>
      </c>
      <c r="T71" s="526">
        <f>T65+1</f>
        <v>45717</v>
      </c>
    </row>
    <row r="72" spans="2:20" ht="19.25" hidden="1" customHeight="1" outlineLevel="1">
      <c r="B72" s="520">
        <f>B71+1</f>
        <v>45718</v>
      </c>
      <c r="C72" s="233">
        <f t="shared" ref="C72:C101" si="19">B72</f>
        <v>45718</v>
      </c>
      <c r="D72" s="234">
        <f>目標_2025R7!D81</f>
        <v>0</v>
      </c>
      <c r="E72" s="525">
        <f>IF(D72=1,'適正原価率表(仕入れお小遣い制度)'!$J$8,0)</f>
        <v>0</v>
      </c>
      <c r="F72" s="525">
        <f>IF(D72=1,SUM($E$71:E72),0)</f>
        <v>0</v>
      </c>
      <c r="G72" s="535">
        <v>40652</v>
      </c>
      <c r="H72" s="525">
        <f>IF(D72=1,SUM($G$71:G72),0)</f>
        <v>0</v>
      </c>
      <c r="I72" s="235">
        <f>IF(D72=1,F72-H72,0)</f>
        <v>0</v>
      </c>
      <c r="J72" s="227"/>
      <c r="K72" s="520">
        <f t="shared" ref="K72:K95" si="20">B72</f>
        <v>45718</v>
      </c>
      <c r="L72" s="521">
        <f t="shared" ref="L72:L95" si="21">C72</f>
        <v>45718</v>
      </c>
      <c r="M72" s="524">
        <f t="shared" si="17"/>
        <v>0</v>
      </c>
      <c r="N72" s="525">
        <f>IF(M72=1,'適正原価率表(仕入れお小遣い制度)'!$J$9,0)</f>
        <v>0</v>
      </c>
      <c r="O72" s="525">
        <f>IF(M72=1,SUM($N$71:N72),0)</f>
        <v>0</v>
      </c>
      <c r="P72" s="535">
        <v>18206</v>
      </c>
      <c r="Q72" s="525">
        <f>IF(M72=1,SUM($P$71:P72),0)</f>
        <v>0</v>
      </c>
      <c r="R72" s="235">
        <f t="shared" si="18"/>
        <v>0</v>
      </c>
      <c r="T72" s="526">
        <f>T71+1</f>
        <v>45718</v>
      </c>
    </row>
    <row r="73" spans="2:20" ht="19.25" hidden="1" customHeight="1" outlineLevel="1">
      <c r="B73" s="520">
        <f t="shared" ref="B73:B101" si="22">B72+1</f>
        <v>45719</v>
      </c>
      <c r="C73" s="233">
        <f t="shared" si="19"/>
        <v>45719</v>
      </c>
      <c r="D73" s="234">
        <f>目標_2025R7!D82</f>
        <v>1</v>
      </c>
      <c r="E73" s="525">
        <f>IF(D73=1,'適正原価率表(仕入れお小遣い制度)'!$J$8,0)</f>
        <v>65138.070936919445</v>
      </c>
      <c r="F73" s="525">
        <f>IF(D73=1,SUM($E$71:E73),0)</f>
        <v>130276.14187383889</v>
      </c>
      <c r="G73" s="535">
        <v>17046</v>
      </c>
      <c r="H73" s="525">
        <f>IF(D73=1,SUM($G$71:G73),0)</f>
        <v>158217</v>
      </c>
      <c r="I73" s="235">
        <f t="shared" ref="I73:I101" si="23">IF(D73=1,F73-H73,0)</f>
        <v>-27940.858126161111</v>
      </c>
      <c r="J73" s="227"/>
      <c r="K73" s="520">
        <f t="shared" si="20"/>
        <v>45719</v>
      </c>
      <c r="L73" s="521">
        <f t="shared" si="21"/>
        <v>45719</v>
      </c>
      <c r="M73" s="524">
        <f t="shared" si="17"/>
        <v>1</v>
      </c>
      <c r="N73" s="525">
        <f>IF(M73=1,'適正原価率表(仕入れお小遣い制度)'!$J$9,0)</f>
        <v>14048.303585913345</v>
      </c>
      <c r="O73" s="525">
        <f>IF(M73=1,SUM($N$71:N73),0)</f>
        <v>28096.60717182669</v>
      </c>
      <c r="P73" s="535">
        <v>21730</v>
      </c>
      <c r="Q73" s="525">
        <f>IF(M73=1,SUM($P$71:P73),0)</f>
        <v>71535</v>
      </c>
      <c r="R73" s="235">
        <f t="shared" si="18"/>
        <v>-43438.39282817331</v>
      </c>
      <c r="T73" s="526">
        <f t="shared" ref="T73:T101" si="24">T72+1</f>
        <v>45719</v>
      </c>
    </row>
    <row r="74" spans="2:20" ht="19.25" hidden="1" customHeight="1" outlineLevel="1">
      <c r="B74" s="520">
        <f t="shared" si="22"/>
        <v>45720</v>
      </c>
      <c r="C74" s="233">
        <f t="shared" si="19"/>
        <v>45720</v>
      </c>
      <c r="D74" s="234">
        <f>目標_2025R7!D83</f>
        <v>1</v>
      </c>
      <c r="E74" s="525">
        <f>IF(D74=1,'適正原価率表(仕入れお小遣い制度)'!$J$8,0)</f>
        <v>65138.070936919445</v>
      </c>
      <c r="F74" s="525">
        <f>IF(D74=1,SUM($E$71:E74),0)</f>
        <v>195414.21281075833</v>
      </c>
      <c r="G74" s="535">
        <v>34546</v>
      </c>
      <c r="H74" s="525">
        <f>IF(D74=1,SUM($G$71:G74),0)</f>
        <v>192763</v>
      </c>
      <c r="I74" s="235">
        <f t="shared" si="23"/>
        <v>2651.2128107583267</v>
      </c>
      <c r="J74" s="227"/>
      <c r="K74" s="520">
        <f t="shared" si="20"/>
        <v>45720</v>
      </c>
      <c r="L74" s="521">
        <f t="shared" si="21"/>
        <v>45720</v>
      </c>
      <c r="M74" s="524">
        <f t="shared" si="17"/>
        <v>1</v>
      </c>
      <c r="N74" s="525">
        <f>IF(M74=1,'適正原価率表(仕入れお小遣い制度)'!$J$9,0)</f>
        <v>14048.303585913345</v>
      </c>
      <c r="O74" s="525">
        <f>IF(M74=1,SUM($N$71:N74),0)</f>
        <v>42144.910757740035</v>
      </c>
      <c r="P74" s="535">
        <v>16542</v>
      </c>
      <c r="Q74" s="525">
        <f>IF(M74=1,SUM($P$71:P74),0)</f>
        <v>88077</v>
      </c>
      <c r="R74" s="235">
        <f t="shared" si="18"/>
        <v>-45932.089242259965</v>
      </c>
      <c r="T74" s="526">
        <f t="shared" si="24"/>
        <v>45720</v>
      </c>
    </row>
    <row r="75" spans="2:20" ht="19.25" hidden="1" customHeight="1" outlineLevel="1">
      <c r="B75" s="520">
        <f t="shared" si="22"/>
        <v>45721</v>
      </c>
      <c r="C75" s="233">
        <f t="shared" si="19"/>
        <v>45721</v>
      </c>
      <c r="D75" s="234">
        <f>目標_2025R7!D84</f>
        <v>1</v>
      </c>
      <c r="E75" s="525">
        <f>IF(D75=1,'適正原価率表(仕入れお小遣い制度)'!$J$8,0)</f>
        <v>65138.070936919445</v>
      </c>
      <c r="F75" s="525">
        <f>IF(D75=1,SUM($E$71:E75),0)</f>
        <v>260552.28374767778</v>
      </c>
      <c r="G75" s="535">
        <v>23998</v>
      </c>
      <c r="H75" s="525">
        <f>IF(D75=1,SUM($G$71:G75),0)</f>
        <v>216761</v>
      </c>
      <c r="I75" s="235">
        <f t="shared" si="23"/>
        <v>43791.283747677779</v>
      </c>
      <c r="J75" s="227"/>
      <c r="K75" s="520">
        <f t="shared" si="20"/>
        <v>45721</v>
      </c>
      <c r="L75" s="521">
        <f t="shared" si="21"/>
        <v>45721</v>
      </c>
      <c r="M75" s="524">
        <f t="shared" si="17"/>
        <v>1</v>
      </c>
      <c r="N75" s="525">
        <f>IF(M75=1,'適正原価率表(仕入れお小遣い制度)'!$J$9,0)</f>
        <v>14048.303585913345</v>
      </c>
      <c r="O75" s="525">
        <f>IF(M75=1,SUM($N$71:N75),0)</f>
        <v>56193.214343653381</v>
      </c>
      <c r="P75" s="535">
        <v>19313</v>
      </c>
      <c r="Q75" s="525">
        <f>IF(M75=1,SUM($P$71:P75),0)</f>
        <v>107390</v>
      </c>
      <c r="R75" s="235">
        <f t="shared" si="18"/>
        <v>-51196.785656346619</v>
      </c>
      <c r="T75" s="526">
        <f t="shared" si="24"/>
        <v>45721</v>
      </c>
    </row>
    <row r="76" spans="2:20" ht="19.25" hidden="1" customHeight="1" outlineLevel="1">
      <c r="B76" s="520">
        <f t="shared" si="22"/>
        <v>45722</v>
      </c>
      <c r="C76" s="233">
        <f t="shared" si="19"/>
        <v>45722</v>
      </c>
      <c r="D76" s="234">
        <f>目標_2025R7!D85</f>
        <v>1</v>
      </c>
      <c r="E76" s="525">
        <f>IF(D76=1,'適正原価率表(仕入れお小遣い制度)'!$J$8,0)</f>
        <v>65138.070936919445</v>
      </c>
      <c r="F76" s="525">
        <f>IF(D76=1,SUM($E$71:E76),0)</f>
        <v>325690.35468459723</v>
      </c>
      <c r="G76" s="535">
        <v>17716</v>
      </c>
      <c r="H76" s="525">
        <f>IF(D76=1,SUM($G$71:G76),0)</f>
        <v>234477</v>
      </c>
      <c r="I76" s="235">
        <f t="shared" si="23"/>
        <v>91213.354684597231</v>
      </c>
      <c r="J76" s="227"/>
      <c r="K76" s="520">
        <f t="shared" si="20"/>
        <v>45722</v>
      </c>
      <c r="L76" s="521">
        <f t="shared" si="21"/>
        <v>45722</v>
      </c>
      <c r="M76" s="524">
        <f t="shared" si="17"/>
        <v>1</v>
      </c>
      <c r="N76" s="525">
        <f>IF(M76=1,'適正原価率表(仕入れお小遣い制度)'!$J$9,0)</f>
        <v>14048.303585913345</v>
      </c>
      <c r="O76" s="525">
        <f>IF(M76=1,SUM($N$71:N76),0)</f>
        <v>70241.517929566733</v>
      </c>
      <c r="P76" s="535">
        <v>0</v>
      </c>
      <c r="Q76" s="525">
        <f>IF(M76=1,SUM($P$71:P76),0)</f>
        <v>107390</v>
      </c>
      <c r="R76" s="235">
        <f t="shared" si="18"/>
        <v>-37148.482070433267</v>
      </c>
      <c r="T76" s="526">
        <f t="shared" si="24"/>
        <v>45722</v>
      </c>
    </row>
    <row r="77" spans="2:20" ht="19.25" hidden="1" customHeight="1" outlineLevel="1">
      <c r="B77" s="520">
        <f t="shared" si="22"/>
        <v>45723</v>
      </c>
      <c r="C77" s="233">
        <f t="shared" si="19"/>
        <v>45723</v>
      </c>
      <c r="D77" s="234">
        <f>目標_2025R7!D86</f>
        <v>1</v>
      </c>
      <c r="E77" s="525">
        <f>IF(D77=1,'適正原価率表(仕入れお小遣い制度)'!$J$8,0)</f>
        <v>65138.070936919445</v>
      </c>
      <c r="F77" s="525">
        <f>IF(D77=1,SUM($E$71:E77),0)</f>
        <v>390828.42562151665</v>
      </c>
      <c r="G77" s="535">
        <v>0</v>
      </c>
      <c r="H77" s="525">
        <f>IF(D77=1,SUM($G$71:G77),0)</f>
        <v>234477</v>
      </c>
      <c r="I77" s="235">
        <f t="shared" si="23"/>
        <v>156351.42562151665</v>
      </c>
      <c r="J77" s="227"/>
      <c r="K77" s="520">
        <f t="shared" si="20"/>
        <v>45723</v>
      </c>
      <c r="L77" s="521">
        <f t="shared" si="21"/>
        <v>45723</v>
      </c>
      <c r="M77" s="524">
        <f t="shared" si="17"/>
        <v>1</v>
      </c>
      <c r="N77" s="525">
        <f>IF(M77=1,'適正原価率表(仕入れお小遣い制度)'!$J$9,0)</f>
        <v>14048.303585913345</v>
      </c>
      <c r="O77" s="525">
        <f>IF(M77=1,SUM($N$71:N77),0)</f>
        <v>84289.821515480086</v>
      </c>
      <c r="P77" s="535">
        <v>0</v>
      </c>
      <c r="Q77" s="525">
        <f>IF(M77=1,SUM($P$71:P77),0)</f>
        <v>107390</v>
      </c>
      <c r="R77" s="235">
        <f t="shared" si="18"/>
        <v>-23100.178484519914</v>
      </c>
      <c r="T77" s="526">
        <f t="shared" si="24"/>
        <v>45723</v>
      </c>
    </row>
    <row r="78" spans="2:20" ht="19.25" hidden="1" customHeight="1" outlineLevel="1">
      <c r="B78" s="520">
        <f t="shared" si="22"/>
        <v>45724</v>
      </c>
      <c r="C78" s="233">
        <f t="shared" si="19"/>
        <v>45724</v>
      </c>
      <c r="D78" s="234">
        <f>目標_2025R7!D87</f>
        <v>1</v>
      </c>
      <c r="E78" s="525">
        <f>IF(D78=1,'適正原価率表(仕入れお小遣い制度)'!$J$8,0)</f>
        <v>65138.070936919445</v>
      </c>
      <c r="F78" s="525">
        <f>IF(D78=1,SUM($E$71:E78),0)</f>
        <v>455966.49655843608</v>
      </c>
      <c r="G78" s="535">
        <v>38706</v>
      </c>
      <c r="H78" s="525">
        <f>IF(D78=1,SUM($G$71:G78),0)</f>
        <v>273183</v>
      </c>
      <c r="I78" s="235">
        <f t="shared" si="23"/>
        <v>182783.49655843608</v>
      </c>
      <c r="J78" s="227"/>
      <c r="K78" s="520">
        <f t="shared" si="20"/>
        <v>45724</v>
      </c>
      <c r="L78" s="521">
        <f t="shared" si="21"/>
        <v>45724</v>
      </c>
      <c r="M78" s="524">
        <f t="shared" si="17"/>
        <v>1</v>
      </c>
      <c r="N78" s="525">
        <f>IF(M78=1,'適正原価率表(仕入れお小遣い制度)'!$J$9,0)</f>
        <v>14048.303585913345</v>
      </c>
      <c r="O78" s="525">
        <f>IF(M78=1,SUM($N$71:N78),0)</f>
        <v>98338.125101393438</v>
      </c>
      <c r="P78" s="535">
        <v>28964</v>
      </c>
      <c r="Q78" s="525">
        <f>IF(M78=1,SUM($P$71:P78),0)</f>
        <v>136354</v>
      </c>
      <c r="R78" s="235">
        <f t="shared" si="18"/>
        <v>-38015.874898606562</v>
      </c>
      <c r="T78" s="526">
        <f t="shared" si="24"/>
        <v>45724</v>
      </c>
    </row>
    <row r="79" spans="2:20" ht="19.25" hidden="1" customHeight="1" outlineLevel="1">
      <c r="B79" s="520">
        <f t="shared" si="22"/>
        <v>45725</v>
      </c>
      <c r="C79" s="233">
        <f t="shared" si="19"/>
        <v>45725</v>
      </c>
      <c r="D79" s="234">
        <f>目標_2025R7!D88</f>
        <v>0</v>
      </c>
      <c r="E79" s="525">
        <f>IF(D79=1,'適正原価率表(仕入れお小遣い制度)'!$J$8,0)</f>
        <v>0</v>
      </c>
      <c r="F79" s="525">
        <f>IF(D79=1,SUM($E$71:E79),0)</f>
        <v>0</v>
      </c>
      <c r="G79" s="535">
        <v>39186</v>
      </c>
      <c r="H79" s="525">
        <f>IF(D79=1,SUM($G$71:G79),0)</f>
        <v>0</v>
      </c>
      <c r="I79" s="235">
        <f t="shared" si="23"/>
        <v>0</v>
      </c>
      <c r="J79" s="227"/>
      <c r="K79" s="520">
        <f t="shared" si="20"/>
        <v>45725</v>
      </c>
      <c r="L79" s="521">
        <f t="shared" si="21"/>
        <v>45725</v>
      </c>
      <c r="M79" s="524">
        <f t="shared" si="17"/>
        <v>0</v>
      </c>
      <c r="N79" s="525">
        <f>IF(M79=1,'適正原価率表(仕入れお小遣い制度)'!$J$9,0)</f>
        <v>0</v>
      </c>
      <c r="O79" s="525">
        <f>IF(M79=1,SUM($N$71:N79),0)</f>
        <v>0</v>
      </c>
      <c r="P79" s="535">
        <v>18013</v>
      </c>
      <c r="Q79" s="525">
        <f>IF(M79=1,SUM($P$71:P79),0)</f>
        <v>0</v>
      </c>
      <c r="R79" s="235">
        <f t="shared" si="18"/>
        <v>0</v>
      </c>
      <c r="T79" s="526">
        <f t="shared" si="24"/>
        <v>45725</v>
      </c>
    </row>
    <row r="80" spans="2:20" ht="19.25" hidden="1" customHeight="1" outlineLevel="1">
      <c r="B80" s="520">
        <f t="shared" si="22"/>
        <v>45726</v>
      </c>
      <c r="C80" s="233">
        <f t="shared" si="19"/>
        <v>45726</v>
      </c>
      <c r="D80" s="234">
        <f>目標_2025R7!D89</f>
        <v>1</v>
      </c>
      <c r="E80" s="525">
        <f>IF(D80=1,'適正原価率表(仕入れお小遣い制度)'!$J$8,0)</f>
        <v>65138.070936919445</v>
      </c>
      <c r="F80" s="525">
        <f>IF(D80=1,SUM($E$71:E80),0)</f>
        <v>521104.5674953555</v>
      </c>
      <c r="G80" s="535">
        <v>10233</v>
      </c>
      <c r="H80" s="525">
        <f>IF(D80=1,SUM($G$71:G80),0)</f>
        <v>322602</v>
      </c>
      <c r="I80" s="235">
        <f t="shared" si="23"/>
        <v>198502.5674953555</v>
      </c>
      <c r="J80" s="227"/>
      <c r="K80" s="520">
        <f t="shared" si="20"/>
        <v>45726</v>
      </c>
      <c r="L80" s="521">
        <f t="shared" si="21"/>
        <v>45726</v>
      </c>
      <c r="M80" s="524">
        <f t="shared" si="17"/>
        <v>1</v>
      </c>
      <c r="N80" s="525">
        <f>IF(M80=1,'適正原価率表(仕入れお小遣い制度)'!$J$9,0)</f>
        <v>14048.303585913345</v>
      </c>
      <c r="O80" s="525">
        <f>IF(M80=1,SUM($N$71:N80),0)</f>
        <v>112386.42868730679</v>
      </c>
      <c r="P80" s="535">
        <v>12026</v>
      </c>
      <c r="Q80" s="525">
        <f>IF(M80=1,SUM($P$71:P80),0)</f>
        <v>166393</v>
      </c>
      <c r="R80" s="235">
        <f t="shared" si="18"/>
        <v>-54006.57131269321</v>
      </c>
      <c r="T80" s="526">
        <f t="shared" si="24"/>
        <v>45726</v>
      </c>
    </row>
    <row r="81" spans="2:20" ht="19.25" hidden="1" customHeight="1" outlineLevel="1">
      <c r="B81" s="520">
        <f t="shared" si="22"/>
        <v>45727</v>
      </c>
      <c r="C81" s="233">
        <f t="shared" si="19"/>
        <v>45727</v>
      </c>
      <c r="D81" s="234">
        <f>目標_2025R7!D90</f>
        <v>1</v>
      </c>
      <c r="E81" s="525">
        <f>IF(D81=1,'適正原価率表(仕入れお小遣い制度)'!$J$8,0)</f>
        <v>65138.070936919445</v>
      </c>
      <c r="F81" s="525">
        <f>IF(D81=1,SUM($E$71:E81),0)</f>
        <v>586242.63843227492</v>
      </c>
      <c r="G81" s="535">
        <v>18037</v>
      </c>
      <c r="H81" s="525">
        <f>IF(D81=1,SUM($G$71:G81),0)</f>
        <v>340639</v>
      </c>
      <c r="I81" s="235">
        <f t="shared" si="23"/>
        <v>245603.63843227492</v>
      </c>
      <c r="J81" s="227"/>
      <c r="K81" s="520">
        <f t="shared" si="20"/>
        <v>45727</v>
      </c>
      <c r="L81" s="521">
        <f t="shared" si="21"/>
        <v>45727</v>
      </c>
      <c r="M81" s="524">
        <f t="shared" si="17"/>
        <v>1</v>
      </c>
      <c r="N81" s="525">
        <f>IF(M81=1,'適正原価率表(仕入れお小遣い制度)'!$J$9,0)</f>
        <v>14048.303585913345</v>
      </c>
      <c r="O81" s="525">
        <f>IF(M81=1,SUM($N$71:N81),0)</f>
        <v>126434.73227322014</v>
      </c>
      <c r="P81" s="535">
        <v>17967</v>
      </c>
      <c r="Q81" s="525">
        <f>IF(M81=1,SUM($P$71:P81),0)</f>
        <v>184360</v>
      </c>
      <c r="R81" s="235">
        <f t="shared" si="18"/>
        <v>-57925.267726779857</v>
      </c>
      <c r="T81" s="526">
        <f t="shared" si="24"/>
        <v>45727</v>
      </c>
    </row>
    <row r="82" spans="2:20" ht="19.25" hidden="1" customHeight="1" outlineLevel="1">
      <c r="B82" s="520">
        <f t="shared" si="22"/>
        <v>45728</v>
      </c>
      <c r="C82" s="233">
        <f t="shared" si="19"/>
        <v>45728</v>
      </c>
      <c r="D82" s="234">
        <f>目標_2025R7!D91</f>
        <v>1</v>
      </c>
      <c r="E82" s="525">
        <f>IF(D82=1,'適正原価率表(仕入れお小遣い制度)'!$J$8,0)</f>
        <v>65138.070936919445</v>
      </c>
      <c r="F82" s="525">
        <f>IF(D82=1,SUM($E$71:E82),0)</f>
        <v>651380.70936919434</v>
      </c>
      <c r="G82" s="535">
        <v>21547</v>
      </c>
      <c r="H82" s="525">
        <f>IF(D82=1,SUM($G$71:G82),0)</f>
        <v>362186</v>
      </c>
      <c r="I82" s="235">
        <f t="shared" si="23"/>
        <v>289194.70936919434</v>
      </c>
      <c r="J82" s="227"/>
      <c r="K82" s="520">
        <f t="shared" si="20"/>
        <v>45728</v>
      </c>
      <c r="L82" s="521">
        <f t="shared" si="21"/>
        <v>45728</v>
      </c>
      <c r="M82" s="524">
        <f t="shared" si="17"/>
        <v>1</v>
      </c>
      <c r="N82" s="525">
        <f>IF(M82=1,'適正原価率表(仕入れお小遣い制度)'!$J$9,0)</f>
        <v>14048.303585913345</v>
      </c>
      <c r="O82" s="525">
        <f>IF(M82=1,SUM($N$71:N82),0)</f>
        <v>140483.0358591335</v>
      </c>
      <c r="P82" s="535">
        <v>34838</v>
      </c>
      <c r="Q82" s="525">
        <f>IF(M82=1,SUM($P$71:P82),0)</f>
        <v>219198</v>
      </c>
      <c r="R82" s="235">
        <f t="shared" si="18"/>
        <v>-78714.964140866505</v>
      </c>
      <c r="T82" s="526">
        <f t="shared" si="24"/>
        <v>45728</v>
      </c>
    </row>
    <row r="83" spans="2:20" ht="19.25" hidden="1" customHeight="1" outlineLevel="1">
      <c r="B83" s="520">
        <f t="shared" si="22"/>
        <v>45729</v>
      </c>
      <c r="C83" s="233">
        <f t="shared" si="19"/>
        <v>45729</v>
      </c>
      <c r="D83" s="234">
        <f>目標_2025R7!D92</f>
        <v>1</v>
      </c>
      <c r="E83" s="525">
        <f>IF(D83=1,'適正原価率表(仕入れお小遣い制度)'!$J$8,0)</f>
        <v>65138.070936919445</v>
      </c>
      <c r="F83" s="525">
        <f>IF(D83=1,SUM($E$71:E83),0)</f>
        <v>716518.78030611377</v>
      </c>
      <c r="G83" s="535">
        <v>0</v>
      </c>
      <c r="H83" s="525">
        <f>IF(D83=1,SUM($G$71:G83),0)</f>
        <v>362186</v>
      </c>
      <c r="I83" s="235">
        <f t="shared" si="23"/>
        <v>354332.78030611377</v>
      </c>
      <c r="J83" s="227"/>
      <c r="K83" s="520">
        <f t="shared" si="20"/>
        <v>45729</v>
      </c>
      <c r="L83" s="521">
        <f t="shared" si="21"/>
        <v>45729</v>
      </c>
      <c r="M83" s="524">
        <f t="shared" si="17"/>
        <v>1</v>
      </c>
      <c r="N83" s="525">
        <f>IF(M83=1,'適正原価率表(仕入れお小遣い制度)'!$J$9,0)</f>
        <v>14048.303585913345</v>
      </c>
      <c r="O83" s="525">
        <f>IF(M83=1,SUM($N$71:N83),0)</f>
        <v>154531.33944504685</v>
      </c>
      <c r="P83" s="535">
        <v>0</v>
      </c>
      <c r="Q83" s="525">
        <f>IF(M83=1,SUM($P$71:P83),0)</f>
        <v>219198</v>
      </c>
      <c r="R83" s="235">
        <f t="shared" si="18"/>
        <v>-64666.660554953152</v>
      </c>
      <c r="T83" s="526">
        <f t="shared" si="24"/>
        <v>45729</v>
      </c>
    </row>
    <row r="84" spans="2:20" ht="19.25" hidden="1" customHeight="1" outlineLevel="1">
      <c r="B84" s="520">
        <f t="shared" si="22"/>
        <v>45730</v>
      </c>
      <c r="C84" s="233">
        <f t="shared" si="19"/>
        <v>45730</v>
      </c>
      <c r="D84" s="234">
        <f>目標_2025R7!D93</f>
        <v>1</v>
      </c>
      <c r="E84" s="525">
        <f>IF(D84=1,'適正原価率表(仕入れお小遣い制度)'!$J$8,0)</f>
        <v>65138.070936919445</v>
      </c>
      <c r="F84" s="525">
        <f>IF(D84=1,SUM($E$71:E84),0)</f>
        <v>781656.85124303319</v>
      </c>
      <c r="G84" s="535">
        <v>0</v>
      </c>
      <c r="H84" s="525">
        <f>IF(D84=1,SUM($G$71:G84),0)</f>
        <v>362186</v>
      </c>
      <c r="I84" s="235">
        <f t="shared" si="23"/>
        <v>419470.85124303319</v>
      </c>
      <c r="J84" s="227"/>
      <c r="K84" s="520">
        <f t="shared" si="20"/>
        <v>45730</v>
      </c>
      <c r="L84" s="521">
        <f t="shared" si="21"/>
        <v>45730</v>
      </c>
      <c r="M84" s="524">
        <f t="shared" si="17"/>
        <v>1</v>
      </c>
      <c r="N84" s="525">
        <f>IF(M84=1,'適正原価率表(仕入れお小遣い制度)'!$J$9,0)</f>
        <v>14048.303585913345</v>
      </c>
      <c r="O84" s="525">
        <f>IF(M84=1,SUM($N$71:N84),0)</f>
        <v>168579.6430309602</v>
      </c>
      <c r="P84" s="535">
        <v>0</v>
      </c>
      <c r="Q84" s="525">
        <f>IF(M84=1,SUM($P$71:P84),0)</f>
        <v>219198</v>
      </c>
      <c r="R84" s="235">
        <f t="shared" si="18"/>
        <v>-50618.3569690398</v>
      </c>
      <c r="T84" s="526">
        <f t="shared" si="24"/>
        <v>45730</v>
      </c>
    </row>
    <row r="85" spans="2:20" ht="19.25" hidden="1" customHeight="1" outlineLevel="1">
      <c r="B85" s="520">
        <f t="shared" si="22"/>
        <v>45731</v>
      </c>
      <c r="C85" s="233">
        <f t="shared" si="19"/>
        <v>45731</v>
      </c>
      <c r="D85" s="234">
        <f>目標_2025R7!D94</f>
        <v>1</v>
      </c>
      <c r="E85" s="525">
        <f>IF(D85=1,'適正原価率表(仕入れお小遣い制度)'!$J$8,0)</f>
        <v>65138.070936919445</v>
      </c>
      <c r="F85" s="525">
        <f>IF(D85=1,SUM($E$71:E85),0)</f>
        <v>846794.92217995261</v>
      </c>
      <c r="G85" s="535">
        <v>98385</v>
      </c>
      <c r="H85" s="525">
        <f>IF(D85=1,SUM($G$71:G85),0)</f>
        <v>460571</v>
      </c>
      <c r="I85" s="235">
        <f t="shared" si="23"/>
        <v>386223.92217995261</v>
      </c>
      <c r="J85" s="227"/>
      <c r="K85" s="520">
        <f t="shared" si="20"/>
        <v>45731</v>
      </c>
      <c r="L85" s="521">
        <f t="shared" si="21"/>
        <v>45731</v>
      </c>
      <c r="M85" s="524">
        <f t="shared" si="17"/>
        <v>1</v>
      </c>
      <c r="N85" s="525">
        <f>IF(M85=1,'適正原価率表(仕入れお小遣い制度)'!$J$9,0)</f>
        <v>14048.303585913345</v>
      </c>
      <c r="O85" s="525">
        <f>IF(M85=1,SUM($N$71:N85),0)</f>
        <v>182627.94661687355</v>
      </c>
      <c r="P85" s="535">
        <v>15013</v>
      </c>
      <c r="Q85" s="525">
        <f>IF(M85=1,SUM($P$71:P85),0)</f>
        <v>234211</v>
      </c>
      <c r="R85" s="235">
        <f t="shared" si="18"/>
        <v>-51583.053383126447</v>
      </c>
      <c r="T85" s="526">
        <f t="shared" si="24"/>
        <v>45731</v>
      </c>
    </row>
    <row r="86" spans="2:20" ht="19.25" hidden="1" customHeight="1" outlineLevel="1">
      <c r="B86" s="520">
        <f t="shared" si="22"/>
        <v>45732</v>
      </c>
      <c r="C86" s="233">
        <f t="shared" si="19"/>
        <v>45732</v>
      </c>
      <c r="D86" s="234">
        <f>目標_2025R7!D95</f>
        <v>0</v>
      </c>
      <c r="E86" s="525">
        <f>IF(D86=1,'適正原価率表(仕入れお小遣い制度)'!$J$8,0)</f>
        <v>0</v>
      </c>
      <c r="F86" s="525">
        <f>IF(D86=1,SUM($E$71:E86),0)</f>
        <v>0</v>
      </c>
      <c r="G86" s="535">
        <v>134744</v>
      </c>
      <c r="H86" s="525">
        <f>IF(D86=1,SUM($G$71:G86),0)</f>
        <v>0</v>
      </c>
      <c r="I86" s="235">
        <f t="shared" si="23"/>
        <v>0</v>
      </c>
      <c r="J86" s="227"/>
      <c r="K86" s="520">
        <f t="shared" si="20"/>
        <v>45732</v>
      </c>
      <c r="L86" s="521">
        <f t="shared" si="21"/>
        <v>45732</v>
      </c>
      <c r="M86" s="524">
        <f t="shared" si="17"/>
        <v>0</v>
      </c>
      <c r="N86" s="525">
        <f>IF(M86=1,'適正原価率表(仕入れお小遣い制度)'!$J$9,0)</f>
        <v>0</v>
      </c>
      <c r="O86" s="525">
        <f>IF(M86=1,SUM($N$71:N86),0)</f>
        <v>0</v>
      </c>
      <c r="P86" s="535">
        <v>25364</v>
      </c>
      <c r="Q86" s="525">
        <f>IF(M86=1,SUM($P$71:P86),0)</f>
        <v>0</v>
      </c>
      <c r="R86" s="235">
        <f t="shared" si="18"/>
        <v>0</v>
      </c>
      <c r="T86" s="526">
        <f t="shared" si="24"/>
        <v>45732</v>
      </c>
    </row>
    <row r="87" spans="2:20" ht="19.25" hidden="1" customHeight="1" outlineLevel="1">
      <c r="B87" s="520">
        <f t="shared" si="22"/>
        <v>45733</v>
      </c>
      <c r="C87" s="233">
        <f t="shared" si="19"/>
        <v>45733</v>
      </c>
      <c r="D87" s="234">
        <f>目標_2025R7!D96</f>
        <v>1</v>
      </c>
      <c r="E87" s="525">
        <f>IF(D87=1,'適正原価率表(仕入れお小遣い制度)'!$J$8,0)</f>
        <v>65138.070936919445</v>
      </c>
      <c r="F87" s="525">
        <f>IF(D87=1,SUM($E$71:E87),0)</f>
        <v>911932.99311687204</v>
      </c>
      <c r="G87" s="535">
        <v>41028</v>
      </c>
      <c r="H87" s="525">
        <f>IF(D87=1,SUM($G$71:G87),0)</f>
        <v>636343</v>
      </c>
      <c r="I87" s="235">
        <f t="shared" si="23"/>
        <v>275589.99311687204</v>
      </c>
      <c r="J87" s="227"/>
      <c r="K87" s="520">
        <f t="shared" si="20"/>
        <v>45733</v>
      </c>
      <c r="L87" s="521">
        <f t="shared" si="21"/>
        <v>45733</v>
      </c>
      <c r="M87" s="524">
        <f t="shared" si="17"/>
        <v>1</v>
      </c>
      <c r="N87" s="525">
        <f>IF(M87=1,'適正原価率表(仕入れお小遣い制度)'!$J$9,0)</f>
        <v>14048.303585913345</v>
      </c>
      <c r="O87" s="525">
        <f>IF(M87=1,SUM($N$71:N87),0)</f>
        <v>196676.2502027869</v>
      </c>
      <c r="P87" s="535">
        <v>29823</v>
      </c>
      <c r="Q87" s="525">
        <f>IF(M87=1,SUM($P$71:P87),0)</f>
        <v>289398</v>
      </c>
      <c r="R87" s="235">
        <f t="shared" si="18"/>
        <v>-92721.749797213095</v>
      </c>
      <c r="T87" s="526">
        <f t="shared" si="24"/>
        <v>45733</v>
      </c>
    </row>
    <row r="88" spans="2:20" ht="19.25" hidden="1" customHeight="1" outlineLevel="1">
      <c r="B88" s="520">
        <f t="shared" si="22"/>
        <v>45734</v>
      </c>
      <c r="C88" s="233">
        <f t="shared" si="19"/>
        <v>45734</v>
      </c>
      <c r="D88" s="234">
        <f>目標_2025R7!D97</f>
        <v>1</v>
      </c>
      <c r="E88" s="525">
        <f>IF(D88=1,'適正原価率表(仕入れお小遣い制度)'!$J$8,0)</f>
        <v>65138.070936919445</v>
      </c>
      <c r="F88" s="525">
        <f>IF(D88=1,SUM($E$71:E88),0)</f>
        <v>977071.06405379146</v>
      </c>
      <c r="G88" s="535">
        <v>41082</v>
      </c>
      <c r="H88" s="525">
        <f>IF(D88=1,SUM($G$71:G88),0)</f>
        <v>677425</v>
      </c>
      <c r="I88" s="235">
        <f t="shared" si="23"/>
        <v>299646.06405379146</v>
      </c>
      <c r="J88" s="227"/>
      <c r="K88" s="520">
        <f t="shared" si="20"/>
        <v>45734</v>
      </c>
      <c r="L88" s="521">
        <f t="shared" si="21"/>
        <v>45734</v>
      </c>
      <c r="M88" s="524">
        <f t="shared" si="17"/>
        <v>1</v>
      </c>
      <c r="N88" s="525">
        <f>IF(M88=1,'適正原価率表(仕入れお小遣い制度)'!$J$9,0)</f>
        <v>14048.303585913345</v>
      </c>
      <c r="O88" s="525">
        <f>IF(M88=1,SUM($N$71:N88),0)</f>
        <v>210724.55378870026</v>
      </c>
      <c r="P88" s="535">
        <v>0</v>
      </c>
      <c r="Q88" s="525">
        <f>IF(M88=1,SUM($P$71:P88),0)</f>
        <v>289398</v>
      </c>
      <c r="R88" s="235">
        <f t="shared" si="18"/>
        <v>-78673.446211299743</v>
      </c>
      <c r="T88" s="526">
        <f t="shared" si="24"/>
        <v>45734</v>
      </c>
    </row>
    <row r="89" spans="2:20" ht="19.25" hidden="1" customHeight="1" outlineLevel="1">
      <c r="B89" s="520">
        <f t="shared" si="22"/>
        <v>45735</v>
      </c>
      <c r="C89" s="233">
        <f t="shared" si="19"/>
        <v>45735</v>
      </c>
      <c r="D89" s="234">
        <f>目標_2025R7!D98</f>
        <v>1</v>
      </c>
      <c r="E89" s="525">
        <f>IF(D89=1,'適正原価率表(仕入れお小遣い制度)'!$J$8,0)</f>
        <v>65138.070936919445</v>
      </c>
      <c r="F89" s="525">
        <f>IF(D89=1,SUM($E$71:E89),0)</f>
        <v>1042209.1349907109</v>
      </c>
      <c r="G89" s="535">
        <v>95029</v>
      </c>
      <c r="H89" s="525">
        <f>IF(D89=1,SUM($G$71:G89),0)</f>
        <v>772454</v>
      </c>
      <c r="I89" s="235">
        <f t="shared" si="23"/>
        <v>269755.13499071088</v>
      </c>
      <c r="J89" s="227"/>
      <c r="K89" s="520">
        <f t="shared" si="20"/>
        <v>45735</v>
      </c>
      <c r="L89" s="521">
        <f t="shared" si="21"/>
        <v>45735</v>
      </c>
      <c r="M89" s="524">
        <f t="shared" si="17"/>
        <v>1</v>
      </c>
      <c r="N89" s="525">
        <f>IF(M89=1,'適正原価率表(仕入れお小遣い制度)'!$J$9,0)</f>
        <v>14048.303585913345</v>
      </c>
      <c r="O89" s="525">
        <f>IF(M89=1,SUM($N$71:N89),0)</f>
        <v>224772.85737461361</v>
      </c>
      <c r="P89" s="535">
        <v>32056</v>
      </c>
      <c r="Q89" s="525">
        <f>IF(M89=1,SUM($P$71:P89),0)</f>
        <v>321454</v>
      </c>
      <c r="R89" s="235">
        <f t="shared" si="18"/>
        <v>-96681.14262538639</v>
      </c>
      <c r="T89" s="526">
        <f t="shared" si="24"/>
        <v>45735</v>
      </c>
    </row>
    <row r="90" spans="2:20" ht="19.25" hidden="1" customHeight="1" outlineLevel="1">
      <c r="B90" s="520">
        <f t="shared" si="22"/>
        <v>45736</v>
      </c>
      <c r="C90" s="233">
        <f t="shared" si="19"/>
        <v>45736</v>
      </c>
      <c r="D90" s="234">
        <f>目標_2025R7!D99</f>
        <v>0</v>
      </c>
      <c r="E90" s="525">
        <f>IF(D90=1,'適正原価率表(仕入れお小遣い制度)'!$J$8,0)</f>
        <v>0</v>
      </c>
      <c r="F90" s="525">
        <f>IF(D90=1,SUM($E$71:E90),0)</f>
        <v>0</v>
      </c>
      <c r="G90" s="535">
        <v>72053</v>
      </c>
      <c r="H90" s="525">
        <f>IF(D90=1,SUM($G$71:G90),0)</f>
        <v>0</v>
      </c>
      <c r="I90" s="235">
        <f t="shared" si="23"/>
        <v>0</v>
      </c>
      <c r="J90" s="227"/>
      <c r="K90" s="520">
        <f t="shared" si="20"/>
        <v>45736</v>
      </c>
      <c r="L90" s="521">
        <f t="shared" si="21"/>
        <v>45736</v>
      </c>
      <c r="M90" s="524">
        <f t="shared" si="17"/>
        <v>0</v>
      </c>
      <c r="N90" s="525">
        <f>IF(M90=1,'適正原価率表(仕入れお小遣い制度)'!$J$9,0)</f>
        <v>0</v>
      </c>
      <c r="O90" s="525">
        <f>IF(M90=1,SUM($N$71:N90),0)</f>
        <v>0</v>
      </c>
      <c r="P90" s="535">
        <v>1339</v>
      </c>
      <c r="Q90" s="525">
        <f>IF(M90=1,SUM($P$71:P90),0)</f>
        <v>0</v>
      </c>
      <c r="R90" s="235">
        <f t="shared" si="18"/>
        <v>0</v>
      </c>
      <c r="T90" s="526">
        <f t="shared" si="24"/>
        <v>45736</v>
      </c>
    </row>
    <row r="91" spans="2:20" ht="19.25" hidden="1" customHeight="1" outlineLevel="1">
      <c r="B91" s="520">
        <f t="shared" si="22"/>
        <v>45737</v>
      </c>
      <c r="C91" s="233">
        <f t="shared" si="19"/>
        <v>45737</v>
      </c>
      <c r="D91" s="234">
        <f>目標_2025R7!D100</f>
        <v>1</v>
      </c>
      <c r="E91" s="525">
        <f>IF(D91=1,'適正原価率表(仕入れお小遣い制度)'!$J$8,0)</f>
        <v>65138.070936919445</v>
      </c>
      <c r="F91" s="525">
        <f>IF(D91=1,SUM($E$71:E91),0)</f>
        <v>1107347.2059276304</v>
      </c>
      <c r="G91" s="535">
        <v>0</v>
      </c>
      <c r="H91" s="525">
        <f>IF(D91=1,SUM($G$71:G91),0)</f>
        <v>844507</v>
      </c>
      <c r="I91" s="235">
        <f t="shared" si="23"/>
        <v>262840.20592763042</v>
      </c>
      <c r="J91" s="227"/>
      <c r="K91" s="520">
        <f t="shared" si="20"/>
        <v>45737</v>
      </c>
      <c r="L91" s="521">
        <f t="shared" si="21"/>
        <v>45737</v>
      </c>
      <c r="M91" s="524">
        <f t="shared" si="17"/>
        <v>1</v>
      </c>
      <c r="N91" s="525">
        <f>IF(M91=1,'適正原価率表(仕入れお小遣い制度)'!$J$9,0)</f>
        <v>14048.303585913345</v>
      </c>
      <c r="O91" s="525">
        <f>IF(M91=1,SUM($N$71:N91),0)</f>
        <v>238821.16096052696</v>
      </c>
      <c r="P91" s="535">
        <v>0</v>
      </c>
      <c r="Q91" s="525">
        <f>IF(M91=1,SUM($P$71:P91),0)</f>
        <v>322793</v>
      </c>
      <c r="R91" s="235">
        <f t="shared" si="18"/>
        <v>-83971.839039473038</v>
      </c>
      <c r="T91" s="526">
        <f t="shared" si="24"/>
        <v>45737</v>
      </c>
    </row>
    <row r="92" spans="2:20" ht="19.25" hidden="1" customHeight="1" outlineLevel="1">
      <c r="B92" s="520">
        <f t="shared" si="22"/>
        <v>45738</v>
      </c>
      <c r="C92" s="233">
        <f t="shared" si="19"/>
        <v>45738</v>
      </c>
      <c r="D92" s="234">
        <f>目標_2025R7!D101</f>
        <v>1</v>
      </c>
      <c r="E92" s="525">
        <f>IF(D92=1,'適正原価率表(仕入れお小遣い制度)'!$J$8,0)</f>
        <v>65138.070936919445</v>
      </c>
      <c r="F92" s="525">
        <f>IF(D92=1,SUM($E$71:E92),0)</f>
        <v>1172485.2768645498</v>
      </c>
      <c r="G92" s="535">
        <v>91372</v>
      </c>
      <c r="H92" s="525">
        <f>IF(D92=1,SUM($G$71:G92),0)</f>
        <v>935879</v>
      </c>
      <c r="I92" s="235">
        <f t="shared" si="23"/>
        <v>236606.27686454984</v>
      </c>
      <c r="J92" s="227"/>
      <c r="K92" s="520">
        <f t="shared" si="20"/>
        <v>45738</v>
      </c>
      <c r="L92" s="521">
        <f t="shared" si="21"/>
        <v>45738</v>
      </c>
      <c r="M92" s="524">
        <f t="shared" si="17"/>
        <v>1</v>
      </c>
      <c r="N92" s="525">
        <f>IF(M92=1,'適正原価率表(仕入れお小遣い制度)'!$J$9,0)</f>
        <v>14048.303585913345</v>
      </c>
      <c r="O92" s="525">
        <f>IF(M92=1,SUM($N$71:N92),0)</f>
        <v>252869.46454644031</v>
      </c>
      <c r="P92" s="535">
        <v>29437</v>
      </c>
      <c r="Q92" s="525">
        <f>IF(M92=1,SUM($P$71:P92),0)</f>
        <v>352230</v>
      </c>
      <c r="R92" s="235">
        <f t="shared" si="18"/>
        <v>-99360.535453559685</v>
      </c>
      <c r="T92" s="526">
        <f t="shared" si="24"/>
        <v>45738</v>
      </c>
    </row>
    <row r="93" spans="2:20" ht="19.25" hidden="1" customHeight="1" outlineLevel="1">
      <c r="B93" s="520">
        <f t="shared" si="22"/>
        <v>45739</v>
      </c>
      <c r="C93" s="233">
        <f t="shared" si="19"/>
        <v>45739</v>
      </c>
      <c r="D93" s="234">
        <f>目標_2025R7!D102</f>
        <v>0</v>
      </c>
      <c r="E93" s="525">
        <f>IF(D93=1,'適正原価率表(仕入れお小遣い制度)'!$J$8,0)</f>
        <v>0</v>
      </c>
      <c r="F93" s="525">
        <f>IF(D93=1,SUM($E$71:E93),0)</f>
        <v>0</v>
      </c>
      <c r="G93" s="535">
        <v>90892</v>
      </c>
      <c r="H93" s="525">
        <f>IF(D93=1,SUM($G$71:G93),0)</f>
        <v>0</v>
      </c>
      <c r="I93" s="235">
        <f t="shared" si="23"/>
        <v>0</v>
      </c>
      <c r="J93" s="227"/>
      <c r="K93" s="520">
        <f t="shared" si="20"/>
        <v>45739</v>
      </c>
      <c r="L93" s="521">
        <f t="shared" si="21"/>
        <v>45739</v>
      </c>
      <c r="M93" s="524">
        <f t="shared" si="17"/>
        <v>0</v>
      </c>
      <c r="N93" s="525">
        <f>IF(M93=1,'適正原価率表(仕入れお小遣い制度)'!$J$9,0)</f>
        <v>0</v>
      </c>
      <c r="O93" s="525">
        <f>IF(M93=1,SUM($N$71:N93),0)</f>
        <v>0</v>
      </c>
      <c r="P93" s="535">
        <v>21394</v>
      </c>
      <c r="Q93" s="525">
        <f>IF(M93=1,SUM($P$71:P93),0)</f>
        <v>0</v>
      </c>
      <c r="R93" s="235">
        <f t="shared" si="18"/>
        <v>0</v>
      </c>
      <c r="T93" s="526">
        <f t="shared" si="24"/>
        <v>45739</v>
      </c>
    </row>
    <row r="94" spans="2:20" ht="19.25" hidden="1" customHeight="1" outlineLevel="1">
      <c r="B94" s="520">
        <f t="shared" si="22"/>
        <v>45740</v>
      </c>
      <c r="C94" s="233">
        <f t="shared" si="19"/>
        <v>45740</v>
      </c>
      <c r="D94" s="234">
        <f>目標_2025R7!D103</f>
        <v>1</v>
      </c>
      <c r="E94" s="525">
        <f>IF(D94=1,'適正原価率表(仕入れお小遣い制度)'!$J$8,0)</f>
        <v>65138.070936919445</v>
      </c>
      <c r="F94" s="525">
        <f>IF(D94=1,SUM($E$71:E94),0)</f>
        <v>1237623.3478014693</v>
      </c>
      <c r="G94" s="535">
        <v>38512</v>
      </c>
      <c r="H94" s="525">
        <f>IF(D94=1,SUM($G$71:G94),0)</f>
        <v>1065283</v>
      </c>
      <c r="I94" s="235">
        <f t="shared" si="23"/>
        <v>172340.34780146927</v>
      </c>
      <c r="J94" s="227"/>
      <c r="K94" s="520">
        <f t="shared" si="20"/>
        <v>45740</v>
      </c>
      <c r="L94" s="521">
        <f t="shared" si="21"/>
        <v>45740</v>
      </c>
      <c r="M94" s="524">
        <f t="shared" si="17"/>
        <v>1</v>
      </c>
      <c r="N94" s="525">
        <f>IF(M94=1,'適正原価率表(仕入れお小遣い制度)'!$J$9,0)</f>
        <v>14048.303585913345</v>
      </c>
      <c r="O94" s="525">
        <f>IF(M94=1,SUM($N$71:N94),0)</f>
        <v>266917.76813235367</v>
      </c>
      <c r="P94" s="535">
        <v>16054</v>
      </c>
      <c r="Q94" s="525">
        <f>IF(M94=1,SUM($P$71:P94),0)</f>
        <v>389678</v>
      </c>
      <c r="R94" s="235">
        <f t="shared" si="18"/>
        <v>-122760.23186764633</v>
      </c>
      <c r="T94" s="526">
        <f t="shared" si="24"/>
        <v>45740</v>
      </c>
    </row>
    <row r="95" spans="2:20" ht="19.25" hidden="1" customHeight="1" outlineLevel="1">
      <c r="B95" s="520">
        <f t="shared" si="22"/>
        <v>45741</v>
      </c>
      <c r="C95" s="233">
        <f t="shared" si="19"/>
        <v>45741</v>
      </c>
      <c r="D95" s="234">
        <f>目標_2025R7!D104</f>
        <v>1</v>
      </c>
      <c r="E95" s="525">
        <f>IF(D95=1,'適正原価率表(仕入れお小遣い制度)'!$J$8,0)</f>
        <v>65138.070936919445</v>
      </c>
      <c r="F95" s="525">
        <f>IF(D95=1,SUM($E$71:E95),0)</f>
        <v>1302761.4187383887</v>
      </c>
      <c r="G95" s="535">
        <v>108265</v>
      </c>
      <c r="H95" s="525">
        <f>IF(D95=1,SUM($G$71:G95),0)</f>
        <v>1173548</v>
      </c>
      <c r="I95" s="235">
        <f t="shared" si="23"/>
        <v>129213.41873838869</v>
      </c>
      <c r="J95" s="227"/>
      <c r="K95" s="520">
        <f t="shared" si="20"/>
        <v>45741</v>
      </c>
      <c r="L95" s="521">
        <f t="shared" si="21"/>
        <v>45741</v>
      </c>
      <c r="M95" s="524">
        <f t="shared" si="17"/>
        <v>1</v>
      </c>
      <c r="N95" s="525">
        <f>IF(M95=1,'適正原価率表(仕入れお小遣い制度)'!$J$9,0)</f>
        <v>14048.303585913345</v>
      </c>
      <c r="O95" s="525">
        <f>IF(M95=1,SUM($N$71:N95),0)</f>
        <v>280966.07171826699</v>
      </c>
      <c r="P95" s="535">
        <v>50059</v>
      </c>
      <c r="Q95" s="525">
        <f>IF(M95=1,SUM($P$71:P95),0)</f>
        <v>439737</v>
      </c>
      <c r="R95" s="235">
        <f t="shared" si="18"/>
        <v>-158770.92828173301</v>
      </c>
      <c r="T95" s="526">
        <f t="shared" si="24"/>
        <v>45741</v>
      </c>
    </row>
    <row r="96" spans="2:20" ht="19.25" hidden="1" customHeight="1" outlineLevel="1">
      <c r="B96" s="520">
        <f t="shared" si="22"/>
        <v>45742</v>
      </c>
      <c r="C96" s="233">
        <f>B96</f>
        <v>45742</v>
      </c>
      <c r="D96" s="234">
        <f>目標_2025R7!D105</f>
        <v>1</v>
      </c>
      <c r="E96" s="525">
        <f>IF(D96=1,'適正原価率表(仕入れお小遣い制度)'!$J$8,0)</f>
        <v>65138.070936919445</v>
      </c>
      <c r="F96" s="525">
        <f>IF(D96=1,SUM($E$71:E96),0)</f>
        <v>1367899.4896753081</v>
      </c>
      <c r="G96" s="535">
        <v>100211</v>
      </c>
      <c r="H96" s="525">
        <f>IF(D96=1,SUM($G$71:G96),0)</f>
        <v>1273759</v>
      </c>
      <c r="I96" s="235">
        <f t="shared" si="23"/>
        <v>94140.489675308112</v>
      </c>
      <c r="J96" s="227"/>
      <c r="K96" s="520">
        <f t="shared" ref="K96:L101" si="25">B96</f>
        <v>45742</v>
      </c>
      <c r="L96" s="521">
        <f t="shared" si="25"/>
        <v>45742</v>
      </c>
      <c r="M96" s="524">
        <f t="shared" si="17"/>
        <v>1</v>
      </c>
      <c r="N96" s="525">
        <f>IF(M96=1,'適正原価率表(仕入れお小遣い制度)'!$J$9,0)</f>
        <v>14048.303585913345</v>
      </c>
      <c r="O96" s="525">
        <f>IF(M96=1,SUM($N$71:N96),0)</f>
        <v>295014.37530418031</v>
      </c>
      <c r="P96" s="535">
        <v>11253</v>
      </c>
      <c r="Q96" s="525">
        <f>IF(M96=1,SUM($P$71:P96),0)</f>
        <v>450990</v>
      </c>
      <c r="R96" s="235">
        <f t="shared" si="18"/>
        <v>-155975.62469581969</v>
      </c>
      <c r="T96" s="526">
        <f t="shared" si="24"/>
        <v>45742</v>
      </c>
    </row>
    <row r="97" spans="2:20" ht="19.25" hidden="1" customHeight="1" outlineLevel="1">
      <c r="B97" s="520">
        <f t="shared" si="22"/>
        <v>45743</v>
      </c>
      <c r="C97" s="233">
        <f t="shared" si="19"/>
        <v>45743</v>
      </c>
      <c r="D97" s="234">
        <f>目標_2025R7!D106</f>
        <v>1</v>
      </c>
      <c r="E97" s="525">
        <f>IF(D97=1,'適正原価率表(仕入れお小遣い制度)'!$J$8,0)</f>
        <v>65138.070936919445</v>
      </c>
      <c r="F97" s="525">
        <f>IF(D97=1,SUM($E$71:E97),0)</f>
        <v>1433037.5606122275</v>
      </c>
      <c r="G97" s="535">
        <v>3581</v>
      </c>
      <c r="H97" s="525">
        <f>IF(D97=1,SUM($G$71:G97),0)</f>
        <v>1277340</v>
      </c>
      <c r="I97" s="235">
        <f t="shared" si="23"/>
        <v>155697.56061222753</v>
      </c>
      <c r="J97" s="227"/>
      <c r="K97" s="520">
        <f t="shared" si="25"/>
        <v>45743</v>
      </c>
      <c r="L97" s="521">
        <f t="shared" si="25"/>
        <v>45743</v>
      </c>
      <c r="M97" s="524">
        <f t="shared" si="17"/>
        <v>1</v>
      </c>
      <c r="N97" s="525">
        <f>IF(M97=1,'適正原価率表(仕入れお小遣い制度)'!$J$9,0)</f>
        <v>14048.303585913345</v>
      </c>
      <c r="O97" s="525">
        <f>IF(M97=1,SUM($N$71:N97),0)</f>
        <v>309062.67889009364</v>
      </c>
      <c r="P97" s="535">
        <v>0</v>
      </c>
      <c r="Q97" s="525">
        <f>IF(M97=1,SUM($P$71:P97),0)</f>
        <v>450990</v>
      </c>
      <c r="R97" s="235">
        <f t="shared" si="18"/>
        <v>-141927.32110990636</v>
      </c>
      <c r="T97" s="526">
        <f t="shared" si="24"/>
        <v>45743</v>
      </c>
    </row>
    <row r="98" spans="2:20" ht="19.25" hidden="1" customHeight="1" outlineLevel="1">
      <c r="B98" s="520">
        <f t="shared" si="22"/>
        <v>45744</v>
      </c>
      <c r="C98" s="233">
        <f t="shared" si="19"/>
        <v>45744</v>
      </c>
      <c r="D98" s="234">
        <f>目標_2025R7!D107</f>
        <v>1</v>
      </c>
      <c r="E98" s="525">
        <f>IF(D98=1,'適正原価率表(仕入れお小遣い制度)'!$J$8,0)</f>
        <v>65138.070936919445</v>
      </c>
      <c r="F98" s="525">
        <f>IF(D98=1,SUM($E$71:E98),0)</f>
        <v>1498175.631549147</v>
      </c>
      <c r="G98" s="535">
        <v>0</v>
      </c>
      <c r="H98" s="525">
        <f>IF(D98=1,SUM($G$71:G98),0)</f>
        <v>1277340</v>
      </c>
      <c r="I98" s="235">
        <f t="shared" si="23"/>
        <v>220835.63154914696</v>
      </c>
      <c r="J98" s="227"/>
      <c r="K98" s="520">
        <f t="shared" si="25"/>
        <v>45744</v>
      </c>
      <c r="L98" s="521">
        <f t="shared" si="25"/>
        <v>45744</v>
      </c>
      <c r="M98" s="524">
        <f t="shared" si="17"/>
        <v>1</v>
      </c>
      <c r="N98" s="525">
        <f>IF(M98=1,'適正原価率表(仕入れお小遣い制度)'!$J$9,0)</f>
        <v>14048.303585913345</v>
      </c>
      <c r="O98" s="525">
        <f>IF(M98=1,SUM($N$71:N98),0)</f>
        <v>323110.98247600696</v>
      </c>
      <c r="P98" s="535">
        <v>0</v>
      </c>
      <c r="Q98" s="525">
        <f>IF(M98=1,SUM($P$71:P98),0)</f>
        <v>450990</v>
      </c>
      <c r="R98" s="235">
        <f t="shared" si="18"/>
        <v>-127879.01752399304</v>
      </c>
      <c r="T98" s="526">
        <f t="shared" si="24"/>
        <v>45744</v>
      </c>
    </row>
    <row r="99" spans="2:20" ht="19.25" hidden="1" customHeight="1" outlineLevel="1">
      <c r="B99" s="520">
        <f t="shared" si="22"/>
        <v>45745</v>
      </c>
      <c r="C99" s="233">
        <f t="shared" si="19"/>
        <v>45745</v>
      </c>
      <c r="D99" s="234">
        <f>目標_2025R7!D108</f>
        <v>1</v>
      </c>
      <c r="E99" s="525">
        <f>IF(D99=1,'適正原価率表(仕入れお小遣い制度)'!$J$8,0)</f>
        <v>65138.070936919445</v>
      </c>
      <c r="F99" s="525">
        <f>IF(D99=1,SUM($E$71:E99),0)</f>
        <v>1563313.7024860664</v>
      </c>
      <c r="G99" s="535">
        <v>41608</v>
      </c>
      <c r="H99" s="525">
        <f>IF(D99=1,SUM($G$71:G99),0)</f>
        <v>1318948</v>
      </c>
      <c r="I99" s="235">
        <f t="shared" si="23"/>
        <v>244365.70248606638</v>
      </c>
      <c r="J99" s="227"/>
      <c r="K99" s="520">
        <f t="shared" si="25"/>
        <v>45745</v>
      </c>
      <c r="L99" s="521">
        <f t="shared" si="25"/>
        <v>45745</v>
      </c>
      <c r="M99" s="524">
        <f t="shared" si="17"/>
        <v>1</v>
      </c>
      <c r="N99" s="525">
        <f>IF(M99=1,'適正原価率表(仕入れお小遣い制度)'!$J$9,0)</f>
        <v>14048.303585913345</v>
      </c>
      <c r="O99" s="525">
        <f>IF(M99=1,SUM($N$71:N99),0)</f>
        <v>337159.28606192028</v>
      </c>
      <c r="P99" s="535">
        <v>0</v>
      </c>
      <c r="Q99" s="525">
        <f>IF(M99=1,SUM($P$71:P99),0)</f>
        <v>450990</v>
      </c>
      <c r="R99" s="235">
        <f t="shared" si="18"/>
        <v>-113830.71393807972</v>
      </c>
      <c r="T99" s="526">
        <f t="shared" si="24"/>
        <v>45745</v>
      </c>
    </row>
    <row r="100" spans="2:20" ht="19.25" hidden="1" customHeight="1" outlineLevel="1">
      <c r="B100" s="520">
        <f t="shared" si="22"/>
        <v>45746</v>
      </c>
      <c r="C100" s="233">
        <f t="shared" si="19"/>
        <v>45746</v>
      </c>
      <c r="D100" s="234">
        <f>目標_2025R7!D109</f>
        <v>0</v>
      </c>
      <c r="E100" s="525">
        <f>IF(D100=1,'適正原価率表(仕入れお小遣い制度)'!$J$8,0)</f>
        <v>0</v>
      </c>
      <c r="F100" s="525">
        <f>IF(D100=1,SUM($E$71:E100),0)</f>
        <v>0</v>
      </c>
      <c r="G100" s="535">
        <v>0</v>
      </c>
      <c r="H100" s="525">
        <f>IF(D100=1,SUM($G$71:G100),0)</f>
        <v>0</v>
      </c>
      <c r="I100" s="235">
        <f t="shared" si="23"/>
        <v>0</v>
      </c>
      <c r="J100" s="227"/>
      <c r="K100" s="520">
        <f t="shared" si="25"/>
        <v>45746</v>
      </c>
      <c r="L100" s="521">
        <f t="shared" si="25"/>
        <v>45746</v>
      </c>
      <c r="M100" s="524">
        <f t="shared" si="17"/>
        <v>0</v>
      </c>
      <c r="N100" s="525">
        <f>IF(M100=1,'適正原価率表(仕入れお小遣い制度)'!$J$9,0)</f>
        <v>0</v>
      </c>
      <c r="O100" s="525">
        <f>IF(M100=1,SUM($N$71:N100),0)</f>
        <v>0</v>
      </c>
      <c r="P100" s="535">
        <v>0</v>
      </c>
      <c r="Q100" s="525">
        <f>IF(M100=1,SUM($P$71:P100),0)</f>
        <v>0</v>
      </c>
      <c r="R100" s="235">
        <f t="shared" si="18"/>
        <v>0</v>
      </c>
      <c r="T100" s="526">
        <f t="shared" si="24"/>
        <v>45746</v>
      </c>
    </row>
    <row r="101" spans="2:20" ht="19.25" hidden="1" customHeight="1" outlineLevel="1">
      <c r="B101" s="520">
        <f t="shared" si="22"/>
        <v>45747</v>
      </c>
      <c r="C101" s="233">
        <f t="shared" si="19"/>
        <v>45747</v>
      </c>
      <c r="D101" s="234">
        <f>目標_2025R7!D110</f>
        <v>1</v>
      </c>
      <c r="E101" s="525">
        <f>IF(D101=1,'適正原価率表(仕入れお小遣い制度)'!$J$8,0)</f>
        <v>65138.070936919445</v>
      </c>
      <c r="F101" s="525">
        <f>IF(D101=1,SUM($E$71:E101),0)</f>
        <v>1628451.7734229858</v>
      </c>
      <c r="G101" s="535">
        <v>0</v>
      </c>
      <c r="H101" s="525">
        <f>IF(D101=1,SUM($G$71:G101),0)</f>
        <v>1318948</v>
      </c>
      <c r="I101" s="235">
        <f t="shared" si="23"/>
        <v>309503.7734229858</v>
      </c>
      <c r="J101" s="227"/>
      <c r="K101" s="520">
        <f t="shared" si="25"/>
        <v>45747</v>
      </c>
      <c r="L101" s="521">
        <f t="shared" si="25"/>
        <v>45747</v>
      </c>
      <c r="M101" s="524">
        <f t="shared" si="17"/>
        <v>1</v>
      </c>
      <c r="N101" s="525">
        <f>IF(M101=1,'適正原価率表(仕入れお小遣い制度)'!$J$9,0)</f>
        <v>14048.303585913345</v>
      </c>
      <c r="O101" s="525">
        <f>IF(M101=1,SUM($N$71:N101),0)</f>
        <v>351207.58964783361</v>
      </c>
      <c r="P101" s="535">
        <v>0</v>
      </c>
      <c r="Q101" s="525">
        <f>IF(M101=1,SUM($P$71:P101),0)</f>
        <v>450990</v>
      </c>
      <c r="R101" s="235">
        <f t="shared" si="18"/>
        <v>-99782.410352166393</v>
      </c>
      <c r="T101" s="526">
        <f t="shared" si="24"/>
        <v>45747</v>
      </c>
    </row>
    <row r="102" spans="2:20" ht="19.25" hidden="1" customHeight="1" outlineLevel="1">
      <c r="B102" s="860" t="s">
        <v>211</v>
      </c>
      <c r="C102" s="861"/>
      <c r="D102" s="862"/>
      <c r="E102" s="528">
        <f>SUM(E71:E101)</f>
        <v>1628451.7734229858</v>
      </c>
      <c r="F102" s="514"/>
      <c r="G102" s="515"/>
      <c r="H102" s="515"/>
      <c r="I102" s="515"/>
      <c r="J102" s="227"/>
      <c r="K102" s="860" t="s">
        <v>211</v>
      </c>
      <c r="L102" s="861"/>
      <c r="M102" s="862"/>
      <c r="N102" s="528">
        <f>SUM(N71:N101)</f>
        <v>351207.58964783361</v>
      </c>
      <c r="O102" s="514"/>
      <c r="P102" s="515"/>
      <c r="Q102" s="515"/>
      <c r="R102" s="515"/>
    </row>
    <row r="103" spans="2:20" ht="19.25" customHeight="1" collapsed="1">
      <c r="B103" s="519"/>
      <c r="C103" s="519"/>
      <c r="D103" s="519"/>
      <c r="E103" s="519"/>
      <c r="F103" s="519"/>
      <c r="G103" s="519">
        <v>87753</v>
      </c>
      <c r="H103" s="519"/>
      <c r="I103" s="519"/>
      <c r="J103" s="227"/>
      <c r="K103" s="519"/>
      <c r="L103" s="519"/>
      <c r="M103" s="519"/>
      <c r="N103" s="519"/>
      <c r="O103" s="519"/>
      <c r="P103" s="519">
        <v>42866</v>
      </c>
      <c r="Q103" s="519"/>
      <c r="R103" s="519"/>
    </row>
    <row r="104" spans="2:20" s="231" customFormat="1">
      <c r="B104" s="863" t="s">
        <v>249</v>
      </c>
      <c r="C104" s="864"/>
      <c r="D104" s="865"/>
      <c r="E104" s="228" t="s">
        <v>129</v>
      </c>
      <c r="F104" s="229" t="s">
        <v>130</v>
      </c>
      <c r="G104" s="229">
        <v>19501</v>
      </c>
      <c r="H104" s="229" t="s">
        <v>132</v>
      </c>
      <c r="I104" s="229" t="s">
        <v>133</v>
      </c>
      <c r="J104" s="230"/>
      <c r="K104" s="866" t="str">
        <f>B104</f>
        <v>4月</v>
      </c>
      <c r="L104" s="866"/>
      <c r="M104" s="866"/>
      <c r="N104" s="228" t="s">
        <v>134</v>
      </c>
      <c r="O104" s="229" t="s">
        <v>135</v>
      </c>
      <c r="P104" s="229">
        <v>31764</v>
      </c>
      <c r="Q104" s="229" t="s">
        <v>137</v>
      </c>
      <c r="R104" s="229" t="s">
        <v>133</v>
      </c>
    </row>
    <row r="105" spans="2:20" ht="19.25" hidden="1" customHeight="1" outlineLevel="1">
      <c r="B105" s="520">
        <f>B101+1</f>
        <v>45748</v>
      </c>
      <c r="C105" s="233">
        <f>B105</f>
        <v>45748</v>
      </c>
      <c r="D105" s="234">
        <f>目標_2025R7!D111</f>
        <v>1</v>
      </c>
      <c r="E105" s="525">
        <f>IF(D105=1,'適正原価率表(仕入れお小遣い制度)'!$J$10,0)</f>
        <v>64189.016181380328</v>
      </c>
      <c r="F105" s="525">
        <f>IF(D105=1,E105,0)</f>
        <v>64189.016181380328</v>
      </c>
      <c r="G105" s="535">
        <v>94407</v>
      </c>
      <c r="H105" s="525">
        <f>IF(D105=1,G105,0)</f>
        <v>94407</v>
      </c>
      <c r="I105" s="235">
        <f>IF(D105=1,F105-H105,0)</f>
        <v>-30217.983818619672</v>
      </c>
      <c r="J105" s="227"/>
      <c r="K105" s="520">
        <f>B105</f>
        <v>45748</v>
      </c>
      <c r="L105" s="521">
        <f>C105</f>
        <v>45748</v>
      </c>
      <c r="M105" s="524">
        <f t="shared" ref="M105:M134" si="26">D105</f>
        <v>1</v>
      </c>
      <c r="N105" s="525">
        <f>IF(M105=1,'適正原価率表(仕入れお小遣い制度)'!$J$11,0)</f>
        <v>14681.006756272756</v>
      </c>
      <c r="O105" s="525">
        <f>IF(M105=1,N105,0)</f>
        <v>14681.006756272756</v>
      </c>
      <c r="P105" s="535">
        <v>66635</v>
      </c>
      <c r="Q105" s="525">
        <f>IF(M105=1,P105,0)</f>
        <v>66635</v>
      </c>
      <c r="R105" s="235">
        <f t="shared" ref="R105:R134" si="27">IF(D105=1,O105-Q105,0)</f>
        <v>-51953.993243727244</v>
      </c>
      <c r="T105" s="526">
        <f>T101+1</f>
        <v>45748</v>
      </c>
    </row>
    <row r="106" spans="2:20" ht="19.25" hidden="1" customHeight="1" outlineLevel="1">
      <c r="B106" s="520">
        <f>B105+1</f>
        <v>45749</v>
      </c>
      <c r="C106" s="233">
        <f t="shared" ref="C106:C134" si="28">B106</f>
        <v>45749</v>
      </c>
      <c r="D106" s="234">
        <f>目標_2025R7!D112</f>
        <v>1</v>
      </c>
      <c r="E106" s="525">
        <f>IF(D106=1,'適正原価率表(仕入れお小遣い制度)'!$J$10,0)</f>
        <v>64189.016181380328</v>
      </c>
      <c r="F106" s="525">
        <f>IF(D106=1,SUM($E$105:E106),0)</f>
        <v>128378.03236276066</v>
      </c>
      <c r="G106" s="535">
        <v>56881</v>
      </c>
      <c r="H106" s="525">
        <f>IF(D106=1,SUM($G$105:G106),0)</f>
        <v>151288</v>
      </c>
      <c r="I106" s="235">
        <f>IF(D106=1,F106-H106,0)</f>
        <v>-22909.967637239344</v>
      </c>
      <c r="J106" s="227"/>
      <c r="K106" s="520">
        <f t="shared" ref="K106:K126" si="29">B106</f>
        <v>45749</v>
      </c>
      <c r="L106" s="521">
        <f t="shared" ref="L106:L126" si="30">C106</f>
        <v>45749</v>
      </c>
      <c r="M106" s="524">
        <f t="shared" si="26"/>
        <v>1</v>
      </c>
      <c r="N106" s="525">
        <f>IF(M106=1,'適正原価率表(仕入れお小遣い制度)'!$J$11,0)</f>
        <v>14681.006756272756</v>
      </c>
      <c r="O106" s="525">
        <f>IF(M106=1,SUM($N$105:N106),0)</f>
        <v>29362.013512545513</v>
      </c>
      <c r="P106" s="535">
        <v>37991</v>
      </c>
      <c r="Q106" s="525">
        <f>IF(M106=1,SUM($P$105:P106),0)</f>
        <v>104626</v>
      </c>
      <c r="R106" s="235">
        <f t="shared" si="27"/>
        <v>-75263.986487454487</v>
      </c>
      <c r="T106" s="526">
        <f>T105+1</f>
        <v>45749</v>
      </c>
    </row>
    <row r="107" spans="2:20" ht="19.25" hidden="1" customHeight="1" outlineLevel="1">
      <c r="B107" s="520">
        <f t="shared" ref="B107:B134" si="31">B106+1</f>
        <v>45750</v>
      </c>
      <c r="C107" s="233">
        <f t="shared" si="28"/>
        <v>45750</v>
      </c>
      <c r="D107" s="234">
        <f>目標_2025R7!D113</f>
        <v>1</v>
      </c>
      <c r="E107" s="525">
        <f>IF(D107=1,'適正原価率表(仕入れお小遣い制度)'!$J$10,0)</f>
        <v>64189.016181380328</v>
      </c>
      <c r="F107" s="525">
        <f>IF(D107=1,SUM($E$105:E107),0)</f>
        <v>192567.048544141</v>
      </c>
      <c r="G107" s="535">
        <v>20117</v>
      </c>
      <c r="H107" s="525">
        <f>IF(D107=1,SUM($G$105:G107),0)</f>
        <v>171405</v>
      </c>
      <c r="I107" s="235">
        <f t="shared" ref="I107:I134" si="32">IF(D107=1,F107-H107,0)</f>
        <v>21162.048544140998</v>
      </c>
      <c r="J107" s="227"/>
      <c r="K107" s="520">
        <f t="shared" si="29"/>
        <v>45750</v>
      </c>
      <c r="L107" s="521">
        <f t="shared" si="30"/>
        <v>45750</v>
      </c>
      <c r="M107" s="524">
        <f t="shared" si="26"/>
        <v>1</v>
      </c>
      <c r="N107" s="525">
        <f>IF(M107=1,'適正原価率表(仕入れお小遣い制度)'!$J$11,0)</f>
        <v>14681.006756272756</v>
      </c>
      <c r="O107" s="525">
        <f>IF(M107=1,SUM($N$105:N107),0)</f>
        <v>44043.020268818269</v>
      </c>
      <c r="P107" s="535">
        <v>14648</v>
      </c>
      <c r="Q107" s="525">
        <f>IF(M107=1,SUM($P$105:P107),0)</f>
        <v>119274</v>
      </c>
      <c r="R107" s="235">
        <f t="shared" si="27"/>
        <v>-75230.979731181724</v>
      </c>
      <c r="T107" s="526">
        <f t="shared" ref="T107:T134" si="33">T106+1</f>
        <v>45750</v>
      </c>
    </row>
    <row r="108" spans="2:20" ht="19.25" hidden="1" customHeight="1" outlineLevel="1">
      <c r="B108" s="520">
        <f t="shared" si="31"/>
        <v>45751</v>
      </c>
      <c r="C108" s="233">
        <f t="shared" si="28"/>
        <v>45751</v>
      </c>
      <c r="D108" s="234">
        <f>目標_2025R7!D114</f>
        <v>1</v>
      </c>
      <c r="E108" s="525">
        <f>IF(D108=1,'適正原価率表(仕入れお小遣い制度)'!$J$10,0)</f>
        <v>64189.016181380328</v>
      </c>
      <c r="F108" s="525">
        <f>IF(D108=1,SUM($E$105:E108),0)</f>
        <v>256756.06472552131</v>
      </c>
      <c r="G108" s="535">
        <v>0</v>
      </c>
      <c r="H108" s="525">
        <f>IF(D108=1,SUM($G$105:G108),0)</f>
        <v>171405</v>
      </c>
      <c r="I108" s="235">
        <f t="shared" si="32"/>
        <v>85351.064725521312</v>
      </c>
      <c r="J108" s="227"/>
      <c r="K108" s="520">
        <f t="shared" si="29"/>
        <v>45751</v>
      </c>
      <c r="L108" s="521">
        <f t="shared" si="30"/>
        <v>45751</v>
      </c>
      <c r="M108" s="524">
        <f t="shared" si="26"/>
        <v>1</v>
      </c>
      <c r="N108" s="525">
        <f>IF(M108=1,'適正原価率表(仕入れお小遣い制度)'!$J$11,0)</f>
        <v>14681.006756272756</v>
      </c>
      <c r="O108" s="525">
        <f>IF(M108=1,SUM($N$105:N108),0)</f>
        <v>58724.027025091025</v>
      </c>
      <c r="P108" s="535">
        <v>0</v>
      </c>
      <c r="Q108" s="525">
        <f>IF(M108=1,SUM($P$105:P108),0)</f>
        <v>119274</v>
      </c>
      <c r="R108" s="235">
        <f t="shared" si="27"/>
        <v>-60549.972974908975</v>
      </c>
      <c r="T108" s="526">
        <f t="shared" si="33"/>
        <v>45751</v>
      </c>
    </row>
    <row r="109" spans="2:20" ht="19.25" hidden="1" customHeight="1" outlineLevel="1">
      <c r="B109" s="520">
        <f t="shared" si="31"/>
        <v>45752</v>
      </c>
      <c r="C109" s="233">
        <f t="shared" si="28"/>
        <v>45752</v>
      </c>
      <c r="D109" s="234">
        <f>目標_2025R7!D115</f>
        <v>1</v>
      </c>
      <c r="E109" s="525">
        <f>IF(D109=1,'適正原価率表(仕入れお小遣い制度)'!$J$10,0)</f>
        <v>64189.016181380328</v>
      </c>
      <c r="F109" s="525">
        <f>IF(D109=1,SUM($E$105:E109),0)</f>
        <v>320945.08090690162</v>
      </c>
      <c r="G109" s="535">
        <v>103804</v>
      </c>
      <c r="H109" s="525">
        <f>IF(D109=1,SUM($G$105:G109),0)</f>
        <v>275209</v>
      </c>
      <c r="I109" s="235">
        <f t="shared" si="32"/>
        <v>45736.080906901625</v>
      </c>
      <c r="J109" s="227"/>
      <c r="K109" s="520">
        <f t="shared" si="29"/>
        <v>45752</v>
      </c>
      <c r="L109" s="521">
        <f t="shared" si="30"/>
        <v>45752</v>
      </c>
      <c r="M109" s="524">
        <f t="shared" si="26"/>
        <v>1</v>
      </c>
      <c r="N109" s="525">
        <f>IF(M109=1,'適正原価率表(仕入れお小遣い制度)'!$J$11,0)</f>
        <v>14681.006756272756</v>
      </c>
      <c r="O109" s="525">
        <f>IF(M109=1,SUM($N$105:N109),0)</f>
        <v>73405.033781363774</v>
      </c>
      <c r="P109" s="535">
        <v>0</v>
      </c>
      <c r="Q109" s="525">
        <f>IF(M109=1,SUM($P$105:P109),0)</f>
        <v>119274</v>
      </c>
      <c r="R109" s="235">
        <f t="shared" si="27"/>
        <v>-45868.966218636226</v>
      </c>
      <c r="T109" s="526">
        <f t="shared" si="33"/>
        <v>45752</v>
      </c>
    </row>
    <row r="110" spans="2:20" ht="19.25" hidden="1" customHeight="1" outlineLevel="1">
      <c r="B110" s="520">
        <f t="shared" si="31"/>
        <v>45753</v>
      </c>
      <c r="C110" s="233">
        <f t="shared" si="28"/>
        <v>45753</v>
      </c>
      <c r="D110" s="234">
        <f>目標_2025R7!D116</f>
        <v>0</v>
      </c>
      <c r="E110" s="525">
        <f>IF(D110=1,'適正原価率表(仕入れお小遣い制度)'!$J$10,0)</f>
        <v>0</v>
      </c>
      <c r="F110" s="525">
        <f>IF(D110=1,SUM($E$105:E110),0)</f>
        <v>0</v>
      </c>
      <c r="G110" s="535">
        <v>80308</v>
      </c>
      <c r="H110" s="525">
        <f>IF(D110=1,SUM($G$105:G110),0)</f>
        <v>0</v>
      </c>
      <c r="I110" s="235">
        <f t="shared" si="32"/>
        <v>0</v>
      </c>
      <c r="J110" s="227"/>
      <c r="K110" s="520">
        <f t="shared" si="29"/>
        <v>45753</v>
      </c>
      <c r="L110" s="521">
        <f t="shared" si="30"/>
        <v>45753</v>
      </c>
      <c r="M110" s="524">
        <f t="shared" si="26"/>
        <v>0</v>
      </c>
      <c r="N110" s="525">
        <f>IF(M110=1,'適正原価率表(仕入れお小遣い制度)'!$J$11,0)</f>
        <v>0</v>
      </c>
      <c r="O110" s="525">
        <f>IF(M110=1,SUM($N$105:N110),0)</f>
        <v>0</v>
      </c>
      <c r="P110" s="535">
        <v>0</v>
      </c>
      <c r="Q110" s="525">
        <f>IF(M110=1,SUM($P$105:P110),0)</f>
        <v>0</v>
      </c>
      <c r="R110" s="235">
        <f t="shared" si="27"/>
        <v>0</v>
      </c>
      <c r="T110" s="526">
        <f t="shared" si="33"/>
        <v>45753</v>
      </c>
    </row>
    <row r="111" spans="2:20" ht="19.25" hidden="1" customHeight="1" outlineLevel="1">
      <c r="B111" s="520">
        <f t="shared" si="31"/>
        <v>45754</v>
      </c>
      <c r="C111" s="233">
        <f t="shared" si="28"/>
        <v>45754</v>
      </c>
      <c r="D111" s="234">
        <f>目標_2025R7!D117</f>
        <v>1</v>
      </c>
      <c r="E111" s="525">
        <f>IF(D111=1,'適正原価率表(仕入れお小遣い制度)'!$J$10,0)</f>
        <v>64189.016181380328</v>
      </c>
      <c r="F111" s="525">
        <f>IF(D111=1,SUM($E$105:E111),0)</f>
        <v>385134.09708828194</v>
      </c>
      <c r="G111" s="535">
        <v>7496</v>
      </c>
      <c r="H111" s="525">
        <f>IF(D111=1,SUM($G$105:G111),0)</f>
        <v>363013</v>
      </c>
      <c r="I111" s="235">
        <f t="shared" si="32"/>
        <v>22121.097088281938</v>
      </c>
      <c r="J111" s="227"/>
      <c r="K111" s="520">
        <f t="shared" si="29"/>
        <v>45754</v>
      </c>
      <c r="L111" s="521">
        <f t="shared" si="30"/>
        <v>45754</v>
      </c>
      <c r="M111" s="524">
        <f t="shared" si="26"/>
        <v>1</v>
      </c>
      <c r="N111" s="525">
        <f>IF(M111=1,'適正原価率表(仕入れお小遣い制度)'!$J$11,0)</f>
        <v>14681.006756272756</v>
      </c>
      <c r="O111" s="525">
        <f>IF(M111=1,SUM($N$105:N111),0)</f>
        <v>88086.040537636523</v>
      </c>
      <c r="P111" s="535">
        <v>56389</v>
      </c>
      <c r="Q111" s="525">
        <f>IF(M111=1,SUM($P$105:P111),0)</f>
        <v>175663</v>
      </c>
      <c r="R111" s="235">
        <f t="shared" si="27"/>
        <v>-87576.959462363477</v>
      </c>
      <c r="T111" s="526">
        <f t="shared" si="33"/>
        <v>45754</v>
      </c>
    </row>
    <row r="112" spans="2:20" ht="19.25" hidden="1" customHeight="1" outlineLevel="1">
      <c r="B112" s="520">
        <f t="shared" si="31"/>
        <v>45755</v>
      </c>
      <c r="C112" s="233">
        <f t="shared" si="28"/>
        <v>45755</v>
      </c>
      <c r="D112" s="234">
        <f>目標_2025R7!D118</f>
        <v>1</v>
      </c>
      <c r="E112" s="525">
        <f>IF(D112=1,'適正原価率表(仕入れお小遣い制度)'!$J$10,0)</f>
        <v>64189.016181380328</v>
      </c>
      <c r="F112" s="525">
        <f>IF(D112=1,SUM($E$105:E112),0)</f>
        <v>449323.11326966225</v>
      </c>
      <c r="G112" s="535">
        <v>89541</v>
      </c>
      <c r="H112" s="525">
        <f>IF(D112=1,SUM($G$105:G112),0)</f>
        <v>452554</v>
      </c>
      <c r="I112" s="235">
        <f t="shared" si="32"/>
        <v>-3230.8867303377483</v>
      </c>
      <c r="J112" s="227"/>
      <c r="K112" s="520">
        <f t="shared" si="29"/>
        <v>45755</v>
      </c>
      <c r="L112" s="521">
        <f t="shared" si="30"/>
        <v>45755</v>
      </c>
      <c r="M112" s="524">
        <f t="shared" si="26"/>
        <v>1</v>
      </c>
      <c r="N112" s="525">
        <f>IF(M112=1,'適正原価率表(仕入れお小遣い制度)'!$J$11,0)</f>
        <v>14681.006756272756</v>
      </c>
      <c r="O112" s="525">
        <f>IF(M112=1,SUM($N$105:N112),0)</f>
        <v>102767.04729390927</v>
      </c>
      <c r="P112" s="535">
        <v>9232</v>
      </c>
      <c r="Q112" s="525">
        <f>IF(M112=1,SUM($P$105:P112),0)</f>
        <v>184895</v>
      </c>
      <c r="R112" s="235">
        <f t="shared" si="27"/>
        <v>-82127.952706090728</v>
      </c>
      <c r="T112" s="526">
        <f t="shared" si="33"/>
        <v>45755</v>
      </c>
    </row>
    <row r="113" spans="2:20" ht="19.25" hidden="1" customHeight="1" outlineLevel="1">
      <c r="B113" s="520">
        <f t="shared" si="31"/>
        <v>45756</v>
      </c>
      <c r="C113" s="233">
        <f t="shared" si="28"/>
        <v>45756</v>
      </c>
      <c r="D113" s="234">
        <f>目標_2025R7!D119</f>
        <v>1</v>
      </c>
      <c r="E113" s="525">
        <f>IF(D113=1,'適正原価率表(仕入れお小遣い制度)'!$J$10,0)</f>
        <v>64189.016181380328</v>
      </c>
      <c r="F113" s="525">
        <f>IF(D113=1,SUM($E$105:E113),0)</f>
        <v>513512.12945104257</v>
      </c>
      <c r="G113" s="535">
        <v>97882</v>
      </c>
      <c r="H113" s="525">
        <f>IF(D113=1,SUM($G$105:G113),0)</f>
        <v>550436</v>
      </c>
      <c r="I113" s="235">
        <f t="shared" si="32"/>
        <v>-36923.870548957435</v>
      </c>
      <c r="J113" s="227"/>
      <c r="K113" s="520">
        <f t="shared" si="29"/>
        <v>45756</v>
      </c>
      <c r="L113" s="521">
        <f t="shared" si="30"/>
        <v>45756</v>
      </c>
      <c r="M113" s="524">
        <f t="shared" si="26"/>
        <v>1</v>
      </c>
      <c r="N113" s="525">
        <f>IF(M113=1,'適正原価率表(仕入れお小遣い制度)'!$J$11,0)</f>
        <v>14681.006756272756</v>
      </c>
      <c r="O113" s="525">
        <f>IF(M113=1,SUM($N$105:N113),0)</f>
        <v>117448.05405018202</v>
      </c>
      <c r="P113" s="535">
        <v>39263</v>
      </c>
      <c r="Q113" s="525">
        <f>IF(M113=1,SUM($P$105:P113),0)</f>
        <v>224158</v>
      </c>
      <c r="R113" s="235">
        <f t="shared" si="27"/>
        <v>-106709.94594981798</v>
      </c>
      <c r="T113" s="526">
        <f t="shared" si="33"/>
        <v>45756</v>
      </c>
    </row>
    <row r="114" spans="2:20" ht="19.25" hidden="1" customHeight="1" outlineLevel="1">
      <c r="B114" s="520">
        <f t="shared" si="31"/>
        <v>45757</v>
      </c>
      <c r="C114" s="233">
        <f t="shared" si="28"/>
        <v>45757</v>
      </c>
      <c r="D114" s="234">
        <f>目標_2025R7!D120</f>
        <v>1</v>
      </c>
      <c r="E114" s="525">
        <f>IF(D114=1,'適正原価率表(仕入れお小遣い制度)'!$J$10,0)</f>
        <v>64189.016181380328</v>
      </c>
      <c r="F114" s="525">
        <f>IF(D114=1,SUM($E$105:E114),0)</f>
        <v>577701.14563242288</v>
      </c>
      <c r="G114" s="535">
        <v>20208</v>
      </c>
      <c r="H114" s="525">
        <f>IF(D114=1,SUM($G$105:G114),0)</f>
        <v>570644</v>
      </c>
      <c r="I114" s="235">
        <f t="shared" si="32"/>
        <v>7057.1456324228784</v>
      </c>
      <c r="J114" s="227"/>
      <c r="K114" s="520">
        <f t="shared" si="29"/>
        <v>45757</v>
      </c>
      <c r="L114" s="521">
        <f t="shared" si="30"/>
        <v>45757</v>
      </c>
      <c r="M114" s="524">
        <f t="shared" si="26"/>
        <v>1</v>
      </c>
      <c r="N114" s="525">
        <f>IF(M114=1,'適正原価率表(仕入れお小遣い制度)'!$J$11,0)</f>
        <v>14681.006756272756</v>
      </c>
      <c r="O114" s="525">
        <f>IF(M114=1,SUM($N$105:N114),0)</f>
        <v>132129.06080645477</v>
      </c>
      <c r="P114" s="535">
        <v>0</v>
      </c>
      <c r="Q114" s="525">
        <f>IF(M114=1,SUM($P$105:P114),0)</f>
        <v>224158</v>
      </c>
      <c r="R114" s="235">
        <f t="shared" si="27"/>
        <v>-92028.93919354523</v>
      </c>
      <c r="T114" s="526">
        <f t="shared" si="33"/>
        <v>45757</v>
      </c>
    </row>
    <row r="115" spans="2:20" ht="19.25" hidden="1" customHeight="1" outlineLevel="1">
      <c r="B115" s="520">
        <f t="shared" si="31"/>
        <v>45758</v>
      </c>
      <c r="C115" s="233">
        <f t="shared" si="28"/>
        <v>45758</v>
      </c>
      <c r="D115" s="234">
        <f>目標_2025R7!D121</f>
        <v>1</v>
      </c>
      <c r="E115" s="525">
        <f>IF(D115=1,'適正原価率表(仕入れお小遣い制度)'!$J$10,0)</f>
        <v>64189.016181380328</v>
      </c>
      <c r="F115" s="525">
        <f>IF(D115=1,SUM($E$105:E115),0)</f>
        <v>641890.16181380325</v>
      </c>
      <c r="G115" s="535">
        <v>0</v>
      </c>
      <c r="H115" s="525">
        <f>IF(D115=1,SUM($G$105:G115),0)</f>
        <v>570644</v>
      </c>
      <c r="I115" s="235">
        <f t="shared" si="32"/>
        <v>71246.16181380325</v>
      </c>
      <c r="J115" s="227"/>
      <c r="K115" s="520">
        <f t="shared" si="29"/>
        <v>45758</v>
      </c>
      <c r="L115" s="521">
        <f t="shared" si="30"/>
        <v>45758</v>
      </c>
      <c r="M115" s="524">
        <f t="shared" si="26"/>
        <v>1</v>
      </c>
      <c r="N115" s="525">
        <f>IF(M115=1,'適正原価率表(仕入れお小遣い制度)'!$J$11,0)</f>
        <v>14681.006756272756</v>
      </c>
      <c r="O115" s="525">
        <f>IF(M115=1,SUM($N$105:N115),0)</f>
        <v>146810.06756272752</v>
      </c>
      <c r="P115" s="535">
        <v>0</v>
      </c>
      <c r="Q115" s="525">
        <f>IF(M115=1,SUM($P$105:P115),0)</f>
        <v>224158</v>
      </c>
      <c r="R115" s="235">
        <f t="shared" si="27"/>
        <v>-77347.93243727248</v>
      </c>
      <c r="T115" s="526">
        <f t="shared" si="33"/>
        <v>45758</v>
      </c>
    </row>
    <row r="116" spans="2:20" ht="19.25" hidden="1" customHeight="1" outlineLevel="1">
      <c r="B116" s="520">
        <f t="shared" si="31"/>
        <v>45759</v>
      </c>
      <c r="C116" s="233">
        <f t="shared" si="28"/>
        <v>45759</v>
      </c>
      <c r="D116" s="234">
        <f>目標_2025R7!D122</f>
        <v>1</v>
      </c>
      <c r="E116" s="525">
        <f>IF(D116=1,'適正原価率表(仕入れお小遣い制度)'!$J$10,0)</f>
        <v>64189.016181380328</v>
      </c>
      <c r="F116" s="525">
        <f>IF(D116=1,SUM($E$105:E116),0)</f>
        <v>706079.17799518362</v>
      </c>
      <c r="G116" s="535">
        <v>74426</v>
      </c>
      <c r="H116" s="525">
        <f>IF(D116=1,SUM($G$105:G116),0)</f>
        <v>645070</v>
      </c>
      <c r="I116" s="235">
        <f t="shared" si="32"/>
        <v>61009.177995183622</v>
      </c>
      <c r="J116" s="227"/>
      <c r="K116" s="520">
        <f t="shared" si="29"/>
        <v>45759</v>
      </c>
      <c r="L116" s="521">
        <f t="shared" si="30"/>
        <v>45759</v>
      </c>
      <c r="M116" s="524">
        <f t="shared" si="26"/>
        <v>1</v>
      </c>
      <c r="N116" s="525">
        <f>IF(M116=1,'適正原価率表(仕入れお小遣い制度)'!$J$11,0)</f>
        <v>14681.006756272756</v>
      </c>
      <c r="O116" s="525">
        <f>IF(M116=1,SUM($N$105:N116),0)</f>
        <v>161491.07431900027</v>
      </c>
      <c r="P116" s="535">
        <v>14083</v>
      </c>
      <c r="Q116" s="525">
        <f>IF(M116=1,SUM($P$105:P116),0)</f>
        <v>238241</v>
      </c>
      <c r="R116" s="235">
        <f t="shared" si="27"/>
        <v>-76749.925680999731</v>
      </c>
      <c r="T116" s="526">
        <f t="shared" si="33"/>
        <v>45759</v>
      </c>
    </row>
    <row r="117" spans="2:20" ht="19.25" hidden="1" customHeight="1" outlineLevel="1">
      <c r="B117" s="520">
        <f t="shared" si="31"/>
        <v>45760</v>
      </c>
      <c r="C117" s="233">
        <f t="shared" si="28"/>
        <v>45760</v>
      </c>
      <c r="D117" s="234">
        <f>目標_2025R7!D123</f>
        <v>0</v>
      </c>
      <c r="E117" s="525">
        <f>IF(D117=1,'適正原価率表(仕入れお小遣い制度)'!$J$10,0)</f>
        <v>0</v>
      </c>
      <c r="F117" s="525">
        <f>IF(D117=1,SUM($E$105:E117),0)</f>
        <v>0</v>
      </c>
      <c r="G117" s="535">
        <v>78887</v>
      </c>
      <c r="H117" s="525">
        <f>IF(D117=1,SUM($G$105:G117),0)</f>
        <v>0</v>
      </c>
      <c r="I117" s="235">
        <f t="shared" si="32"/>
        <v>0</v>
      </c>
      <c r="J117" s="227"/>
      <c r="K117" s="520">
        <f t="shared" si="29"/>
        <v>45760</v>
      </c>
      <c r="L117" s="521">
        <f t="shared" si="30"/>
        <v>45760</v>
      </c>
      <c r="M117" s="524">
        <f t="shared" si="26"/>
        <v>0</v>
      </c>
      <c r="N117" s="525">
        <f>IF(M117=1,'適正原価率表(仕入れお小遣い制度)'!$J$11,0)</f>
        <v>0</v>
      </c>
      <c r="O117" s="525">
        <f>IF(M117=1,SUM($N$105:N117),0)</f>
        <v>0</v>
      </c>
      <c r="P117" s="535">
        <v>27076</v>
      </c>
      <c r="Q117" s="525">
        <f>IF(M117=1,SUM($P$105:P117),0)</f>
        <v>0</v>
      </c>
      <c r="R117" s="235">
        <f t="shared" si="27"/>
        <v>0</v>
      </c>
      <c r="T117" s="526">
        <f t="shared" si="33"/>
        <v>45760</v>
      </c>
    </row>
    <row r="118" spans="2:20" ht="19.25" hidden="1" customHeight="1" outlineLevel="1">
      <c r="B118" s="520">
        <f t="shared" si="31"/>
        <v>45761</v>
      </c>
      <c r="C118" s="233">
        <f t="shared" si="28"/>
        <v>45761</v>
      </c>
      <c r="D118" s="234">
        <f>目標_2025R7!D124</f>
        <v>1</v>
      </c>
      <c r="E118" s="525">
        <f>IF(D118=1,'適正原価率表(仕入れお小遣い制度)'!$J$10,0)</f>
        <v>64189.016181380328</v>
      </c>
      <c r="F118" s="525">
        <f>IF(D118=1,SUM($E$105:E118),0)</f>
        <v>770268.19417656399</v>
      </c>
      <c r="G118" s="535">
        <v>39569</v>
      </c>
      <c r="H118" s="525">
        <f>IF(D118=1,SUM($G$105:G118),0)</f>
        <v>763526</v>
      </c>
      <c r="I118" s="235">
        <f t="shared" si="32"/>
        <v>6742.1941765639931</v>
      </c>
      <c r="J118" s="227"/>
      <c r="K118" s="520">
        <f t="shared" si="29"/>
        <v>45761</v>
      </c>
      <c r="L118" s="521">
        <f t="shared" si="30"/>
        <v>45761</v>
      </c>
      <c r="M118" s="524">
        <f t="shared" si="26"/>
        <v>1</v>
      </c>
      <c r="N118" s="525">
        <f>IF(M118=1,'適正原価率表(仕入れお小遣い制度)'!$J$11,0)</f>
        <v>14681.006756272756</v>
      </c>
      <c r="O118" s="525">
        <f>IF(M118=1,SUM($N$105:N118),0)</f>
        <v>176172.08107527302</v>
      </c>
      <c r="P118" s="535">
        <v>10010</v>
      </c>
      <c r="Q118" s="525">
        <f>IF(M118=1,SUM($P$105:P118),0)</f>
        <v>275327</v>
      </c>
      <c r="R118" s="235">
        <f t="shared" si="27"/>
        <v>-99154.918924726982</v>
      </c>
      <c r="T118" s="526">
        <f t="shared" si="33"/>
        <v>45761</v>
      </c>
    </row>
    <row r="119" spans="2:20" ht="19.25" hidden="1" customHeight="1" outlineLevel="1">
      <c r="B119" s="520">
        <f t="shared" si="31"/>
        <v>45762</v>
      </c>
      <c r="C119" s="233">
        <f t="shared" si="28"/>
        <v>45762</v>
      </c>
      <c r="D119" s="234">
        <f>目標_2025R7!D125</f>
        <v>1</v>
      </c>
      <c r="E119" s="525">
        <f>IF(D119=1,'適正原価率表(仕入れお小遣い制度)'!$J$10,0)</f>
        <v>64189.016181380328</v>
      </c>
      <c r="F119" s="525">
        <f>IF(D119=1,SUM($E$105:E119),0)</f>
        <v>834457.21035794436</v>
      </c>
      <c r="G119" s="535">
        <v>54323</v>
      </c>
      <c r="H119" s="525">
        <f>IF(D119=1,SUM($G$105:G119),0)</f>
        <v>817849</v>
      </c>
      <c r="I119" s="235">
        <f t="shared" si="32"/>
        <v>16608.210357944365</v>
      </c>
      <c r="J119" s="227"/>
      <c r="K119" s="520">
        <f t="shared" si="29"/>
        <v>45762</v>
      </c>
      <c r="L119" s="521">
        <f t="shared" si="30"/>
        <v>45762</v>
      </c>
      <c r="M119" s="524">
        <f t="shared" si="26"/>
        <v>1</v>
      </c>
      <c r="N119" s="525">
        <f>IF(M119=1,'適正原価率表(仕入れお小遣い制度)'!$J$11,0)</f>
        <v>14681.006756272756</v>
      </c>
      <c r="O119" s="525">
        <f>IF(M119=1,SUM($N$105:N119),0)</f>
        <v>190853.08783154577</v>
      </c>
      <c r="P119" s="535">
        <v>0</v>
      </c>
      <c r="Q119" s="525">
        <f>IF(M119=1,SUM($P$105:P119),0)</f>
        <v>275327</v>
      </c>
      <c r="R119" s="235">
        <f t="shared" si="27"/>
        <v>-84473.912168454233</v>
      </c>
      <c r="T119" s="526">
        <f t="shared" si="33"/>
        <v>45762</v>
      </c>
    </row>
    <row r="120" spans="2:20" ht="19.25" hidden="1" customHeight="1" outlineLevel="1">
      <c r="B120" s="520">
        <f t="shared" si="31"/>
        <v>45763</v>
      </c>
      <c r="C120" s="233">
        <f t="shared" si="28"/>
        <v>45763</v>
      </c>
      <c r="D120" s="234">
        <f>目標_2025R7!D126</f>
        <v>1</v>
      </c>
      <c r="E120" s="525">
        <f>IF(D120=1,'適正原価率表(仕入れお小遣い制度)'!$J$10,0)</f>
        <v>64189.016181380328</v>
      </c>
      <c r="F120" s="525">
        <f>IF(D120=1,SUM($E$105:E120),0)</f>
        <v>898646.22653932474</v>
      </c>
      <c r="G120" s="535">
        <v>54939</v>
      </c>
      <c r="H120" s="525">
        <f>IF(D120=1,SUM($G$105:G120),0)</f>
        <v>872788</v>
      </c>
      <c r="I120" s="235">
        <f t="shared" si="32"/>
        <v>25858.226539324736</v>
      </c>
      <c r="J120" s="227"/>
      <c r="K120" s="520">
        <f t="shared" si="29"/>
        <v>45763</v>
      </c>
      <c r="L120" s="521">
        <f t="shared" si="30"/>
        <v>45763</v>
      </c>
      <c r="M120" s="524">
        <f t="shared" si="26"/>
        <v>1</v>
      </c>
      <c r="N120" s="525">
        <f>IF(M120=1,'適正原価率表(仕入れお小遣い制度)'!$J$11,0)</f>
        <v>14681.006756272756</v>
      </c>
      <c r="O120" s="525">
        <f>IF(M120=1,SUM($N$105:N120),0)</f>
        <v>205534.09458781852</v>
      </c>
      <c r="P120" s="535">
        <v>16444</v>
      </c>
      <c r="Q120" s="525">
        <f>IF(M120=1,SUM($P$105:P120),0)</f>
        <v>291771</v>
      </c>
      <c r="R120" s="235">
        <f t="shared" si="27"/>
        <v>-86236.905412181484</v>
      </c>
      <c r="T120" s="526">
        <f t="shared" si="33"/>
        <v>45763</v>
      </c>
    </row>
    <row r="121" spans="2:20" ht="19.25" hidden="1" customHeight="1" outlineLevel="1">
      <c r="B121" s="520">
        <f t="shared" si="31"/>
        <v>45764</v>
      </c>
      <c r="C121" s="233">
        <f t="shared" si="28"/>
        <v>45764</v>
      </c>
      <c r="D121" s="234">
        <f>目標_2025R7!D127</f>
        <v>1</v>
      </c>
      <c r="E121" s="525">
        <f>IF(D121=1,'適正原価率表(仕入れお小遣い制度)'!$J$10,0)</f>
        <v>64189.016181380328</v>
      </c>
      <c r="F121" s="525">
        <f>IF(D121=1,SUM($E$105:E121),0)</f>
        <v>962835.24272070511</v>
      </c>
      <c r="G121" s="535">
        <v>12406</v>
      </c>
      <c r="H121" s="525">
        <f>IF(D121=1,SUM($G$105:G121),0)</f>
        <v>885194</v>
      </c>
      <c r="I121" s="235">
        <f t="shared" si="32"/>
        <v>77641.242720705108</v>
      </c>
      <c r="J121" s="227"/>
      <c r="K121" s="520">
        <f t="shared" si="29"/>
        <v>45764</v>
      </c>
      <c r="L121" s="521">
        <f t="shared" si="30"/>
        <v>45764</v>
      </c>
      <c r="M121" s="524">
        <f t="shared" si="26"/>
        <v>1</v>
      </c>
      <c r="N121" s="525">
        <f>IF(M121=1,'適正原価率表(仕入れお小遣い制度)'!$J$11,0)</f>
        <v>14681.006756272756</v>
      </c>
      <c r="O121" s="525">
        <f>IF(M121=1,SUM($N$105:N121),0)</f>
        <v>220215.10134409126</v>
      </c>
      <c r="P121" s="535">
        <v>3234</v>
      </c>
      <c r="Q121" s="525">
        <f>IF(M121=1,SUM($P$105:P121),0)</f>
        <v>295005</v>
      </c>
      <c r="R121" s="235">
        <f t="shared" si="27"/>
        <v>-74789.898655908735</v>
      </c>
      <c r="T121" s="526">
        <f t="shared" si="33"/>
        <v>45764</v>
      </c>
    </row>
    <row r="122" spans="2:20" ht="19.25" hidden="1" customHeight="1" outlineLevel="1">
      <c r="B122" s="520">
        <f t="shared" si="31"/>
        <v>45765</v>
      </c>
      <c r="C122" s="233">
        <f t="shared" si="28"/>
        <v>45765</v>
      </c>
      <c r="D122" s="234">
        <f>目標_2025R7!D128</f>
        <v>1</v>
      </c>
      <c r="E122" s="525">
        <f>IF(D122=1,'適正原価率表(仕入れお小遣い制度)'!$J$10,0)</f>
        <v>64189.016181380328</v>
      </c>
      <c r="F122" s="525">
        <f>IF(D122=1,SUM($E$105:E122),0)</f>
        <v>1027024.2589020855</v>
      </c>
      <c r="G122" s="535">
        <v>0</v>
      </c>
      <c r="H122" s="525">
        <f>IF(D122=1,SUM($G$105:G122),0)</f>
        <v>885194</v>
      </c>
      <c r="I122" s="235">
        <f t="shared" si="32"/>
        <v>141830.25890208548</v>
      </c>
      <c r="J122" s="227"/>
      <c r="K122" s="520">
        <f t="shared" si="29"/>
        <v>45765</v>
      </c>
      <c r="L122" s="521">
        <f t="shared" si="30"/>
        <v>45765</v>
      </c>
      <c r="M122" s="524">
        <f t="shared" si="26"/>
        <v>1</v>
      </c>
      <c r="N122" s="525">
        <f>IF(M122=1,'適正原価率表(仕入れお小遣い制度)'!$J$11,0)</f>
        <v>14681.006756272756</v>
      </c>
      <c r="O122" s="525">
        <f>IF(M122=1,SUM($N$105:N122),0)</f>
        <v>234896.10810036401</v>
      </c>
      <c r="P122" s="535">
        <v>0</v>
      </c>
      <c r="Q122" s="525">
        <f>IF(M122=1,SUM($P$105:P122),0)</f>
        <v>295005</v>
      </c>
      <c r="R122" s="235">
        <f t="shared" si="27"/>
        <v>-60108.891899635986</v>
      </c>
      <c r="T122" s="526">
        <f t="shared" si="33"/>
        <v>45765</v>
      </c>
    </row>
    <row r="123" spans="2:20" ht="19.25" hidden="1" customHeight="1" outlineLevel="1">
      <c r="B123" s="520">
        <f t="shared" si="31"/>
        <v>45766</v>
      </c>
      <c r="C123" s="233">
        <f t="shared" si="28"/>
        <v>45766</v>
      </c>
      <c r="D123" s="234">
        <f>目標_2025R7!D129</f>
        <v>1</v>
      </c>
      <c r="E123" s="525">
        <f>IF(D123=1,'適正原価率表(仕入れお小遣い制度)'!$J$10,0)</f>
        <v>64189.016181380328</v>
      </c>
      <c r="F123" s="525">
        <f>IF(D123=1,SUM($E$105:E123),0)</f>
        <v>1091213.2750834657</v>
      </c>
      <c r="G123" s="535">
        <v>84966</v>
      </c>
      <c r="H123" s="525">
        <f>IF(D123=1,SUM($G$105:G123),0)</f>
        <v>970160</v>
      </c>
      <c r="I123" s="235">
        <f t="shared" si="32"/>
        <v>121053.27508346573</v>
      </c>
      <c r="J123" s="227"/>
      <c r="K123" s="520">
        <f t="shared" si="29"/>
        <v>45766</v>
      </c>
      <c r="L123" s="521">
        <f t="shared" si="30"/>
        <v>45766</v>
      </c>
      <c r="M123" s="524">
        <f t="shared" si="26"/>
        <v>1</v>
      </c>
      <c r="N123" s="525">
        <f>IF(M123=1,'適正原価率表(仕入れお小遣い制度)'!$J$11,0)</f>
        <v>14681.006756272756</v>
      </c>
      <c r="O123" s="525">
        <f>IF(M123=1,SUM($N$105:N123),0)</f>
        <v>249577.11485663676</v>
      </c>
      <c r="P123" s="535">
        <v>5460</v>
      </c>
      <c r="Q123" s="525">
        <f>IF(M123=1,SUM($P$105:P123),0)</f>
        <v>300465</v>
      </c>
      <c r="R123" s="235">
        <f t="shared" si="27"/>
        <v>-50887.885143363237</v>
      </c>
      <c r="T123" s="526">
        <f t="shared" si="33"/>
        <v>45766</v>
      </c>
    </row>
    <row r="124" spans="2:20" ht="19.25" hidden="1" customHeight="1" outlineLevel="1">
      <c r="B124" s="520">
        <f t="shared" si="31"/>
        <v>45767</v>
      </c>
      <c r="C124" s="233">
        <f t="shared" si="28"/>
        <v>45767</v>
      </c>
      <c r="D124" s="234">
        <f>目標_2025R7!D130</f>
        <v>0</v>
      </c>
      <c r="E124" s="525">
        <f>IF(D124=1,'適正原価率表(仕入れお小遣い制度)'!$J$10,0)</f>
        <v>0</v>
      </c>
      <c r="F124" s="525">
        <f>IF(D124=1,SUM($E$105:E124),0)</f>
        <v>0</v>
      </c>
      <c r="G124" s="535">
        <v>126911</v>
      </c>
      <c r="H124" s="525">
        <f>IF(D124=1,SUM($G$105:G124),0)</f>
        <v>0</v>
      </c>
      <c r="I124" s="235">
        <f t="shared" si="32"/>
        <v>0</v>
      </c>
      <c r="J124" s="227"/>
      <c r="K124" s="520">
        <f t="shared" si="29"/>
        <v>45767</v>
      </c>
      <c r="L124" s="521">
        <f t="shared" si="30"/>
        <v>45767</v>
      </c>
      <c r="M124" s="524">
        <f t="shared" si="26"/>
        <v>0</v>
      </c>
      <c r="N124" s="525">
        <f>IF(M124=1,'適正原価率表(仕入れお小遣い制度)'!$J$11,0)</f>
        <v>0</v>
      </c>
      <c r="O124" s="525">
        <f>IF(M124=1,SUM($N$105:N124),0)</f>
        <v>0</v>
      </c>
      <c r="P124" s="535">
        <v>32523</v>
      </c>
      <c r="Q124" s="525">
        <f>IF(M124=1,SUM($P$105:P124),0)</f>
        <v>0</v>
      </c>
      <c r="R124" s="235">
        <f t="shared" si="27"/>
        <v>0</v>
      </c>
      <c r="T124" s="526">
        <f t="shared" si="33"/>
        <v>45767</v>
      </c>
    </row>
    <row r="125" spans="2:20" ht="19.25" hidden="1" customHeight="1" outlineLevel="1">
      <c r="B125" s="520">
        <f t="shared" si="31"/>
        <v>45768</v>
      </c>
      <c r="C125" s="233">
        <f t="shared" si="28"/>
        <v>45768</v>
      </c>
      <c r="D125" s="234">
        <f>目標_2025R7!D131</f>
        <v>1</v>
      </c>
      <c r="E125" s="525">
        <f>IF(D125=1,'適正原価率表(仕入れお小遣い制度)'!$J$10,0)</f>
        <v>64189.016181380328</v>
      </c>
      <c r="F125" s="525">
        <f>IF(D125=1,SUM($E$105:E125),0)</f>
        <v>1155402.291264846</v>
      </c>
      <c r="G125" s="535">
        <v>0</v>
      </c>
      <c r="H125" s="525">
        <f>IF(D125=1,SUM($G$105:G125),0)</f>
        <v>1097071</v>
      </c>
      <c r="I125" s="235">
        <f t="shared" si="32"/>
        <v>58331.29126484599</v>
      </c>
      <c r="J125" s="227"/>
      <c r="K125" s="520">
        <f t="shared" si="29"/>
        <v>45768</v>
      </c>
      <c r="L125" s="521">
        <f t="shared" si="30"/>
        <v>45768</v>
      </c>
      <c r="M125" s="524">
        <f t="shared" si="26"/>
        <v>1</v>
      </c>
      <c r="N125" s="525">
        <f>IF(M125=1,'適正原価率表(仕入れお小遣い制度)'!$J$11,0)</f>
        <v>14681.006756272756</v>
      </c>
      <c r="O125" s="525">
        <f>IF(M125=1,SUM($N$105:N125),0)</f>
        <v>264258.12161290954</v>
      </c>
      <c r="P125" s="535">
        <v>25920</v>
      </c>
      <c r="Q125" s="525">
        <f>IF(M125=1,SUM($P$105:P125),0)</f>
        <v>358908</v>
      </c>
      <c r="R125" s="235">
        <f t="shared" si="27"/>
        <v>-94649.878387090459</v>
      </c>
      <c r="T125" s="526">
        <f t="shared" si="33"/>
        <v>45768</v>
      </c>
    </row>
    <row r="126" spans="2:20" ht="19.25" hidden="1" customHeight="1" outlineLevel="1">
      <c r="B126" s="520">
        <f t="shared" si="31"/>
        <v>45769</v>
      </c>
      <c r="C126" s="233">
        <f t="shared" si="28"/>
        <v>45769</v>
      </c>
      <c r="D126" s="234">
        <f>目標_2025R7!D132</f>
        <v>1</v>
      </c>
      <c r="E126" s="525">
        <f>IF(D126=1,'適正原価率表(仕入れお小遣い制度)'!$J$10,0)</f>
        <v>64189.016181380328</v>
      </c>
      <c r="F126" s="525">
        <f>IF(D126=1,SUM($E$105:E126),0)</f>
        <v>1219591.3074462262</v>
      </c>
      <c r="G126" s="535">
        <v>120775</v>
      </c>
      <c r="H126" s="525">
        <f>IF(D126=1,SUM($G$105:G126),0)</f>
        <v>1217846</v>
      </c>
      <c r="I126" s="235">
        <f t="shared" si="32"/>
        <v>1745.3074462262448</v>
      </c>
      <c r="J126" s="227"/>
      <c r="K126" s="520">
        <f t="shared" si="29"/>
        <v>45769</v>
      </c>
      <c r="L126" s="521">
        <f t="shared" si="30"/>
        <v>45769</v>
      </c>
      <c r="M126" s="524">
        <f t="shared" si="26"/>
        <v>1</v>
      </c>
      <c r="N126" s="525">
        <f>IF(M126=1,'適正原価率表(仕入れお小遣い制度)'!$J$11,0)</f>
        <v>14681.006756272756</v>
      </c>
      <c r="O126" s="525">
        <f>IF(M126=1,SUM($N$105:N126),0)</f>
        <v>278939.12836918229</v>
      </c>
      <c r="P126" s="535">
        <v>38932</v>
      </c>
      <c r="Q126" s="525">
        <f>IF(M126=1,SUM($P$105:P126),0)</f>
        <v>397840</v>
      </c>
      <c r="R126" s="235">
        <f t="shared" si="27"/>
        <v>-118900.87163081771</v>
      </c>
      <c r="T126" s="526">
        <f t="shared" si="33"/>
        <v>45769</v>
      </c>
    </row>
    <row r="127" spans="2:20" ht="19.25" hidden="1" customHeight="1" outlineLevel="1">
      <c r="B127" s="520">
        <f t="shared" si="31"/>
        <v>45770</v>
      </c>
      <c r="C127" s="233">
        <f>B127</f>
        <v>45770</v>
      </c>
      <c r="D127" s="234">
        <f>目標_2025R7!D133</f>
        <v>1</v>
      </c>
      <c r="E127" s="525">
        <f>IF(D127=1,'適正原価率表(仕入れお小遣い制度)'!$J$10,0)</f>
        <v>64189.016181380328</v>
      </c>
      <c r="F127" s="525">
        <f>IF(D127=1,SUM($E$105:E127),0)</f>
        <v>1283780.3236276065</v>
      </c>
      <c r="G127" s="535">
        <v>79184</v>
      </c>
      <c r="H127" s="525">
        <f>IF(D127=1,SUM($G$105:G127),0)</f>
        <v>1297030</v>
      </c>
      <c r="I127" s="235">
        <f t="shared" si="32"/>
        <v>-13249.6763723935</v>
      </c>
      <c r="J127" s="227"/>
      <c r="K127" s="520">
        <f>B127</f>
        <v>45770</v>
      </c>
      <c r="L127" s="521">
        <f>C127</f>
        <v>45770</v>
      </c>
      <c r="M127" s="524">
        <f t="shared" si="26"/>
        <v>1</v>
      </c>
      <c r="N127" s="525">
        <f>IF(M127=1,'適正原価率表(仕入れお小遣い制度)'!$J$11,0)</f>
        <v>14681.006756272756</v>
      </c>
      <c r="O127" s="525">
        <f>IF(M127=1,SUM($N$105:N127),0)</f>
        <v>293620.13512545504</v>
      </c>
      <c r="P127" s="535">
        <v>10503</v>
      </c>
      <c r="Q127" s="525">
        <f>IF(M127=1,SUM($P$105:P127),0)</f>
        <v>408343</v>
      </c>
      <c r="R127" s="235">
        <f t="shared" si="27"/>
        <v>-114722.86487454496</v>
      </c>
      <c r="T127" s="526">
        <f t="shared" si="33"/>
        <v>45770</v>
      </c>
    </row>
    <row r="128" spans="2:20" ht="19.25" hidden="1" customHeight="1" outlineLevel="1">
      <c r="B128" s="520">
        <f t="shared" si="31"/>
        <v>45771</v>
      </c>
      <c r="C128" s="233">
        <f t="shared" si="28"/>
        <v>45771</v>
      </c>
      <c r="D128" s="234">
        <f>目標_2025R7!D134</f>
        <v>1</v>
      </c>
      <c r="E128" s="525">
        <f>IF(D128=1,'適正原価率表(仕入れお小遣い制度)'!$J$10,0)</f>
        <v>64189.016181380328</v>
      </c>
      <c r="F128" s="525">
        <f>IF(D128=1,SUM($E$105:E128),0)</f>
        <v>1347969.3398089868</v>
      </c>
      <c r="G128" s="535">
        <v>7677</v>
      </c>
      <c r="H128" s="525">
        <f>IF(D128=1,SUM($G$105:G128),0)</f>
        <v>1304707</v>
      </c>
      <c r="I128" s="235">
        <f t="shared" si="32"/>
        <v>43262.339808986755</v>
      </c>
      <c r="J128" s="227"/>
      <c r="K128" s="520">
        <f t="shared" ref="K128:K134" si="34">B128</f>
        <v>45771</v>
      </c>
      <c r="L128" s="521">
        <f t="shared" ref="L128:L134" si="35">C128</f>
        <v>45771</v>
      </c>
      <c r="M128" s="524">
        <f t="shared" si="26"/>
        <v>1</v>
      </c>
      <c r="N128" s="525">
        <f>IF(M128=1,'適正原価率表(仕入れお小遣い制度)'!$J$11,0)</f>
        <v>14681.006756272756</v>
      </c>
      <c r="O128" s="525">
        <f>IF(M128=1,SUM($N$105:N128),0)</f>
        <v>308301.14188172779</v>
      </c>
      <c r="P128" s="535">
        <v>427</v>
      </c>
      <c r="Q128" s="525">
        <f>IF(M128=1,SUM($P$105:P128),0)</f>
        <v>408770</v>
      </c>
      <c r="R128" s="235">
        <f t="shared" si="27"/>
        <v>-100468.85811827221</v>
      </c>
      <c r="T128" s="526">
        <f t="shared" si="33"/>
        <v>45771</v>
      </c>
    </row>
    <row r="129" spans="2:20" ht="19.25" hidden="1" customHeight="1" outlineLevel="1">
      <c r="B129" s="520">
        <f t="shared" si="31"/>
        <v>45772</v>
      </c>
      <c r="C129" s="233">
        <f t="shared" si="28"/>
        <v>45772</v>
      </c>
      <c r="D129" s="234">
        <f>目標_2025R7!D135</f>
        <v>1</v>
      </c>
      <c r="E129" s="525">
        <f>IF(D129=1,'適正原価率表(仕入れお小遣い制度)'!$J$10,0)</f>
        <v>64189.016181380328</v>
      </c>
      <c r="F129" s="525">
        <f>IF(D129=1,SUM($E$105:E129),0)</f>
        <v>1412158.355990367</v>
      </c>
      <c r="G129" s="535">
        <v>0</v>
      </c>
      <c r="H129" s="525">
        <f>IF(D129=1,SUM($G$105:G129),0)</f>
        <v>1304707</v>
      </c>
      <c r="I129" s="235">
        <f t="shared" si="32"/>
        <v>107451.35599036701</v>
      </c>
      <c r="J129" s="227"/>
      <c r="K129" s="520">
        <f t="shared" si="34"/>
        <v>45772</v>
      </c>
      <c r="L129" s="521">
        <f t="shared" si="35"/>
        <v>45772</v>
      </c>
      <c r="M129" s="524">
        <f t="shared" si="26"/>
        <v>1</v>
      </c>
      <c r="N129" s="525">
        <f>IF(M129=1,'適正原価率表(仕入れお小遣い制度)'!$J$11,0)</f>
        <v>14681.006756272756</v>
      </c>
      <c r="O129" s="525">
        <f>IF(M129=1,SUM($N$105:N129),0)</f>
        <v>322982.14863800054</v>
      </c>
      <c r="P129" s="535">
        <v>0</v>
      </c>
      <c r="Q129" s="525">
        <f>IF(M129=1,SUM($P$105:P129),0)</f>
        <v>408770</v>
      </c>
      <c r="R129" s="235">
        <f t="shared" si="27"/>
        <v>-85787.851361999463</v>
      </c>
      <c r="T129" s="526">
        <f t="shared" si="33"/>
        <v>45772</v>
      </c>
    </row>
    <row r="130" spans="2:20" ht="19.25" hidden="1" customHeight="1" outlineLevel="1">
      <c r="B130" s="520">
        <f t="shared" si="31"/>
        <v>45773</v>
      </c>
      <c r="C130" s="233">
        <f t="shared" si="28"/>
        <v>45773</v>
      </c>
      <c r="D130" s="234">
        <f>目標_2025R7!D136</f>
        <v>1</v>
      </c>
      <c r="E130" s="525">
        <f>IF(D130=1,'適正原価率表(仕入れお小遣い制度)'!$J$10,0)</f>
        <v>64189.016181380328</v>
      </c>
      <c r="F130" s="525">
        <f>IF(D130=1,SUM($E$105:E130),0)</f>
        <v>1476347.3721717473</v>
      </c>
      <c r="G130" s="535">
        <v>88175</v>
      </c>
      <c r="H130" s="525">
        <f>IF(D130=1,SUM($G$105:G130),0)</f>
        <v>1392882</v>
      </c>
      <c r="I130" s="235">
        <f t="shared" si="32"/>
        <v>83465.372171747265</v>
      </c>
      <c r="J130" s="227"/>
      <c r="K130" s="520">
        <f t="shared" si="34"/>
        <v>45773</v>
      </c>
      <c r="L130" s="521">
        <f t="shared" si="35"/>
        <v>45773</v>
      </c>
      <c r="M130" s="524">
        <f t="shared" si="26"/>
        <v>1</v>
      </c>
      <c r="N130" s="525">
        <f>IF(M130=1,'適正原価率表(仕入れお小遣い制度)'!$J$11,0)</f>
        <v>14681.006756272756</v>
      </c>
      <c r="O130" s="525">
        <f>IF(M130=1,SUM($N$105:N130),0)</f>
        <v>337663.15539427329</v>
      </c>
      <c r="P130" s="535">
        <v>28101</v>
      </c>
      <c r="Q130" s="525">
        <f>IF(M130=1,SUM($P$105:P130),0)</f>
        <v>436871</v>
      </c>
      <c r="R130" s="235">
        <f t="shared" si="27"/>
        <v>-99207.844605726714</v>
      </c>
      <c r="T130" s="526">
        <f t="shared" si="33"/>
        <v>45773</v>
      </c>
    </row>
    <row r="131" spans="2:20" ht="19.25" hidden="1" customHeight="1" outlineLevel="1">
      <c r="B131" s="520">
        <f t="shared" si="31"/>
        <v>45774</v>
      </c>
      <c r="C131" s="233">
        <f t="shared" si="28"/>
        <v>45774</v>
      </c>
      <c r="D131" s="234">
        <f>目標_2025R7!D137</f>
        <v>0</v>
      </c>
      <c r="E131" s="525">
        <f>IF(D131=1,'適正原価率表(仕入れお小遣い制度)'!$J$10,0)</f>
        <v>0</v>
      </c>
      <c r="F131" s="525">
        <f>IF(D131=1,SUM($E$105:E131),0)</f>
        <v>0</v>
      </c>
      <c r="G131" s="535">
        <v>0</v>
      </c>
      <c r="H131" s="525">
        <f>IF(D131=1,SUM($G$105:G131),0)</f>
        <v>0</v>
      </c>
      <c r="I131" s="235">
        <f t="shared" si="32"/>
        <v>0</v>
      </c>
      <c r="J131" s="227"/>
      <c r="K131" s="520">
        <f t="shared" si="34"/>
        <v>45774</v>
      </c>
      <c r="L131" s="521">
        <f t="shared" si="35"/>
        <v>45774</v>
      </c>
      <c r="M131" s="524">
        <f t="shared" si="26"/>
        <v>0</v>
      </c>
      <c r="N131" s="525">
        <f>IF(M131=1,'適正原価率表(仕入れお小遣い制度)'!$J$11,0)</f>
        <v>0</v>
      </c>
      <c r="O131" s="525">
        <f>IF(M131=1,SUM($N$105:N131),0)</f>
        <v>0</v>
      </c>
      <c r="P131" s="535">
        <v>0</v>
      </c>
      <c r="Q131" s="525">
        <f>IF(M131=1,SUM($P$105:P131),0)</f>
        <v>0</v>
      </c>
      <c r="R131" s="235">
        <f t="shared" si="27"/>
        <v>0</v>
      </c>
      <c r="T131" s="526">
        <f t="shared" si="33"/>
        <v>45774</v>
      </c>
    </row>
    <row r="132" spans="2:20" ht="19.25" hidden="1" customHeight="1" outlineLevel="1">
      <c r="B132" s="520">
        <f t="shared" si="31"/>
        <v>45775</v>
      </c>
      <c r="C132" s="233">
        <f t="shared" si="28"/>
        <v>45775</v>
      </c>
      <c r="D132" s="234">
        <f>目標_2025R7!D138</f>
        <v>1</v>
      </c>
      <c r="E132" s="525">
        <f>IF(D132=1,'適正原価率表(仕入れお小遣い制度)'!$J$10,0)</f>
        <v>64189.016181380328</v>
      </c>
      <c r="F132" s="525">
        <f>IF(D132=1,SUM($E$105:E132),0)</f>
        <v>1540536.3883531275</v>
      </c>
      <c r="G132" s="535">
        <v>107769</v>
      </c>
      <c r="H132" s="525">
        <f>IF(D132=1,SUM($G$105:G132),0)</f>
        <v>1500651</v>
      </c>
      <c r="I132" s="235">
        <f t="shared" si="32"/>
        <v>39885.388353127521</v>
      </c>
      <c r="J132" s="227"/>
      <c r="K132" s="520">
        <f t="shared" si="34"/>
        <v>45775</v>
      </c>
      <c r="L132" s="521">
        <f t="shared" si="35"/>
        <v>45775</v>
      </c>
      <c r="M132" s="524">
        <f t="shared" si="26"/>
        <v>1</v>
      </c>
      <c r="N132" s="525">
        <f>IF(M132=1,'適正原価率表(仕入れお小遣い制度)'!$J$11,0)</f>
        <v>14681.006756272756</v>
      </c>
      <c r="O132" s="525">
        <f>IF(M132=1,SUM($N$105:N132),0)</f>
        <v>352344.16215054604</v>
      </c>
      <c r="P132" s="535">
        <v>19804</v>
      </c>
      <c r="Q132" s="525">
        <f>IF(M132=1,SUM($P$105:P132),0)</f>
        <v>456675</v>
      </c>
      <c r="R132" s="235">
        <f t="shared" si="27"/>
        <v>-104330.83784945396</v>
      </c>
      <c r="T132" s="526">
        <f t="shared" si="33"/>
        <v>45775</v>
      </c>
    </row>
    <row r="133" spans="2:20" ht="19.25" hidden="1" customHeight="1" outlineLevel="1">
      <c r="B133" s="520">
        <f t="shared" si="31"/>
        <v>45776</v>
      </c>
      <c r="C133" s="233">
        <f t="shared" si="28"/>
        <v>45776</v>
      </c>
      <c r="D133" s="234">
        <f>目標_2025R7!D139</f>
        <v>0</v>
      </c>
      <c r="E133" s="525">
        <f>IF(D133=1,'適正原価率表(仕入れお小遣い制度)'!$J$10,0)</f>
        <v>0</v>
      </c>
      <c r="F133" s="525">
        <f>IF(D133=1,SUM($E$105:E133),0)</f>
        <v>0</v>
      </c>
      <c r="G133" s="535">
        <v>0</v>
      </c>
      <c r="H133" s="525">
        <f>IF(D133=1,SUM($G$105:G133),0)</f>
        <v>0</v>
      </c>
      <c r="I133" s="235">
        <f t="shared" si="32"/>
        <v>0</v>
      </c>
      <c r="J133" s="227"/>
      <c r="K133" s="520">
        <f t="shared" si="34"/>
        <v>45776</v>
      </c>
      <c r="L133" s="521">
        <f t="shared" si="35"/>
        <v>45776</v>
      </c>
      <c r="M133" s="524">
        <f t="shared" si="26"/>
        <v>0</v>
      </c>
      <c r="N133" s="525">
        <f>IF(M133=1,'適正原価率表(仕入れお小遣い制度)'!$J$11,0)</f>
        <v>0</v>
      </c>
      <c r="O133" s="525">
        <f>IF(M133=1,SUM($N$105:N133),0)</f>
        <v>0</v>
      </c>
      <c r="P133" s="535">
        <v>0</v>
      </c>
      <c r="Q133" s="525">
        <f>IF(M133=1,SUM($P$105:P133),0)</f>
        <v>0</v>
      </c>
      <c r="R133" s="235">
        <f t="shared" si="27"/>
        <v>0</v>
      </c>
      <c r="T133" s="526">
        <f t="shared" si="33"/>
        <v>45776</v>
      </c>
    </row>
    <row r="134" spans="2:20" ht="19.25" hidden="1" customHeight="1" outlineLevel="1">
      <c r="B134" s="520">
        <f t="shared" si="31"/>
        <v>45777</v>
      </c>
      <c r="C134" s="233">
        <f t="shared" si="28"/>
        <v>45777</v>
      </c>
      <c r="D134" s="234">
        <f>目標_2025R7!D140</f>
        <v>1</v>
      </c>
      <c r="E134" s="525">
        <f>IF(D134=1,'適正原価率表(仕入れお小遣い制度)'!$J$10,0)</f>
        <v>64189.016181380328</v>
      </c>
      <c r="F134" s="525">
        <f>IF(D134=1,SUM($E$105:E134),0)</f>
        <v>1604725.4045345078</v>
      </c>
      <c r="G134" s="535"/>
      <c r="H134" s="525">
        <f>IF(D134=1,SUM($G$105:G134),0)</f>
        <v>1500651</v>
      </c>
      <c r="I134" s="235">
        <f t="shared" si="32"/>
        <v>104074.40453450778</v>
      </c>
      <c r="J134" s="227"/>
      <c r="K134" s="520">
        <f t="shared" si="34"/>
        <v>45777</v>
      </c>
      <c r="L134" s="521">
        <f t="shared" si="35"/>
        <v>45777</v>
      </c>
      <c r="M134" s="524">
        <f t="shared" si="26"/>
        <v>1</v>
      </c>
      <c r="N134" s="525">
        <f>IF(M134=1,'適正原価率表(仕入れお小遣い制度)'!$J$11,0)</f>
        <v>14681.006756272756</v>
      </c>
      <c r="O134" s="525">
        <f>IF(M134=1,SUM($N$105:N134),0)</f>
        <v>367025.16890681878</v>
      </c>
      <c r="P134" s="535"/>
      <c r="Q134" s="525">
        <f>IF(M134=1,SUM($P$105:P134),0)</f>
        <v>456675</v>
      </c>
      <c r="R134" s="235">
        <f t="shared" si="27"/>
        <v>-89649.831093181216</v>
      </c>
      <c r="T134" s="526">
        <f t="shared" si="33"/>
        <v>45777</v>
      </c>
    </row>
    <row r="135" spans="2:20" ht="19.25" hidden="1" customHeight="1" outlineLevel="1">
      <c r="B135" s="860" t="s">
        <v>211</v>
      </c>
      <c r="C135" s="861"/>
      <c r="D135" s="862"/>
      <c r="E135" s="528">
        <f>SUM(E105:E134)</f>
        <v>1604725.4045345078</v>
      </c>
      <c r="F135" s="514"/>
      <c r="G135" s="515"/>
      <c r="H135" s="515"/>
      <c r="I135" s="515"/>
      <c r="J135" s="227"/>
      <c r="K135" s="860" t="s">
        <v>211</v>
      </c>
      <c r="L135" s="861"/>
      <c r="M135" s="862"/>
      <c r="N135" s="528">
        <f>SUM(N105:N134)</f>
        <v>367025.16890681878</v>
      </c>
      <c r="O135" s="514"/>
      <c r="P135" s="515"/>
      <c r="Q135" s="515"/>
      <c r="R135" s="515"/>
    </row>
    <row r="136" spans="2:20" ht="19.25" customHeight="1" collapsed="1">
      <c r="B136" s="519"/>
      <c r="C136" s="519"/>
      <c r="D136" s="519"/>
      <c r="E136" s="519"/>
      <c r="F136" s="519"/>
      <c r="G136" s="519"/>
      <c r="H136" s="519"/>
      <c r="I136" s="519"/>
      <c r="J136" s="227"/>
      <c r="K136" s="519"/>
      <c r="L136" s="519"/>
      <c r="M136" s="519"/>
      <c r="N136" s="519"/>
      <c r="O136" s="519"/>
      <c r="P136" s="519"/>
      <c r="Q136" s="519"/>
      <c r="R136" s="519"/>
    </row>
    <row r="137" spans="2:20" s="231" customFormat="1">
      <c r="B137" s="855">
        <v>5</v>
      </c>
      <c r="C137" s="856"/>
      <c r="D137" s="857"/>
      <c r="E137" s="516" t="s">
        <v>129</v>
      </c>
      <c r="F137" s="517" t="s">
        <v>130</v>
      </c>
      <c r="G137" s="517" t="s">
        <v>131</v>
      </c>
      <c r="H137" s="517" t="s">
        <v>132</v>
      </c>
      <c r="I137" s="518" t="s">
        <v>133</v>
      </c>
      <c r="J137" s="230"/>
      <c r="K137" s="858">
        <f t="shared" ref="K137:K168" si="36">B137</f>
        <v>5</v>
      </c>
      <c r="L137" s="858"/>
      <c r="M137" s="858"/>
      <c r="N137" s="516" t="s">
        <v>134</v>
      </c>
      <c r="O137" s="517" t="s">
        <v>135</v>
      </c>
      <c r="P137" s="517" t="s">
        <v>136</v>
      </c>
      <c r="Q137" s="517" t="s">
        <v>137</v>
      </c>
      <c r="R137" s="517" t="s">
        <v>133</v>
      </c>
    </row>
    <row r="138" spans="2:20" outlineLevel="1">
      <c r="B138" s="232">
        <f>B134+1</f>
        <v>45778</v>
      </c>
      <c r="C138" s="233">
        <f>B138</f>
        <v>45778</v>
      </c>
      <c r="D138" s="234">
        <f>目標_2025R7!D141</f>
        <v>1</v>
      </c>
      <c r="E138" s="525">
        <f>IF(D138=1,'適正原価率表(仕入れお小遣い制度)'!$J$12,0)</f>
        <v>55059.85075876856</v>
      </c>
      <c r="F138" s="525">
        <f>IF(D138=1,E138,0)</f>
        <v>55059.85075876856</v>
      </c>
      <c r="G138" s="535">
        <v>88995</v>
      </c>
      <c r="H138" s="525">
        <f>IF(D138=1,G138,0)</f>
        <v>88995</v>
      </c>
      <c r="I138" s="235">
        <f>IF(D138=1,F138-H138,0)</f>
        <v>-33935.14924123144</v>
      </c>
      <c r="K138" s="232">
        <f t="shared" si="36"/>
        <v>45778</v>
      </c>
      <c r="L138" s="233">
        <f t="shared" ref="L138:L168" si="37">C138</f>
        <v>45778</v>
      </c>
      <c r="M138" s="234">
        <f t="shared" ref="M138:M168" si="38">D138</f>
        <v>1</v>
      </c>
      <c r="N138" s="525">
        <f>IF(M138=1,'適正原価率表(仕入れお小遣い制度)'!$J$13,0)</f>
        <v>11925.011774856044</v>
      </c>
      <c r="O138" s="525">
        <f>IF(M138=1,N138,0)</f>
        <v>11925.011774856044</v>
      </c>
      <c r="P138" s="535">
        <v>54958</v>
      </c>
      <c r="Q138" s="525">
        <f>IF(M138=1,P138,0)</f>
        <v>54958</v>
      </c>
      <c r="R138" s="235">
        <f t="shared" ref="R138:R168" si="39">IF(D138=1,O138-Q138,0)</f>
        <v>-43032.988225143956</v>
      </c>
      <c r="T138" s="526">
        <f>T134+1</f>
        <v>45778</v>
      </c>
    </row>
    <row r="139" spans="2:20" outlineLevel="1">
      <c r="B139" s="232">
        <f>B138+1</f>
        <v>45779</v>
      </c>
      <c r="C139" s="233">
        <f t="shared" ref="C139:C166" si="40">B139</f>
        <v>45779</v>
      </c>
      <c r="D139" s="234">
        <f>目標_2025R7!D142</f>
        <v>1</v>
      </c>
      <c r="E139" s="525">
        <f>IF(D139=1,'適正原価率表(仕入れお小遣い制度)'!$J$12,0)</f>
        <v>55059.85075876856</v>
      </c>
      <c r="F139" s="525">
        <f>IF(D139=1,SUM($E$138:E139),0)</f>
        <v>110119.70151753712</v>
      </c>
      <c r="G139" s="535">
        <v>21710</v>
      </c>
      <c r="H139" s="525">
        <f>IF(D139=1,SUM($G$138:G139),0)</f>
        <v>110705</v>
      </c>
      <c r="I139" s="235">
        <f>IF(D139=1,F139-H139,0)</f>
        <v>-585.2984824628802</v>
      </c>
      <c r="K139" s="232">
        <f t="shared" si="36"/>
        <v>45779</v>
      </c>
      <c r="L139" s="233">
        <f t="shared" si="37"/>
        <v>45779</v>
      </c>
      <c r="M139" s="234">
        <f t="shared" si="38"/>
        <v>1</v>
      </c>
      <c r="N139" s="525">
        <f>IF(M139=1,'適正原価率表(仕入れお小遣い制度)'!$J$13,0)</f>
        <v>11925.011774856044</v>
      </c>
      <c r="O139" s="525">
        <f>IF(M139=1,SUM($N$138:N139),0)</f>
        <v>23850.023549712088</v>
      </c>
      <c r="P139" s="535">
        <v>13930</v>
      </c>
      <c r="Q139" s="525">
        <f>IF(M139=1,SUM($P$138:P139),0)</f>
        <v>68888</v>
      </c>
      <c r="R139" s="235">
        <f t="shared" si="39"/>
        <v>-45037.976450287912</v>
      </c>
      <c r="T139" s="526">
        <f>T138+1</f>
        <v>45779</v>
      </c>
    </row>
    <row r="140" spans="2:20" outlineLevel="1">
      <c r="B140" s="232">
        <f t="shared" ref="B140:B168" si="41">B139+1</f>
        <v>45780</v>
      </c>
      <c r="C140" s="233">
        <f t="shared" si="40"/>
        <v>45780</v>
      </c>
      <c r="D140" s="234">
        <f>目標_2025R7!D143</f>
        <v>0</v>
      </c>
      <c r="E140" s="525">
        <f>IF(D140=1,'適正原価率表(仕入れお小遣い制度)'!$J$12,0)</f>
        <v>0</v>
      </c>
      <c r="F140" s="525">
        <f>IF(D140=1,SUM($E$138:E140),0)</f>
        <v>0</v>
      </c>
      <c r="G140" s="535">
        <v>0</v>
      </c>
      <c r="H140" s="525">
        <f>IF(D140=1,SUM($G$138:G140),0)</f>
        <v>0</v>
      </c>
      <c r="I140" s="235">
        <f t="shared" ref="I140:I168" si="42">IF(D140=1,F140-H140,0)</f>
        <v>0</v>
      </c>
      <c r="K140" s="232">
        <f t="shared" si="36"/>
        <v>45780</v>
      </c>
      <c r="L140" s="233">
        <f t="shared" si="37"/>
        <v>45780</v>
      </c>
      <c r="M140" s="234">
        <f t="shared" si="38"/>
        <v>0</v>
      </c>
      <c r="N140" s="525">
        <f>IF(M140=1,'適正原価率表(仕入れお小遣い制度)'!$J$13,0)</f>
        <v>0</v>
      </c>
      <c r="O140" s="525">
        <f>IF(M140=1,SUM($N$138:N140),0)</f>
        <v>0</v>
      </c>
      <c r="P140" s="535">
        <v>0</v>
      </c>
      <c r="Q140" s="525">
        <f>IF(M140=1,SUM($P$138:P140),0)</f>
        <v>0</v>
      </c>
      <c r="R140" s="235">
        <f t="shared" si="39"/>
        <v>0</v>
      </c>
      <c r="T140" s="526">
        <f t="shared" ref="T140:T168" si="43">T139+1</f>
        <v>45780</v>
      </c>
    </row>
    <row r="141" spans="2:20" outlineLevel="1">
      <c r="B141" s="232">
        <f t="shared" si="41"/>
        <v>45781</v>
      </c>
      <c r="C141" s="233">
        <f t="shared" si="40"/>
        <v>45781</v>
      </c>
      <c r="D141" s="234">
        <f>目標_2025R7!D144</f>
        <v>0</v>
      </c>
      <c r="E141" s="525">
        <f>IF(D141=1,'適正原価率表(仕入れお小遣い制度)'!$J$12,0)</f>
        <v>0</v>
      </c>
      <c r="F141" s="525">
        <f>IF(D141=1,SUM($E$138:E141),0)</f>
        <v>0</v>
      </c>
      <c r="G141" s="535">
        <v>0</v>
      </c>
      <c r="H141" s="525">
        <f>IF(D141=1,SUM($G$138:G141),0)</f>
        <v>0</v>
      </c>
      <c r="I141" s="235">
        <f t="shared" si="42"/>
        <v>0</v>
      </c>
      <c r="K141" s="232">
        <f t="shared" si="36"/>
        <v>45781</v>
      </c>
      <c r="L141" s="233">
        <f t="shared" si="37"/>
        <v>45781</v>
      </c>
      <c r="M141" s="234">
        <f t="shared" si="38"/>
        <v>0</v>
      </c>
      <c r="N141" s="525">
        <f>IF(M141=1,'適正原価率表(仕入れお小遣い制度)'!$J$13,0)</f>
        <v>0</v>
      </c>
      <c r="O141" s="525">
        <f>IF(M141=1,SUM($N$138:N141),0)</f>
        <v>0</v>
      </c>
      <c r="P141" s="535">
        <v>0</v>
      </c>
      <c r="Q141" s="525">
        <f>IF(M141=1,SUM($P$138:P141),0)</f>
        <v>0</v>
      </c>
      <c r="R141" s="235">
        <f t="shared" si="39"/>
        <v>0</v>
      </c>
      <c r="T141" s="526">
        <f t="shared" si="43"/>
        <v>45781</v>
      </c>
    </row>
    <row r="142" spans="2:20" outlineLevel="1">
      <c r="B142" s="232">
        <f t="shared" si="41"/>
        <v>45782</v>
      </c>
      <c r="C142" s="233">
        <f t="shared" si="40"/>
        <v>45782</v>
      </c>
      <c r="D142" s="234">
        <f>目標_2025R7!D145</f>
        <v>0</v>
      </c>
      <c r="E142" s="525">
        <f>IF(D142=1,'適正原価率表(仕入れお小遣い制度)'!$J$12,0)</f>
        <v>0</v>
      </c>
      <c r="F142" s="525">
        <f>IF(D142=1,SUM($E$138:E142),0)</f>
        <v>0</v>
      </c>
      <c r="G142" s="535">
        <v>0</v>
      </c>
      <c r="H142" s="525">
        <f>IF(D142=1,SUM($G$138:G142),0)</f>
        <v>0</v>
      </c>
      <c r="I142" s="235">
        <f t="shared" si="42"/>
        <v>0</v>
      </c>
      <c r="K142" s="232">
        <f t="shared" si="36"/>
        <v>45782</v>
      </c>
      <c r="L142" s="233">
        <f t="shared" si="37"/>
        <v>45782</v>
      </c>
      <c r="M142" s="234">
        <f t="shared" si="38"/>
        <v>0</v>
      </c>
      <c r="N142" s="525">
        <f>IF(M142=1,'適正原価率表(仕入れお小遣い制度)'!$J$13,0)</f>
        <v>0</v>
      </c>
      <c r="O142" s="525">
        <f>IF(M142=1,SUM($N$138:N142),0)</f>
        <v>0</v>
      </c>
      <c r="P142" s="535">
        <v>0</v>
      </c>
      <c r="Q142" s="525">
        <f>IF(M142=1,SUM($P$138:P142),0)</f>
        <v>0</v>
      </c>
      <c r="R142" s="235">
        <f t="shared" si="39"/>
        <v>0</v>
      </c>
      <c r="T142" s="526">
        <f t="shared" si="43"/>
        <v>45782</v>
      </c>
    </row>
    <row r="143" spans="2:20" outlineLevel="1">
      <c r="B143" s="232">
        <f t="shared" si="41"/>
        <v>45783</v>
      </c>
      <c r="C143" s="233">
        <f t="shared" si="40"/>
        <v>45783</v>
      </c>
      <c r="D143" s="234">
        <f>目標_2025R7!D146</f>
        <v>0</v>
      </c>
      <c r="E143" s="525">
        <f>IF(D143=1,'適正原価率表(仕入れお小遣い制度)'!$J$12,0)</f>
        <v>0</v>
      </c>
      <c r="F143" s="525">
        <f>IF(D143=1,SUM($E$138:E143),0)</f>
        <v>0</v>
      </c>
      <c r="G143" s="535">
        <v>0</v>
      </c>
      <c r="H143" s="525">
        <f>IF(D143=1,SUM($G$138:G143),0)</f>
        <v>0</v>
      </c>
      <c r="I143" s="235">
        <f t="shared" si="42"/>
        <v>0</v>
      </c>
      <c r="K143" s="232">
        <f t="shared" si="36"/>
        <v>45783</v>
      </c>
      <c r="L143" s="233">
        <f t="shared" si="37"/>
        <v>45783</v>
      </c>
      <c r="M143" s="234">
        <f t="shared" si="38"/>
        <v>0</v>
      </c>
      <c r="N143" s="525">
        <f>IF(M143=1,'適正原価率表(仕入れお小遣い制度)'!$J$13,0)</f>
        <v>0</v>
      </c>
      <c r="O143" s="525">
        <f>IF(M143=1,SUM($N$138:N143),0)</f>
        <v>0</v>
      </c>
      <c r="P143" s="535">
        <v>0</v>
      </c>
      <c r="Q143" s="525">
        <f>IF(M143=1,SUM($P$138:P143),0)</f>
        <v>0</v>
      </c>
      <c r="R143" s="235">
        <f t="shared" si="39"/>
        <v>0</v>
      </c>
      <c r="T143" s="526">
        <f t="shared" si="43"/>
        <v>45783</v>
      </c>
    </row>
    <row r="144" spans="2:20" outlineLevel="1">
      <c r="B144" s="232">
        <f t="shared" si="41"/>
        <v>45784</v>
      </c>
      <c r="C144" s="233">
        <f t="shared" si="40"/>
        <v>45784</v>
      </c>
      <c r="D144" s="234">
        <f>目標_2025R7!D147</f>
        <v>1</v>
      </c>
      <c r="E144" s="525">
        <f>IF(D144=1,'適正原価率表(仕入れお小遣い制度)'!$J$12,0)</f>
        <v>55059.85075876856</v>
      </c>
      <c r="F144" s="525">
        <f>IF(D144=1,SUM($E$138:E144),0)</f>
        <v>165179.55227630568</v>
      </c>
      <c r="G144" s="535">
        <v>27709</v>
      </c>
      <c r="H144" s="525">
        <f>IF(D144=1,SUM($G$138:G144),0)</f>
        <v>138414</v>
      </c>
      <c r="I144" s="235">
        <f t="shared" si="42"/>
        <v>26765.55227630568</v>
      </c>
      <c r="K144" s="232">
        <f t="shared" si="36"/>
        <v>45784</v>
      </c>
      <c r="L144" s="233">
        <f t="shared" si="37"/>
        <v>45784</v>
      </c>
      <c r="M144" s="234">
        <f t="shared" si="38"/>
        <v>1</v>
      </c>
      <c r="N144" s="525">
        <f>IF(M144=1,'適正原価率表(仕入れお小遣い制度)'!$J$13,0)</f>
        <v>11925.011774856044</v>
      </c>
      <c r="O144" s="525">
        <f>IF(M144=1,SUM($N$138:N144),0)</f>
        <v>35775.035324568133</v>
      </c>
      <c r="P144" s="535">
        <v>21683</v>
      </c>
      <c r="Q144" s="525">
        <f>IF(M144=1,SUM($P$138:P144),0)</f>
        <v>90571</v>
      </c>
      <c r="R144" s="235">
        <f t="shared" si="39"/>
        <v>-54795.964675431867</v>
      </c>
      <c r="T144" s="526">
        <f t="shared" si="43"/>
        <v>45784</v>
      </c>
    </row>
    <row r="145" spans="2:20" outlineLevel="1">
      <c r="B145" s="232">
        <f t="shared" si="41"/>
        <v>45785</v>
      </c>
      <c r="C145" s="233">
        <f t="shared" si="40"/>
        <v>45785</v>
      </c>
      <c r="D145" s="234">
        <f>目標_2025R7!D148</f>
        <v>1</v>
      </c>
      <c r="E145" s="525">
        <f>IF(D145=1,'適正原価率表(仕入れお小遣い制度)'!$J$12,0)</f>
        <v>55059.85075876856</v>
      </c>
      <c r="F145" s="525">
        <f>IF(D145=1,SUM($E$138:E145),0)</f>
        <v>220239.40303507424</v>
      </c>
      <c r="G145" s="535">
        <v>89511</v>
      </c>
      <c r="H145" s="525">
        <f>IF(D145=1,SUM($G$138:G145),0)</f>
        <v>227925</v>
      </c>
      <c r="I145" s="235">
        <f t="shared" si="42"/>
        <v>-7685.5969649257604</v>
      </c>
      <c r="K145" s="232">
        <f t="shared" si="36"/>
        <v>45785</v>
      </c>
      <c r="L145" s="233">
        <f t="shared" si="37"/>
        <v>45785</v>
      </c>
      <c r="M145" s="234">
        <f t="shared" si="38"/>
        <v>1</v>
      </c>
      <c r="N145" s="525">
        <f>IF(M145=1,'適正原価率表(仕入れお小遣い制度)'!$J$13,0)</f>
        <v>11925.011774856044</v>
      </c>
      <c r="O145" s="525">
        <f>IF(M145=1,SUM($N$138:N145),0)</f>
        <v>47700.047099424177</v>
      </c>
      <c r="P145" s="535">
        <v>22550</v>
      </c>
      <c r="Q145" s="525">
        <f>IF(M145=1,SUM($P$138:P145),0)</f>
        <v>113121</v>
      </c>
      <c r="R145" s="235">
        <f t="shared" si="39"/>
        <v>-65420.952900575823</v>
      </c>
      <c r="T145" s="526">
        <f t="shared" si="43"/>
        <v>45785</v>
      </c>
    </row>
    <row r="146" spans="2:20" outlineLevel="1">
      <c r="B146" s="232">
        <f t="shared" si="41"/>
        <v>45786</v>
      </c>
      <c r="C146" s="233">
        <f t="shared" si="40"/>
        <v>45786</v>
      </c>
      <c r="D146" s="234">
        <f>目標_2025R7!D149</f>
        <v>1</v>
      </c>
      <c r="E146" s="525">
        <f>IF(D146=1,'適正原価率表(仕入れお小遣い制度)'!$J$12,0)</f>
        <v>55059.85075876856</v>
      </c>
      <c r="F146" s="525">
        <f>IF(D146=1,SUM($E$138:E146),0)</f>
        <v>275299.2537938428</v>
      </c>
      <c r="G146" s="535">
        <v>72427</v>
      </c>
      <c r="H146" s="525">
        <f>IF(D146=1,SUM($G$138:G146),0)</f>
        <v>300352</v>
      </c>
      <c r="I146" s="235">
        <f t="shared" si="42"/>
        <v>-25052.746206157201</v>
      </c>
      <c r="K146" s="232">
        <f t="shared" si="36"/>
        <v>45786</v>
      </c>
      <c r="L146" s="233">
        <f t="shared" si="37"/>
        <v>45786</v>
      </c>
      <c r="M146" s="234">
        <f t="shared" si="38"/>
        <v>1</v>
      </c>
      <c r="N146" s="525">
        <f>IF(M146=1,'適正原価率表(仕入れお小遣い制度)'!$J$13,0)</f>
        <v>11925.011774856044</v>
      </c>
      <c r="O146" s="525">
        <f>IF(M146=1,SUM($N$138:N146),0)</f>
        <v>59625.058874280221</v>
      </c>
      <c r="P146" s="535">
        <v>34995</v>
      </c>
      <c r="Q146" s="525">
        <f>IF(M146=1,SUM($P$138:P146),0)</f>
        <v>148116</v>
      </c>
      <c r="R146" s="235">
        <f t="shared" si="39"/>
        <v>-88490.941125719779</v>
      </c>
      <c r="T146" s="526">
        <f t="shared" si="43"/>
        <v>45786</v>
      </c>
    </row>
    <row r="147" spans="2:20" outlineLevel="1">
      <c r="B147" s="232">
        <f t="shared" si="41"/>
        <v>45787</v>
      </c>
      <c r="C147" s="233">
        <f t="shared" si="40"/>
        <v>45787</v>
      </c>
      <c r="D147" s="234">
        <f>目標_2025R7!D150</f>
        <v>1</v>
      </c>
      <c r="E147" s="525">
        <f>IF(D147=1,'適正原価率表(仕入れお小遣い制度)'!$J$12,0)</f>
        <v>55059.85075876856</v>
      </c>
      <c r="F147" s="525">
        <f>IF(D147=1,SUM($E$138:E147),0)</f>
        <v>330359.10455261136</v>
      </c>
      <c r="G147" s="535">
        <v>1058</v>
      </c>
      <c r="H147" s="525">
        <f>IF(D147=1,SUM($G$138:G147),0)</f>
        <v>301410</v>
      </c>
      <c r="I147" s="235">
        <f t="shared" si="42"/>
        <v>28949.104552611359</v>
      </c>
      <c r="K147" s="232">
        <f t="shared" si="36"/>
        <v>45787</v>
      </c>
      <c r="L147" s="233">
        <f t="shared" si="37"/>
        <v>45787</v>
      </c>
      <c r="M147" s="234">
        <f t="shared" si="38"/>
        <v>1</v>
      </c>
      <c r="N147" s="525">
        <f>IF(M147=1,'適正原価率表(仕入れお小遣い制度)'!$J$13,0)</f>
        <v>11925.011774856044</v>
      </c>
      <c r="O147" s="525">
        <f>IF(M147=1,SUM($N$138:N147),0)</f>
        <v>71550.070649136265</v>
      </c>
      <c r="P147" s="535">
        <v>0</v>
      </c>
      <c r="Q147" s="525">
        <f>IF(M147=1,SUM($P$138:P147),0)</f>
        <v>148116</v>
      </c>
      <c r="R147" s="235">
        <f t="shared" si="39"/>
        <v>-76565.929350863735</v>
      </c>
      <c r="T147" s="526">
        <f t="shared" si="43"/>
        <v>45787</v>
      </c>
    </row>
    <row r="148" spans="2:20" outlineLevel="1">
      <c r="B148" s="232">
        <f t="shared" si="41"/>
        <v>45788</v>
      </c>
      <c r="C148" s="233">
        <f t="shared" si="40"/>
        <v>45788</v>
      </c>
      <c r="D148" s="234">
        <f>目標_2025R7!D151</f>
        <v>0</v>
      </c>
      <c r="E148" s="525">
        <f>IF(D148=1,'適正原価率表(仕入れお小遣い制度)'!$J$12,0)</f>
        <v>0</v>
      </c>
      <c r="F148" s="525">
        <f>IF(D148=1,SUM($E$138:E148),0)</f>
        <v>0</v>
      </c>
      <c r="G148" s="535">
        <v>0</v>
      </c>
      <c r="H148" s="525">
        <f>IF(D148=1,SUM($G$138:G148),0)</f>
        <v>0</v>
      </c>
      <c r="I148" s="235">
        <f t="shared" si="42"/>
        <v>0</v>
      </c>
      <c r="K148" s="232">
        <f t="shared" si="36"/>
        <v>45788</v>
      </c>
      <c r="L148" s="233">
        <f t="shared" si="37"/>
        <v>45788</v>
      </c>
      <c r="M148" s="234">
        <f t="shared" si="38"/>
        <v>0</v>
      </c>
      <c r="N148" s="525">
        <f>IF(M148=1,'適正原価率表(仕入れお小遣い制度)'!$J$13,0)</f>
        <v>0</v>
      </c>
      <c r="O148" s="525">
        <f>IF(M148=1,SUM($N$138:N148),0)</f>
        <v>0</v>
      </c>
      <c r="P148" s="535">
        <v>0</v>
      </c>
      <c r="Q148" s="525">
        <f>IF(M148=1,SUM($P$138:P148),0)</f>
        <v>0</v>
      </c>
      <c r="R148" s="235">
        <f t="shared" si="39"/>
        <v>0</v>
      </c>
      <c r="T148" s="526">
        <f t="shared" si="43"/>
        <v>45788</v>
      </c>
    </row>
    <row r="149" spans="2:20" outlineLevel="1">
      <c r="B149" s="232">
        <f t="shared" si="41"/>
        <v>45789</v>
      </c>
      <c r="C149" s="233">
        <f t="shared" si="40"/>
        <v>45789</v>
      </c>
      <c r="D149" s="234">
        <f>目標_2025R7!D152</f>
        <v>1</v>
      </c>
      <c r="E149" s="525">
        <f>IF(D149=1,'適正原価率表(仕入れお小遣い制度)'!$J$12,0)</f>
        <v>55059.85075876856</v>
      </c>
      <c r="F149" s="525">
        <f>IF(D149=1,SUM($E$138:E149),0)</f>
        <v>385418.95531137992</v>
      </c>
      <c r="G149" s="535">
        <v>52731</v>
      </c>
      <c r="H149" s="525">
        <f>IF(D149=1,SUM($G$138:G149),0)</f>
        <v>354141</v>
      </c>
      <c r="I149" s="235">
        <f t="shared" si="42"/>
        <v>31277.955311379919</v>
      </c>
      <c r="K149" s="232">
        <f t="shared" si="36"/>
        <v>45789</v>
      </c>
      <c r="L149" s="233">
        <f t="shared" si="37"/>
        <v>45789</v>
      </c>
      <c r="M149" s="234">
        <f t="shared" si="38"/>
        <v>1</v>
      </c>
      <c r="N149" s="525">
        <f>IF(M149=1,'適正原価率表(仕入れお小遣い制度)'!$J$13,0)</f>
        <v>11925.011774856044</v>
      </c>
      <c r="O149" s="525">
        <f>IF(M149=1,SUM($N$138:N149),0)</f>
        <v>83475.082423992309</v>
      </c>
      <c r="P149" s="535">
        <v>2860</v>
      </c>
      <c r="Q149" s="525">
        <f>IF(M149=1,SUM($P$138:P149),0)</f>
        <v>150976</v>
      </c>
      <c r="R149" s="235">
        <f t="shared" si="39"/>
        <v>-67500.917576007691</v>
      </c>
      <c r="T149" s="526">
        <f t="shared" si="43"/>
        <v>45789</v>
      </c>
    </row>
    <row r="150" spans="2:20" outlineLevel="1">
      <c r="B150" s="232">
        <f t="shared" si="41"/>
        <v>45790</v>
      </c>
      <c r="C150" s="233">
        <f t="shared" si="40"/>
        <v>45790</v>
      </c>
      <c r="D150" s="234">
        <f>目標_2025R7!D153</f>
        <v>1</v>
      </c>
      <c r="E150" s="525">
        <f>IF(D150=1,'適正原価率表(仕入れお小遣い制度)'!$J$12,0)</f>
        <v>55059.85075876856</v>
      </c>
      <c r="F150" s="525">
        <f>IF(D150=1,SUM($E$138:E150),0)</f>
        <v>440478.80607014848</v>
      </c>
      <c r="G150" s="535">
        <v>44453</v>
      </c>
      <c r="H150" s="525">
        <f>IF(D150=1,SUM($G$138:G150),0)</f>
        <v>398594</v>
      </c>
      <c r="I150" s="235">
        <f t="shared" si="42"/>
        <v>41884.806070148479</v>
      </c>
      <c r="K150" s="232">
        <f t="shared" si="36"/>
        <v>45790</v>
      </c>
      <c r="L150" s="233">
        <f t="shared" si="37"/>
        <v>45790</v>
      </c>
      <c r="M150" s="234">
        <f t="shared" si="38"/>
        <v>1</v>
      </c>
      <c r="N150" s="525">
        <f>IF(M150=1,'適正原価率表(仕入れお小遣い制度)'!$J$13,0)</f>
        <v>11925.011774856044</v>
      </c>
      <c r="O150" s="525">
        <f>IF(M150=1,SUM($N$138:N150),0)</f>
        <v>95400.094198848354</v>
      </c>
      <c r="P150" s="535">
        <v>23745</v>
      </c>
      <c r="Q150" s="525">
        <f>IF(M150=1,SUM($P$138:P150),0)</f>
        <v>174721</v>
      </c>
      <c r="R150" s="235">
        <f t="shared" si="39"/>
        <v>-79320.905801151646</v>
      </c>
      <c r="T150" s="526">
        <f t="shared" si="43"/>
        <v>45790</v>
      </c>
    </row>
    <row r="151" spans="2:20" outlineLevel="1">
      <c r="B151" s="232">
        <f t="shared" si="41"/>
        <v>45791</v>
      </c>
      <c r="C151" s="233">
        <f t="shared" si="40"/>
        <v>45791</v>
      </c>
      <c r="D151" s="234">
        <f>目標_2025R7!D154</f>
        <v>1</v>
      </c>
      <c r="E151" s="525">
        <f>IF(D151=1,'適正原価率表(仕入れお小遣い制度)'!$J$12,0)</f>
        <v>55059.85075876856</v>
      </c>
      <c r="F151" s="525">
        <f>IF(D151=1,SUM($E$138:E151),0)</f>
        <v>495538.65682891704</v>
      </c>
      <c r="G151" s="535">
        <v>35007</v>
      </c>
      <c r="H151" s="525">
        <f>IF(D151=1,SUM($G$138:G151),0)</f>
        <v>433601</v>
      </c>
      <c r="I151" s="235">
        <f t="shared" si="42"/>
        <v>61937.656828917039</v>
      </c>
      <c r="K151" s="232">
        <f t="shared" si="36"/>
        <v>45791</v>
      </c>
      <c r="L151" s="233">
        <f t="shared" si="37"/>
        <v>45791</v>
      </c>
      <c r="M151" s="234">
        <f t="shared" si="38"/>
        <v>1</v>
      </c>
      <c r="N151" s="525">
        <f>IF(M151=1,'適正原価率表(仕入れお小遣い制度)'!$J$13,0)</f>
        <v>11925.011774856044</v>
      </c>
      <c r="O151" s="525">
        <f>IF(M151=1,SUM($N$138:N151),0)</f>
        <v>107325.1059737044</v>
      </c>
      <c r="P151" s="535">
        <v>18175</v>
      </c>
      <c r="Q151" s="525">
        <f>IF(M151=1,SUM($P$138:P151),0)</f>
        <v>192896</v>
      </c>
      <c r="R151" s="235">
        <f t="shared" si="39"/>
        <v>-85570.894026295602</v>
      </c>
      <c r="T151" s="526">
        <f t="shared" si="43"/>
        <v>45791</v>
      </c>
    </row>
    <row r="152" spans="2:20" outlineLevel="1">
      <c r="B152" s="232">
        <f t="shared" si="41"/>
        <v>45792</v>
      </c>
      <c r="C152" s="233">
        <f t="shared" si="40"/>
        <v>45792</v>
      </c>
      <c r="D152" s="234">
        <f>目標_2025R7!D155</f>
        <v>1</v>
      </c>
      <c r="E152" s="525">
        <f>IF(D152=1,'適正原価率表(仕入れお小遣い制度)'!$J$12,0)</f>
        <v>55059.85075876856</v>
      </c>
      <c r="F152" s="525">
        <f>IF(D152=1,SUM($E$138:E152),0)</f>
        <v>550598.5075876856</v>
      </c>
      <c r="G152" s="535">
        <v>101810</v>
      </c>
      <c r="H152" s="525">
        <f>IF(D152=1,SUM($G$138:G152),0)</f>
        <v>535411</v>
      </c>
      <c r="I152" s="235">
        <f t="shared" si="42"/>
        <v>15187.507587685599</v>
      </c>
      <c r="K152" s="232">
        <f t="shared" si="36"/>
        <v>45792</v>
      </c>
      <c r="L152" s="233">
        <f t="shared" si="37"/>
        <v>45792</v>
      </c>
      <c r="M152" s="234">
        <f t="shared" si="38"/>
        <v>1</v>
      </c>
      <c r="N152" s="525">
        <f>IF(M152=1,'適正原価率表(仕入れお小遣い制度)'!$J$13,0)</f>
        <v>11925.011774856044</v>
      </c>
      <c r="O152" s="525">
        <f>IF(M152=1,SUM($N$138:N152),0)</f>
        <v>119250.11774856044</v>
      </c>
      <c r="P152" s="535">
        <v>28564</v>
      </c>
      <c r="Q152" s="525">
        <f>IF(M152=1,SUM($P$138:P152),0)</f>
        <v>221460</v>
      </c>
      <c r="R152" s="235">
        <f t="shared" si="39"/>
        <v>-102209.88225143956</v>
      </c>
      <c r="T152" s="526">
        <f t="shared" si="43"/>
        <v>45792</v>
      </c>
    </row>
    <row r="153" spans="2:20" outlineLevel="1">
      <c r="B153" s="232">
        <f t="shared" si="41"/>
        <v>45793</v>
      </c>
      <c r="C153" s="233">
        <f t="shared" si="40"/>
        <v>45793</v>
      </c>
      <c r="D153" s="234">
        <f>目標_2025R7!D156</f>
        <v>1</v>
      </c>
      <c r="E153" s="525">
        <f>IF(D153=1,'適正原価率表(仕入れお小遣い制度)'!$J$12,0)</f>
        <v>55059.85075876856</v>
      </c>
      <c r="F153" s="525">
        <f>IF(D153=1,SUM($E$138:E153),0)</f>
        <v>605658.3583464541</v>
      </c>
      <c r="G153" s="535">
        <v>64963</v>
      </c>
      <c r="H153" s="525">
        <f>IF(D153=1,SUM($G$138:G153),0)</f>
        <v>600374</v>
      </c>
      <c r="I153" s="235">
        <f t="shared" si="42"/>
        <v>5284.3583464541007</v>
      </c>
      <c r="K153" s="232">
        <f t="shared" si="36"/>
        <v>45793</v>
      </c>
      <c r="L153" s="233">
        <f t="shared" si="37"/>
        <v>45793</v>
      </c>
      <c r="M153" s="234">
        <f t="shared" si="38"/>
        <v>1</v>
      </c>
      <c r="N153" s="525">
        <f>IF(M153=1,'適正原価率表(仕入れお小遣い制度)'!$J$13,0)</f>
        <v>11925.011774856044</v>
      </c>
      <c r="O153" s="525">
        <f>IF(M153=1,SUM($N$138:N153),0)</f>
        <v>131175.12952341649</v>
      </c>
      <c r="P153" s="535">
        <v>43891</v>
      </c>
      <c r="Q153" s="525">
        <f>IF(M153=1,SUM($P$138:P153),0)</f>
        <v>265351</v>
      </c>
      <c r="R153" s="235">
        <f t="shared" si="39"/>
        <v>-134175.87047658351</v>
      </c>
      <c r="T153" s="526">
        <f t="shared" si="43"/>
        <v>45793</v>
      </c>
    </row>
    <row r="154" spans="2:20" outlineLevel="1">
      <c r="B154" s="232">
        <f t="shared" si="41"/>
        <v>45794</v>
      </c>
      <c r="C154" s="233">
        <f t="shared" si="40"/>
        <v>45794</v>
      </c>
      <c r="D154" s="234">
        <f>目標_2025R7!D157</f>
        <v>1</v>
      </c>
      <c r="E154" s="525">
        <f>IF(D154=1,'適正原価率表(仕入れお小遣い制度)'!$J$12,0)</f>
        <v>55059.85075876856</v>
      </c>
      <c r="F154" s="525">
        <f>IF(D154=1,SUM($E$138:E154),0)</f>
        <v>660718.20910522272</v>
      </c>
      <c r="G154" s="535">
        <v>16298</v>
      </c>
      <c r="H154" s="525">
        <f>IF(D154=1,SUM($G$138:G154),0)</f>
        <v>616672</v>
      </c>
      <c r="I154" s="235">
        <f t="shared" si="42"/>
        <v>44046.209105222719</v>
      </c>
      <c r="K154" s="232">
        <f t="shared" si="36"/>
        <v>45794</v>
      </c>
      <c r="L154" s="233">
        <f t="shared" si="37"/>
        <v>45794</v>
      </c>
      <c r="M154" s="234">
        <f t="shared" si="38"/>
        <v>1</v>
      </c>
      <c r="N154" s="525">
        <f>IF(M154=1,'適正原価率表(仕入れお小遣い制度)'!$J$13,0)</f>
        <v>11925.011774856044</v>
      </c>
      <c r="O154" s="525">
        <f>IF(M154=1,SUM($N$138:N154),0)</f>
        <v>143100.14129827253</v>
      </c>
      <c r="P154" s="535">
        <v>22286</v>
      </c>
      <c r="Q154" s="525">
        <f>IF(M154=1,SUM($P$138:P154),0)</f>
        <v>287637</v>
      </c>
      <c r="R154" s="235">
        <f t="shared" si="39"/>
        <v>-144536.85870172747</v>
      </c>
      <c r="T154" s="526">
        <f t="shared" si="43"/>
        <v>45794</v>
      </c>
    </row>
    <row r="155" spans="2:20" outlineLevel="1">
      <c r="B155" s="232">
        <f t="shared" si="41"/>
        <v>45795</v>
      </c>
      <c r="C155" s="233">
        <f t="shared" si="40"/>
        <v>45795</v>
      </c>
      <c r="D155" s="234">
        <f>目標_2025R7!D158</f>
        <v>0</v>
      </c>
      <c r="E155" s="525">
        <f>IF(D155=1,'適正原価率表(仕入れお小遣い制度)'!$J$12,0)</f>
        <v>0</v>
      </c>
      <c r="F155" s="525">
        <f>IF(D155=1,SUM($E$138:E155),0)</f>
        <v>0</v>
      </c>
      <c r="G155" s="535">
        <v>0</v>
      </c>
      <c r="H155" s="525">
        <f>IF(D155=1,SUM($G$138:G155),0)</f>
        <v>0</v>
      </c>
      <c r="I155" s="235">
        <f t="shared" si="42"/>
        <v>0</v>
      </c>
      <c r="K155" s="232">
        <f t="shared" si="36"/>
        <v>45795</v>
      </c>
      <c r="L155" s="233">
        <f t="shared" si="37"/>
        <v>45795</v>
      </c>
      <c r="M155" s="234">
        <f t="shared" si="38"/>
        <v>0</v>
      </c>
      <c r="N155" s="525">
        <f>IF(M155=1,'適正原価率表(仕入れお小遣い制度)'!$J$13,0)</f>
        <v>0</v>
      </c>
      <c r="O155" s="525">
        <f>IF(M155=1,SUM($N$138:N155),0)</f>
        <v>0</v>
      </c>
      <c r="P155" s="535">
        <v>0</v>
      </c>
      <c r="Q155" s="525">
        <f>IF(M155=1,SUM($P$138:P155),0)</f>
        <v>0</v>
      </c>
      <c r="R155" s="235">
        <f t="shared" si="39"/>
        <v>0</v>
      </c>
      <c r="T155" s="526">
        <f t="shared" si="43"/>
        <v>45795</v>
      </c>
    </row>
    <row r="156" spans="2:20" outlineLevel="1">
      <c r="B156" s="232">
        <f t="shared" si="41"/>
        <v>45796</v>
      </c>
      <c r="C156" s="233">
        <f t="shared" si="40"/>
        <v>45796</v>
      </c>
      <c r="D156" s="234">
        <f>目標_2025R7!D159</f>
        <v>1</v>
      </c>
      <c r="E156" s="525">
        <f>IF(D156=1,'適正原価率表(仕入れお小遣い制度)'!$J$12,0)</f>
        <v>55059.85075876856</v>
      </c>
      <c r="F156" s="525">
        <f>IF(D156=1,SUM($E$138:E156),0)</f>
        <v>715778.05986399134</v>
      </c>
      <c r="G156" s="535">
        <v>100460</v>
      </c>
      <c r="H156" s="525">
        <f>IF(D156=1,SUM($G$138:G156),0)</f>
        <v>717132</v>
      </c>
      <c r="I156" s="235">
        <f t="shared" si="42"/>
        <v>-1353.9401360086631</v>
      </c>
      <c r="K156" s="232">
        <f t="shared" si="36"/>
        <v>45796</v>
      </c>
      <c r="L156" s="233">
        <f t="shared" si="37"/>
        <v>45796</v>
      </c>
      <c r="M156" s="234">
        <f t="shared" si="38"/>
        <v>1</v>
      </c>
      <c r="N156" s="525">
        <f>IF(M156=1,'適正原価率表(仕入れお小遣い制度)'!$J$13,0)</f>
        <v>11925.011774856044</v>
      </c>
      <c r="O156" s="525">
        <f>IF(M156=1,SUM($N$138:N156),0)</f>
        <v>155025.15307312857</v>
      </c>
      <c r="P156" s="535">
        <v>25499</v>
      </c>
      <c r="Q156" s="525">
        <f>IF(M156=1,SUM($P$138:P156),0)</f>
        <v>313136</v>
      </c>
      <c r="R156" s="235">
        <f t="shared" si="39"/>
        <v>-158110.84692687143</v>
      </c>
      <c r="T156" s="526">
        <f t="shared" si="43"/>
        <v>45796</v>
      </c>
    </row>
    <row r="157" spans="2:20" outlineLevel="1">
      <c r="B157" s="232">
        <f t="shared" si="41"/>
        <v>45797</v>
      </c>
      <c r="C157" s="233">
        <f t="shared" si="40"/>
        <v>45797</v>
      </c>
      <c r="D157" s="234">
        <f>目標_2025R7!D160</f>
        <v>1</v>
      </c>
      <c r="E157" s="525">
        <f>IF(D157=1,'適正原価率表(仕入れお小遣い制度)'!$J$12,0)</f>
        <v>55059.85075876856</v>
      </c>
      <c r="F157" s="525">
        <f>IF(D157=1,SUM($E$138:E157),0)</f>
        <v>770837.91062275996</v>
      </c>
      <c r="G157" s="535">
        <v>88948</v>
      </c>
      <c r="H157" s="525">
        <f>IF(D157=1,SUM($G$138:G157),0)</f>
        <v>806080</v>
      </c>
      <c r="I157" s="235">
        <f t="shared" si="42"/>
        <v>-35242.089377240045</v>
      </c>
      <c r="K157" s="232">
        <f t="shared" si="36"/>
        <v>45797</v>
      </c>
      <c r="L157" s="233">
        <f t="shared" si="37"/>
        <v>45797</v>
      </c>
      <c r="M157" s="234">
        <f t="shared" si="38"/>
        <v>1</v>
      </c>
      <c r="N157" s="525">
        <f>IF(M157=1,'適正原価率表(仕入れお小遣い制度)'!$J$13,0)</f>
        <v>11925.011774856044</v>
      </c>
      <c r="O157" s="525">
        <f>IF(M157=1,SUM($N$138:N157),0)</f>
        <v>166950.16484798462</v>
      </c>
      <c r="P157" s="535">
        <v>32399</v>
      </c>
      <c r="Q157" s="525">
        <f>IF(M157=1,SUM($P$138:P157),0)</f>
        <v>345535</v>
      </c>
      <c r="R157" s="235">
        <f t="shared" si="39"/>
        <v>-178584.83515201538</v>
      </c>
      <c r="T157" s="526">
        <f t="shared" si="43"/>
        <v>45797</v>
      </c>
    </row>
    <row r="158" spans="2:20" outlineLevel="1">
      <c r="B158" s="232">
        <f t="shared" si="41"/>
        <v>45798</v>
      </c>
      <c r="C158" s="233">
        <f t="shared" si="40"/>
        <v>45798</v>
      </c>
      <c r="D158" s="234">
        <f>目標_2025R7!D161</f>
        <v>1</v>
      </c>
      <c r="E158" s="525">
        <f>IF(D158=1,'適正原価率表(仕入れお小遣い制度)'!$J$12,0)</f>
        <v>55059.85075876856</v>
      </c>
      <c r="F158" s="525">
        <f>IF(D158=1,SUM($E$138:E158),0)</f>
        <v>825897.76138152857</v>
      </c>
      <c r="G158" s="535">
        <v>92303</v>
      </c>
      <c r="H158" s="525">
        <f>IF(D158=1,SUM($G$138:G158),0)</f>
        <v>898383</v>
      </c>
      <c r="I158" s="235">
        <f t="shared" si="42"/>
        <v>-72485.238618471427</v>
      </c>
      <c r="K158" s="232">
        <f t="shared" si="36"/>
        <v>45798</v>
      </c>
      <c r="L158" s="233">
        <f t="shared" si="37"/>
        <v>45798</v>
      </c>
      <c r="M158" s="234">
        <f t="shared" si="38"/>
        <v>1</v>
      </c>
      <c r="N158" s="525">
        <f>IF(M158=1,'適正原価率表(仕入れお小遣い制度)'!$J$13,0)</f>
        <v>11925.011774856044</v>
      </c>
      <c r="O158" s="525">
        <f>IF(M158=1,SUM($N$138:N158),0)</f>
        <v>178875.17662284066</v>
      </c>
      <c r="P158" s="535">
        <v>17486</v>
      </c>
      <c r="Q158" s="525">
        <f>IF(M158=1,SUM($P$138:P158),0)</f>
        <v>363021</v>
      </c>
      <c r="R158" s="235">
        <f t="shared" si="39"/>
        <v>-184145.82337715934</v>
      </c>
      <c r="T158" s="526">
        <f t="shared" si="43"/>
        <v>45798</v>
      </c>
    </row>
    <row r="159" spans="2:20" outlineLevel="1">
      <c r="B159" s="232">
        <f t="shared" si="41"/>
        <v>45799</v>
      </c>
      <c r="C159" s="233">
        <f t="shared" si="40"/>
        <v>45799</v>
      </c>
      <c r="D159" s="234">
        <f>目標_2025R7!D162</f>
        <v>1</v>
      </c>
      <c r="E159" s="525">
        <f>IF(D159=1,'適正原価率表(仕入れお小遣い制度)'!$J$12,0)</f>
        <v>55059.85075876856</v>
      </c>
      <c r="F159" s="525">
        <f>IF(D159=1,SUM($E$138:E159),0)</f>
        <v>880957.61214029719</v>
      </c>
      <c r="G159" s="535">
        <v>37645</v>
      </c>
      <c r="H159" s="525">
        <f>IF(D159=1,SUM($G$138:G159),0)</f>
        <v>936028</v>
      </c>
      <c r="I159" s="235">
        <f t="shared" si="42"/>
        <v>-55070.387859702809</v>
      </c>
      <c r="K159" s="232">
        <f t="shared" si="36"/>
        <v>45799</v>
      </c>
      <c r="L159" s="233">
        <f t="shared" si="37"/>
        <v>45799</v>
      </c>
      <c r="M159" s="234">
        <f t="shared" si="38"/>
        <v>1</v>
      </c>
      <c r="N159" s="525">
        <f>IF(M159=1,'適正原価率表(仕入れお小遣い制度)'!$J$13,0)</f>
        <v>11925.011774856044</v>
      </c>
      <c r="O159" s="525">
        <f>IF(M159=1,SUM($N$138:N159),0)</f>
        <v>190800.18839769671</v>
      </c>
      <c r="P159" s="535">
        <v>2760</v>
      </c>
      <c r="Q159" s="525">
        <f>IF(M159=1,SUM($P$138:P159),0)</f>
        <v>365781</v>
      </c>
      <c r="R159" s="235">
        <f t="shared" si="39"/>
        <v>-174980.81160230329</v>
      </c>
      <c r="T159" s="526">
        <f t="shared" si="43"/>
        <v>45799</v>
      </c>
    </row>
    <row r="160" spans="2:20" outlineLevel="1">
      <c r="B160" s="232">
        <f t="shared" si="41"/>
        <v>45800</v>
      </c>
      <c r="C160" s="233">
        <f t="shared" si="40"/>
        <v>45800</v>
      </c>
      <c r="D160" s="234">
        <f>目標_2025R7!D163</f>
        <v>1</v>
      </c>
      <c r="E160" s="525">
        <f>IF(D160=1,'適正原価率表(仕入れお小遣い制度)'!$J$12,0)</f>
        <v>55059.85075876856</v>
      </c>
      <c r="F160" s="525">
        <f>IF(D160=1,SUM($E$138:E160),0)</f>
        <v>936017.46289906581</v>
      </c>
      <c r="G160" s="535">
        <v>76188</v>
      </c>
      <c r="H160" s="525">
        <f>IF(D160=1,SUM($G$138:G160),0)</f>
        <v>1012216</v>
      </c>
      <c r="I160" s="235">
        <f t="shared" si="42"/>
        <v>-76198.537100934191</v>
      </c>
      <c r="K160" s="232">
        <f t="shared" si="36"/>
        <v>45800</v>
      </c>
      <c r="L160" s="233">
        <f t="shared" si="37"/>
        <v>45800</v>
      </c>
      <c r="M160" s="234">
        <f t="shared" si="38"/>
        <v>1</v>
      </c>
      <c r="N160" s="525">
        <f>IF(M160=1,'適正原価率表(仕入れお小遣い制度)'!$J$13,0)</f>
        <v>11925.011774856044</v>
      </c>
      <c r="O160" s="525">
        <f>IF(M160=1,SUM($N$138:N160),0)</f>
        <v>202725.20017255275</v>
      </c>
      <c r="P160" s="535">
        <v>25054</v>
      </c>
      <c r="Q160" s="525">
        <f>IF(M160=1,SUM($P$138:P160),0)</f>
        <v>390835</v>
      </c>
      <c r="R160" s="235">
        <f t="shared" si="39"/>
        <v>-188109.79982744725</v>
      </c>
      <c r="T160" s="526">
        <f t="shared" si="43"/>
        <v>45800</v>
      </c>
    </row>
    <row r="161" spans="2:20" outlineLevel="1">
      <c r="B161" s="232">
        <f t="shared" si="41"/>
        <v>45801</v>
      </c>
      <c r="C161" s="233">
        <f t="shared" si="40"/>
        <v>45801</v>
      </c>
      <c r="D161" s="234">
        <f>目標_2025R7!D164</f>
        <v>1</v>
      </c>
      <c r="E161" s="525">
        <f>IF(D161=1,'適正原価率表(仕入れお小遣い制度)'!$J$12,0)</f>
        <v>55059.85075876856</v>
      </c>
      <c r="F161" s="525">
        <f>IF(D161=1,SUM($E$138:E161),0)</f>
        <v>991077.31365783443</v>
      </c>
      <c r="G161" s="535">
        <v>44710</v>
      </c>
      <c r="H161" s="525">
        <f>IF(D161=1,SUM($G$138:G161),0)</f>
        <v>1056926</v>
      </c>
      <c r="I161" s="235">
        <f t="shared" si="42"/>
        <v>-65848.686342165573</v>
      </c>
      <c r="K161" s="232">
        <f t="shared" si="36"/>
        <v>45801</v>
      </c>
      <c r="L161" s="233">
        <f t="shared" si="37"/>
        <v>45801</v>
      </c>
      <c r="M161" s="234">
        <f t="shared" si="38"/>
        <v>1</v>
      </c>
      <c r="N161" s="525">
        <f>IF(M161=1,'適正原価率表(仕入れお小遣い制度)'!$J$13,0)</f>
        <v>11925.011774856044</v>
      </c>
      <c r="O161" s="525">
        <f>IF(M161=1,SUM($N$138:N161),0)</f>
        <v>214650.2119474088</v>
      </c>
      <c r="P161" s="535">
        <v>429</v>
      </c>
      <c r="Q161" s="525">
        <f>IF(M161=1,SUM($P$138:P161),0)</f>
        <v>391264</v>
      </c>
      <c r="R161" s="235">
        <f t="shared" si="39"/>
        <v>-176613.7880525912</v>
      </c>
      <c r="T161" s="526">
        <f t="shared" si="43"/>
        <v>45801</v>
      </c>
    </row>
    <row r="162" spans="2:20" outlineLevel="1">
      <c r="B162" s="232">
        <f t="shared" si="41"/>
        <v>45802</v>
      </c>
      <c r="C162" s="233">
        <f t="shared" si="40"/>
        <v>45802</v>
      </c>
      <c r="D162" s="234">
        <f>目標_2025R7!D165</f>
        <v>0</v>
      </c>
      <c r="E162" s="525">
        <f>IF(D162=1,'適正原価率表(仕入れお小遣い制度)'!$J$12,0)</f>
        <v>0</v>
      </c>
      <c r="F162" s="525">
        <f>IF(D162=1,SUM($E$138:E162),0)</f>
        <v>0</v>
      </c>
      <c r="G162" s="535">
        <v>0</v>
      </c>
      <c r="H162" s="525">
        <f>IF(D162=1,SUM($G$138:G162),0)</f>
        <v>0</v>
      </c>
      <c r="I162" s="235">
        <f t="shared" si="42"/>
        <v>0</v>
      </c>
      <c r="K162" s="232">
        <f t="shared" si="36"/>
        <v>45802</v>
      </c>
      <c r="L162" s="233">
        <f t="shared" si="37"/>
        <v>45802</v>
      </c>
      <c r="M162" s="234">
        <f t="shared" si="38"/>
        <v>0</v>
      </c>
      <c r="N162" s="525">
        <f>IF(M162=1,'適正原価率表(仕入れお小遣い制度)'!$J$13,0)</f>
        <v>0</v>
      </c>
      <c r="O162" s="525">
        <f>IF(M162=1,SUM($N$138:N162),0)</f>
        <v>0</v>
      </c>
      <c r="P162" s="535">
        <v>0</v>
      </c>
      <c r="Q162" s="525">
        <f>IF(M162=1,SUM($P$138:P162),0)</f>
        <v>0</v>
      </c>
      <c r="R162" s="235">
        <f t="shared" si="39"/>
        <v>0</v>
      </c>
      <c r="T162" s="526">
        <f t="shared" si="43"/>
        <v>45802</v>
      </c>
    </row>
    <row r="163" spans="2:20" outlineLevel="1">
      <c r="B163" s="232">
        <f t="shared" si="41"/>
        <v>45803</v>
      </c>
      <c r="C163" s="233">
        <f t="shared" si="40"/>
        <v>45803</v>
      </c>
      <c r="D163" s="234">
        <f>目標_2025R7!D166</f>
        <v>1</v>
      </c>
      <c r="E163" s="525">
        <f>IF(D163=1,'適正原価率表(仕入れお小遣い制度)'!$J$12,0)</f>
        <v>55059.85075876856</v>
      </c>
      <c r="F163" s="525">
        <f>IF(D163=1,SUM($E$138:E163),0)</f>
        <v>1046137.164416603</v>
      </c>
      <c r="G163" s="535">
        <v>63824</v>
      </c>
      <c r="H163" s="525">
        <f>IF(D163=1,SUM($G$138:G163),0)</f>
        <v>1120750</v>
      </c>
      <c r="I163" s="235">
        <f t="shared" si="42"/>
        <v>-74612.835583396954</v>
      </c>
      <c r="K163" s="232">
        <f t="shared" si="36"/>
        <v>45803</v>
      </c>
      <c r="L163" s="233">
        <f t="shared" si="37"/>
        <v>45803</v>
      </c>
      <c r="M163" s="234">
        <f t="shared" si="38"/>
        <v>1</v>
      </c>
      <c r="N163" s="525">
        <f>IF(M163=1,'適正原価率表(仕入れお小遣い制度)'!$J$13,0)</f>
        <v>11925.011774856044</v>
      </c>
      <c r="O163" s="525">
        <f>IF(M163=1,SUM($N$138:N163),0)</f>
        <v>226575.22372226484</v>
      </c>
      <c r="P163" s="535">
        <v>21584</v>
      </c>
      <c r="Q163" s="525">
        <f>IF(M163=1,SUM($P$138:P163),0)</f>
        <v>412848</v>
      </c>
      <c r="R163" s="235">
        <f t="shared" si="39"/>
        <v>-186272.77627773516</v>
      </c>
      <c r="T163" s="526">
        <f t="shared" si="43"/>
        <v>45803</v>
      </c>
    </row>
    <row r="164" spans="2:20" outlineLevel="1">
      <c r="B164" s="232">
        <f t="shared" si="41"/>
        <v>45804</v>
      </c>
      <c r="C164" s="233">
        <f t="shared" si="40"/>
        <v>45804</v>
      </c>
      <c r="D164" s="234">
        <f>目標_2025R7!D167</f>
        <v>1</v>
      </c>
      <c r="E164" s="525">
        <f>IF(D164=1,'適正原価率表(仕入れお小遣い制度)'!$J$12,0)</f>
        <v>55059.85075876856</v>
      </c>
      <c r="F164" s="525">
        <f>IF(D164=1,SUM($E$138:E164),0)</f>
        <v>1101197.0151753717</v>
      </c>
      <c r="G164" s="535">
        <v>74358</v>
      </c>
      <c r="H164" s="525">
        <f>IF(D164=1,SUM($G$138:G164),0)</f>
        <v>1195108</v>
      </c>
      <c r="I164" s="235">
        <f t="shared" si="42"/>
        <v>-93910.984824628336</v>
      </c>
      <c r="K164" s="232">
        <f t="shared" si="36"/>
        <v>45804</v>
      </c>
      <c r="L164" s="233">
        <f t="shared" si="37"/>
        <v>45804</v>
      </c>
      <c r="M164" s="234">
        <f t="shared" si="38"/>
        <v>1</v>
      </c>
      <c r="N164" s="525">
        <f>IF(M164=1,'適正原価率表(仕入れお小遣い制度)'!$J$13,0)</f>
        <v>11925.011774856044</v>
      </c>
      <c r="O164" s="525">
        <f>IF(M164=1,SUM($N$138:N164),0)</f>
        <v>238500.23549712088</v>
      </c>
      <c r="P164" s="535">
        <v>22721</v>
      </c>
      <c r="Q164" s="525">
        <f>IF(M164=1,SUM($P$138:P164),0)</f>
        <v>435569</v>
      </c>
      <c r="R164" s="235">
        <f t="shared" si="39"/>
        <v>-197068.76450287912</v>
      </c>
      <c r="T164" s="526">
        <f t="shared" si="43"/>
        <v>45804</v>
      </c>
    </row>
    <row r="165" spans="2:20" outlineLevel="1">
      <c r="B165" s="232">
        <f t="shared" si="41"/>
        <v>45805</v>
      </c>
      <c r="C165" s="233">
        <f t="shared" si="40"/>
        <v>45805</v>
      </c>
      <c r="D165" s="234">
        <f>目標_2025R7!D168</f>
        <v>1</v>
      </c>
      <c r="E165" s="525">
        <f>IF(D165=1,'適正原価率表(仕入れお小遣い制度)'!$J$12,0)</f>
        <v>55059.85075876856</v>
      </c>
      <c r="F165" s="525">
        <f>IF(D165=1,SUM($E$138:E165),0)</f>
        <v>1156256.8659341403</v>
      </c>
      <c r="G165" s="535">
        <v>32828</v>
      </c>
      <c r="H165" s="525">
        <f>IF(D165=1,SUM($G$138:G165),0)</f>
        <v>1227936</v>
      </c>
      <c r="I165" s="235">
        <f t="shared" si="42"/>
        <v>-71679.134065859718</v>
      </c>
      <c r="K165" s="232">
        <f t="shared" si="36"/>
        <v>45805</v>
      </c>
      <c r="L165" s="233">
        <f t="shared" si="37"/>
        <v>45805</v>
      </c>
      <c r="M165" s="234">
        <f t="shared" si="38"/>
        <v>1</v>
      </c>
      <c r="N165" s="525">
        <f>IF(M165=1,'適正原価率表(仕入れお小遣い制度)'!$J$13,0)</f>
        <v>11925.011774856044</v>
      </c>
      <c r="O165" s="525">
        <f>IF(M165=1,SUM($N$138:N165),0)</f>
        <v>250425.24727197693</v>
      </c>
      <c r="P165" s="535">
        <v>25894</v>
      </c>
      <c r="Q165" s="525">
        <f>IF(M165=1,SUM($P$138:P165),0)</f>
        <v>461463</v>
      </c>
      <c r="R165" s="235">
        <f t="shared" si="39"/>
        <v>-211037.75272802307</v>
      </c>
      <c r="T165" s="526">
        <f t="shared" si="43"/>
        <v>45805</v>
      </c>
    </row>
    <row r="166" spans="2:20" outlineLevel="1">
      <c r="B166" s="232">
        <f t="shared" si="41"/>
        <v>45806</v>
      </c>
      <c r="C166" s="233">
        <f t="shared" si="40"/>
        <v>45806</v>
      </c>
      <c r="D166" s="234">
        <f>目標_2025R7!D169</f>
        <v>1</v>
      </c>
      <c r="E166" s="525">
        <f>IF(D166=1,'適正原価率表(仕入れお小遣い制度)'!$J$12,0)</f>
        <v>55059.85075876856</v>
      </c>
      <c r="F166" s="525">
        <f>IF(D166=1,SUM($E$138:E166),0)</f>
        <v>1211316.7166929089</v>
      </c>
      <c r="G166" s="535">
        <v>95937</v>
      </c>
      <c r="H166" s="525">
        <f>IF(D166=1,SUM($G$138:G166),0)</f>
        <v>1323873</v>
      </c>
      <c r="I166" s="235">
        <f t="shared" si="42"/>
        <v>-112556.2833070911</v>
      </c>
      <c r="K166" s="232">
        <f t="shared" si="36"/>
        <v>45806</v>
      </c>
      <c r="L166" s="233">
        <f t="shared" si="37"/>
        <v>45806</v>
      </c>
      <c r="M166" s="234">
        <f t="shared" si="38"/>
        <v>1</v>
      </c>
      <c r="N166" s="525">
        <f>IF(M166=1,'適正原価率表(仕入れお小遣い制度)'!$J$13,0)</f>
        <v>11925.011774856044</v>
      </c>
      <c r="O166" s="525">
        <f>IF(M166=1,SUM($N$138:N166),0)</f>
        <v>262350.25904683297</v>
      </c>
      <c r="P166" s="535">
        <v>3580</v>
      </c>
      <c r="Q166" s="525">
        <f>IF(M166=1,SUM($P$138:P166),0)</f>
        <v>465043</v>
      </c>
      <c r="R166" s="235">
        <f t="shared" si="39"/>
        <v>-202692.74095316703</v>
      </c>
      <c r="T166" s="526">
        <f t="shared" si="43"/>
        <v>45806</v>
      </c>
    </row>
    <row r="167" spans="2:20" outlineLevel="1">
      <c r="B167" s="232">
        <f t="shared" si="41"/>
        <v>45807</v>
      </c>
      <c r="C167" s="233">
        <f>B167</f>
        <v>45807</v>
      </c>
      <c r="D167" s="234">
        <f>目標_2025R7!D170</f>
        <v>1</v>
      </c>
      <c r="E167" s="525">
        <f>IF(D167=1,'適正原価率表(仕入れお小遣い制度)'!$J$12,0)</f>
        <v>55059.85075876856</v>
      </c>
      <c r="F167" s="525">
        <f>IF(D167=1,SUM($E$138:E167),0)</f>
        <v>1266376.5674516775</v>
      </c>
      <c r="G167" s="535">
        <v>52496</v>
      </c>
      <c r="H167" s="525">
        <f>IF(D167=1,SUM($G$138:G167),0)</f>
        <v>1376369</v>
      </c>
      <c r="I167" s="235">
        <f t="shared" si="42"/>
        <v>-109992.43254832248</v>
      </c>
      <c r="K167" s="232">
        <f t="shared" si="36"/>
        <v>45807</v>
      </c>
      <c r="L167" s="233">
        <f t="shared" si="37"/>
        <v>45807</v>
      </c>
      <c r="M167" s="234">
        <f t="shared" si="38"/>
        <v>1</v>
      </c>
      <c r="N167" s="525">
        <f>IF(M167=1,'適正原価率表(仕入れお小遣い制度)'!$J$13,0)</f>
        <v>11925.011774856044</v>
      </c>
      <c r="O167" s="525">
        <f>IF(M167=1,SUM($N$138:N167),0)</f>
        <v>274275.27082168905</v>
      </c>
      <c r="P167" s="535">
        <v>8025</v>
      </c>
      <c r="Q167" s="525">
        <f>IF(M167=1,SUM($P$138:P167),0)</f>
        <v>473068</v>
      </c>
      <c r="R167" s="235">
        <f t="shared" si="39"/>
        <v>-198792.72917831095</v>
      </c>
      <c r="T167" s="526">
        <f t="shared" si="43"/>
        <v>45807</v>
      </c>
    </row>
    <row r="168" spans="2:20" outlineLevel="1">
      <c r="B168" s="232">
        <f t="shared" si="41"/>
        <v>45808</v>
      </c>
      <c r="C168" s="233">
        <f>B168</f>
        <v>45808</v>
      </c>
      <c r="D168" s="234">
        <f>目標_2025R7!D171</f>
        <v>1</v>
      </c>
      <c r="E168" s="525">
        <f>IF(D168=1,'適正原価率表(仕入れお小遣い制度)'!$J$12,0)</f>
        <v>55059.85075876856</v>
      </c>
      <c r="F168" s="525">
        <f>IF(D168=1,SUM($E$138:E168),0)</f>
        <v>1321436.4182104461</v>
      </c>
      <c r="G168" s="535">
        <v>7187</v>
      </c>
      <c r="H168" s="525">
        <f>IF(D168=1,SUM($G$138:G168),0)</f>
        <v>1383556</v>
      </c>
      <c r="I168" s="235">
        <f t="shared" si="42"/>
        <v>-62119.581789553864</v>
      </c>
      <c r="K168" s="232">
        <f t="shared" si="36"/>
        <v>45808</v>
      </c>
      <c r="L168" s="233">
        <f t="shared" si="37"/>
        <v>45808</v>
      </c>
      <c r="M168" s="234">
        <f t="shared" si="38"/>
        <v>1</v>
      </c>
      <c r="N168" s="525">
        <f>IF(M168=1,'適正原価率表(仕入れお小遣い制度)'!$J$13,0)</f>
        <v>11925.011774856044</v>
      </c>
      <c r="O168" s="525">
        <f>IF(M168=1,SUM($N$138:N168),0)</f>
        <v>286200.28259654506</v>
      </c>
      <c r="P168" s="535">
        <v>0</v>
      </c>
      <c r="Q168" s="525">
        <f>IF(M168=1,SUM($P$138:P168),0)</f>
        <v>473068</v>
      </c>
      <c r="R168" s="235">
        <f t="shared" si="39"/>
        <v>-186867.71740345494</v>
      </c>
      <c r="T168" s="526">
        <f t="shared" si="43"/>
        <v>45808</v>
      </c>
    </row>
    <row r="169" spans="2:20" outlineLevel="1">
      <c r="B169" s="859" t="s">
        <v>138</v>
      </c>
      <c r="C169" s="859"/>
      <c r="D169" s="859"/>
      <c r="E169" s="529">
        <f>SUM(E138:E168)</f>
        <v>1321436.4182104461</v>
      </c>
      <c r="K169" s="859" t="s">
        <v>138</v>
      </c>
      <c r="L169" s="859"/>
      <c r="M169" s="859"/>
      <c r="N169" s="529">
        <f>SUM(N138:N168)</f>
        <v>286200.28259654506</v>
      </c>
    </row>
    <row r="170" spans="2:20" ht="19.25" customHeight="1">
      <c r="G170" s="219">
        <v>0</v>
      </c>
      <c r="P170" s="219">
        <v>0</v>
      </c>
    </row>
    <row r="171" spans="2:20" s="231" customFormat="1">
      <c r="B171" s="863" t="s">
        <v>251</v>
      </c>
      <c r="C171" s="864"/>
      <c r="D171" s="865"/>
      <c r="E171" s="228" t="s">
        <v>129</v>
      </c>
      <c r="F171" s="229" t="s">
        <v>130</v>
      </c>
      <c r="G171" s="229">
        <v>118852</v>
      </c>
      <c r="H171" s="229" t="s">
        <v>132</v>
      </c>
      <c r="I171" s="229" t="s">
        <v>133</v>
      </c>
      <c r="J171" s="230"/>
      <c r="K171" s="866" t="str">
        <f>B171</f>
        <v>6月</v>
      </c>
      <c r="L171" s="866"/>
      <c r="M171" s="866"/>
      <c r="N171" s="228" t="s">
        <v>134</v>
      </c>
      <c r="O171" s="229" t="s">
        <v>135</v>
      </c>
      <c r="P171" s="229">
        <v>31468</v>
      </c>
      <c r="Q171" s="229" t="s">
        <v>137</v>
      </c>
      <c r="R171" s="229" t="s">
        <v>133</v>
      </c>
    </row>
    <row r="172" spans="2:20" ht="19.25" customHeight="1" outlineLevel="1">
      <c r="B172" s="520">
        <f>B168+1</f>
        <v>45809</v>
      </c>
      <c r="C172" s="233">
        <f>B172</f>
        <v>45809</v>
      </c>
      <c r="D172" s="234">
        <f>目標_2025R7!D172</f>
        <v>0</v>
      </c>
      <c r="E172" s="525">
        <f>IF(D172=1,'適正原価率表(仕入れお小遣い制度)'!$J$14,0)</f>
        <v>0</v>
      </c>
      <c r="F172" s="525">
        <f>IF(D172=1,E172,0)</f>
        <v>0</v>
      </c>
      <c r="G172" s="535">
        <v>67255</v>
      </c>
      <c r="H172" s="525">
        <f>IF(D172=1,G172,0)</f>
        <v>0</v>
      </c>
      <c r="I172" s="235">
        <f>IF(D172=1,F172-H172,0)</f>
        <v>0</v>
      </c>
      <c r="J172" s="227"/>
      <c r="K172" s="520">
        <f>B172</f>
        <v>45809</v>
      </c>
      <c r="L172" s="521">
        <f>C172</f>
        <v>45809</v>
      </c>
      <c r="M172" s="524">
        <f t="shared" ref="M172:M201" si="44">D172</f>
        <v>0</v>
      </c>
      <c r="N172" s="525">
        <f>IF(M172=1,'適正原価率表(仕入れお小遣い制度)'!$J$15,0)</f>
        <v>0</v>
      </c>
      <c r="O172" s="525">
        <f>IF(M172=1,N172,0)</f>
        <v>0</v>
      </c>
      <c r="P172" s="535">
        <v>15901</v>
      </c>
      <c r="Q172" s="525">
        <f>IF(M172=1,P172,0)</f>
        <v>0</v>
      </c>
      <c r="R172" s="235">
        <f t="shared" ref="R172:R201" si="45">IF(D172=1,O172-Q172,0)</f>
        <v>0</v>
      </c>
      <c r="T172" s="526">
        <f>T168+1</f>
        <v>45809</v>
      </c>
    </row>
    <row r="173" spans="2:20" ht="19.25" customHeight="1" outlineLevel="1">
      <c r="B173" s="520">
        <f>B172+1</f>
        <v>45810</v>
      </c>
      <c r="C173" s="233">
        <f t="shared" ref="C173:C201" si="46">B173</f>
        <v>45810</v>
      </c>
      <c r="D173" s="234">
        <f>目標_2025R7!D173</f>
        <v>1</v>
      </c>
      <c r="E173" s="525">
        <f>IF(D173=1,'適正原価率表(仕入れお小遣い制度)'!$J$14,0)</f>
        <v>55154.258245245815</v>
      </c>
      <c r="F173" s="525">
        <f>IF(D173=1,SUM($E$172:E173),0)</f>
        <v>55154.258245245815</v>
      </c>
      <c r="G173" s="535">
        <v>13525</v>
      </c>
      <c r="H173" s="525">
        <f>IF(D173=1,SUM($G$172:G173),0)</f>
        <v>80780</v>
      </c>
      <c r="I173" s="235">
        <f>IF(D173=1,F173-H173,0)</f>
        <v>-25625.741754754185</v>
      </c>
      <c r="J173" s="227"/>
      <c r="K173" s="520">
        <f t="shared" ref="K173:K193" si="47">B173</f>
        <v>45810</v>
      </c>
      <c r="L173" s="521">
        <f t="shared" ref="L173:L193" si="48">C173</f>
        <v>45810</v>
      </c>
      <c r="M173" s="524">
        <f t="shared" si="44"/>
        <v>1</v>
      </c>
      <c r="N173" s="525">
        <f>IF(M173=1,'適正原価率表(仕入れお小遣い制度)'!$J$15,0)</f>
        <v>11862.07345053788</v>
      </c>
      <c r="O173" s="525">
        <f>IF(M173=1,SUM($N$172:N173),0)</f>
        <v>11862.07345053788</v>
      </c>
      <c r="P173" s="535">
        <v>18721</v>
      </c>
      <c r="Q173" s="525">
        <f>IF(M173=1,SUM($P$172:P173),0)</f>
        <v>34622</v>
      </c>
      <c r="R173" s="235">
        <f t="shared" si="45"/>
        <v>-22759.926549462121</v>
      </c>
      <c r="T173" s="526">
        <f>T172+1</f>
        <v>45810</v>
      </c>
    </row>
    <row r="174" spans="2:20" ht="19.25" customHeight="1" outlineLevel="1">
      <c r="B174" s="520">
        <f t="shared" ref="B174:B201" si="49">B173+1</f>
        <v>45811</v>
      </c>
      <c r="C174" s="233">
        <f t="shared" si="46"/>
        <v>45811</v>
      </c>
      <c r="D174" s="234">
        <f>目標_2025R7!D174</f>
        <v>1</v>
      </c>
      <c r="E174" s="525">
        <f>IF(D174=1,'適正原価率表(仕入れお小遣い制度)'!$J$14,0)</f>
        <v>55154.258245245815</v>
      </c>
      <c r="F174" s="525">
        <f>IF(D174=1,SUM($E$172:E174),0)</f>
        <v>110308.51649049163</v>
      </c>
      <c r="G174" s="535">
        <v>60679</v>
      </c>
      <c r="H174" s="525">
        <f>IF(D174=1,SUM($G$172:G174),0)</f>
        <v>141459</v>
      </c>
      <c r="I174" s="235">
        <f t="shared" ref="I174:I201" si="50">IF(D174=1,F174-H174,0)</f>
        <v>-31150.483509508369</v>
      </c>
      <c r="J174" s="227"/>
      <c r="K174" s="520">
        <f t="shared" si="47"/>
        <v>45811</v>
      </c>
      <c r="L174" s="521">
        <f t="shared" si="48"/>
        <v>45811</v>
      </c>
      <c r="M174" s="524">
        <f t="shared" si="44"/>
        <v>1</v>
      </c>
      <c r="N174" s="525">
        <f>IF(M174=1,'適正原価率表(仕入れお小遣い制度)'!$J$15,0)</f>
        <v>11862.07345053788</v>
      </c>
      <c r="O174" s="525">
        <f>IF(M174=1,SUM($N$172:N174),0)</f>
        <v>23724.146901075761</v>
      </c>
      <c r="P174" s="535">
        <v>20963</v>
      </c>
      <c r="Q174" s="525">
        <f>IF(M174=1,SUM($P$172:P174),0)</f>
        <v>55585</v>
      </c>
      <c r="R174" s="235">
        <f t="shared" si="45"/>
        <v>-31860.853098924239</v>
      </c>
      <c r="T174" s="526">
        <f t="shared" ref="T174:T201" si="51">T173+1</f>
        <v>45811</v>
      </c>
    </row>
    <row r="175" spans="2:20" ht="19.25" customHeight="1" outlineLevel="1">
      <c r="B175" s="520">
        <f t="shared" si="49"/>
        <v>45812</v>
      </c>
      <c r="C175" s="233">
        <f t="shared" si="46"/>
        <v>45812</v>
      </c>
      <c r="D175" s="234">
        <f>目標_2025R7!D175</f>
        <v>1</v>
      </c>
      <c r="E175" s="525">
        <f>IF(D175=1,'適正原価率表(仕入れお小遣い制度)'!$J$14,0)</f>
        <v>55154.258245245815</v>
      </c>
      <c r="F175" s="525">
        <f>IF(D175=1,SUM($E$172:E175),0)</f>
        <v>165462.77473573745</v>
      </c>
      <c r="G175" s="535">
        <v>82074</v>
      </c>
      <c r="H175" s="525">
        <f>IF(D175=1,SUM($G$172:G175),0)</f>
        <v>223533</v>
      </c>
      <c r="I175" s="235">
        <f t="shared" si="50"/>
        <v>-58070.225264262554</v>
      </c>
      <c r="J175" s="227"/>
      <c r="K175" s="520">
        <f t="shared" si="47"/>
        <v>45812</v>
      </c>
      <c r="L175" s="521">
        <f t="shared" si="48"/>
        <v>45812</v>
      </c>
      <c r="M175" s="524">
        <f t="shared" si="44"/>
        <v>1</v>
      </c>
      <c r="N175" s="525">
        <f>IF(M175=1,'適正原価率表(仕入れお小遣い制度)'!$J$15,0)</f>
        <v>11862.07345053788</v>
      </c>
      <c r="O175" s="525">
        <f>IF(M175=1,SUM($N$172:N175),0)</f>
        <v>35586.220351613643</v>
      </c>
      <c r="P175" s="535">
        <v>33753</v>
      </c>
      <c r="Q175" s="525">
        <f>IF(M175=1,SUM($P$172:P175),0)</f>
        <v>89338</v>
      </c>
      <c r="R175" s="235">
        <f t="shared" si="45"/>
        <v>-53751.779648386357</v>
      </c>
      <c r="T175" s="526">
        <f t="shared" si="51"/>
        <v>45812</v>
      </c>
    </row>
    <row r="176" spans="2:20" ht="19.25" customHeight="1" outlineLevel="1">
      <c r="B176" s="520">
        <f t="shared" si="49"/>
        <v>45813</v>
      </c>
      <c r="C176" s="233">
        <f t="shared" si="46"/>
        <v>45813</v>
      </c>
      <c r="D176" s="234">
        <f>目標_2025R7!D176</f>
        <v>1</v>
      </c>
      <c r="E176" s="525">
        <f>IF(D176=1,'適正原価率表(仕入れお小遣い制度)'!$J$14,0)</f>
        <v>55154.258245245815</v>
      </c>
      <c r="F176" s="525">
        <f>IF(D176=1,SUM($E$172:E176),0)</f>
        <v>220617.03298098326</v>
      </c>
      <c r="G176" s="535">
        <v>34186</v>
      </c>
      <c r="H176" s="525">
        <f>IF(D176=1,SUM($G$172:G176),0)</f>
        <v>257719</v>
      </c>
      <c r="I176" s="235">
        <f t="shared" si="50"/>
        <v>-37101.967019016738</v>
      </c>
      <c r="J176" s="227"/>
      <c r="K176" s="520">
        <f t="shared" si="47"/>
        <v>45813</v>
      </c>
      <c r="L176" s="521">
        <f t="shared" si="48"/>
        <v>45813</v>
      </c>
      <c r="M176" s="524">
        <f t="shared" si="44"/>
        <v>1</v>
      </c>
      <c r="N176" s="525">
        <f>IF(M176=1,'適正原価率表(仕入れお小遣い制度)'!$J$15,0)</f>
        <v>11862.07345053788</v>
      </c>
      <c r="O176" s="525">
        <f>IF(M176=1,SUM($N$172:N176),0)</f>
        <v>47448.293802151522</v>
      </c>
      <c r="P176" s="535">
        <v>0</v>
      </c>
      <c r="Q176" s="525">
        <f>IF(M176=1,SUM($P$172:P176),0)</f>
        <v>89338</v>
      </c>
      <c r="R176" s="235">
        <f t="shared" si="45"/>
        <v>-41889.706197848478</v>
      </c>
      <c r="T176" s="526">
        <f t="shared" si="51"/>
        <v>45813</v>
      </c>
    </row>
    <row r="177" spans="2:20" ht="19.25" customHeight="1" outlineLevel="1">
      <c r="B177" s="520">
        <f t="shared" si="49"/>
        <v>45814</v>
      </c>
      <c r="C177" s="233">
        <f t="shared" si="46"/>
        <v>45814</v>
      </c>
      <c r="D177" s="234">
        <f>目標_2025R7!D177</f>
        <v>1</v>
      </c>
      <c r="E177" s="525">
        <f>IF(D177=1,'適正原価率表(仕入れお小遣い制度)'!$J$14,0)</f>
        <v>55154.258245245815</v>
      </c>
      <c r="F177" s="525">
        <f>IF(D177=1,SUM($E$172:E177),0)</f>
        <v>275771.29122622905</v>
      </c>
      <c r="G177" s="535">
        <v>0</v>
      </c>
      <c r="H177" s="525">
        <f>IF(D177=1,SUM($G$172:G177),0)</f>
        <v>257719</v>
      </c>
      <c r="I177" s="235">
        <f t="shared" si="50"/>
        <v>18052.291226229048</v>
      </c>
      <c r="J177" s="227"/>
      <c r="K177" s="520">
        <f t="shared" si="47"/>
        <v>45814</v>
      </c>
      <c r="L177" s="521">
        <f t="shared" si="48"/>
        <v>45814</v>
      </c>
      <c r="M177" s="524">
        <f t="shared" si="44"/>
        <v>1</v>
      </c>
      <c r="N177" s="525">
        <f>IF(M177=1,'適正原価率表(仕入れお小遣い制度)'!$J$15,0)</f>
        <v>11862.07345053788</v>
      </c>
      <c r="O177" s="525">
        <f>IF(M177=1,SUM($N$172:N177),0)</f>
        <v>59310.367252689401</v>
      </c>
      <c r="P177" s="535">
        <v>0</v>
      </c>
      <c r="Q177" s="525">
        <f>IF(M177=1,SUM($P$172:P177),0)</f>
        <v>89338</v>
      </c>
      <c r="R177" s="235">
        <f t="shared" si="45"/>
        <v>-30027.632747310599</v>
      </c>
      <c r="T177" s="526">
        <f t="shared" si="51"/>
        <v>45814</v>
      </c>
    </row>
    <row r="178" spans="2:20" ht="19.25" customHeight="1" outlineLevel="1">
      <c r="B178" s="520">
        <f t="shared" si="49"/>
        <v>45815</v>
      </c>
      <c r="C178" s="233">
        <f t="shared" si="46"/>
        <v>45815</v>
      </c>
      <c r="D178" s="234">
        <f>目標_2025R7!D178</f>
        <v>1</v>
      </c>
      <c r="E178" s="525">
        <f>IF(D178=1,'適正原価率表(仕入れお小遣い制度)'!$J$14,0)</f>
        <v>55154.258245245815</v>
      </c>
      <c r="F178" s="525">
        <f>IF(D178=1,SUM($E$172:E178),0)</f>
        <v>330925.54947147483</v>
      </c>
      <c r="G178" s="535">
        <v>103302</v>
      </c>
      <c r="H178" s="525">
        <f>IF(D178=1,SUM($G$172:G178),0)</f>
        <v>361021</v>
      </c>
      <c r="I178" s="235">
        <f t="shared" si="50"/>
        <v>-30095.450528525165</v>
      </c>
      <c r="J178" s="227"/>
      <c r="K178" s="520">
        <f t="shared" si="47"/>
        <v>45815</v>
      </c>
      <c r="L178" s="521">
        <f t="shared" si="48"/>
        <v>45815</v>
      </c>
      <c r="M178" s="524">
        <f t="shared" si="44"/>
        <v>1</v>
      </c>
      <c r="N178" s="525">
        <f>IF(M178=1,'適正原価率表(仕入れお小遣い制度)'!$J$15,0)</f>
        <v>11862.07345053788</v>
      </c>
      <c r="O178" s="525">
        <f>IF(M178=1,SUM($N$172:N178),0)</f>
        <v>71172.440703227287</v>
      </c>
      <c r="P178" s="535">
        <v>2253</v>
      </c>
      <c r="Q178" s="525">
        <f>IF(M178=1,SUM($P$172:P178),0)</f>
        <v>91591</v>
      </c>
      <c r="R178" s="235">
        <f t="shared" si="45"/>
        <v>-20418.559296772713</v>
      </c>
      <c r="T178" s="526">
        <f t="shared" si="51"/>
        <v>45815</v>
      </c>
    </row>
    <row r="179" spans="2:20" ht="19.25" customHeight="1" outlineLevel="1">
      <c r="B179" s="520">
        <f t="shared" si="49"/>
        <v>45816</v>
      </c>
      <c r="C179" s="233">
        <f t="shared" si="46"/>
        <v>45816</v>
      </c>
      <c r="D179" s="234">
        <f>目標_2025R7!D179</f>
        <v>0</v>
      </c>
      <c r="E179" s="525">
        <f>IF(D179=1,'適正原価率表(仕入れお小遣い制度)'!$J$14,0)</f>
        <v>0</v>
      </c>
      <c r="F179" s="525">
        <f>IF(D179=1,SUM($E$172:E179),0)</f>
        <v>0</v>
      </c>
      <c r="G179" s="535">
        <v>58583</v>
      </c>
      <c r="H179" s="525">
        <f>IF(D179=1,SUM($G$172:G179),0)</f>
        <v>0</v>
      </c>
      <c r="I179" s="235">
        <f t="shared" si="50"/>
        <v>0</v>
      </c>
      <c r="J179" s="227"/>
      <c r="K179" s="520">
        <f t="shared" si="47"/>
        <v>45816</v>
      </c>
      <c r="L179" s="521">
        <f t="shared" si="48"/>
        <v>45816</v>
      </c>
      <c r="M179" s="524">
        <f t="shared" si="44"/>
        <v>0</v>
      </c>
      <c r="N179" s="525">
        <f>IF(M179=1,'適正原価率表(仕入れお小遣い制度)'!$J$15,0)</f>
        <v>0</v>
      </c>
      <c r="O179" s="525">
        <f>IF(M179=1,SUM($N$172:N179),0)</f>
        <v>0</v>
      </c>
      <c r="P179" s="535">
        <v>28387</v>
      </c>
      <c r="Q179" s="525">
        <f>IF(M179=1,SUM($P$172:P179),0)</f>
        <v>0</v>
      </c>
      <c r="R179" s="235">
        <f t="shared" si="45"/>
        <v>0</v>
      </c>
      <c r="T179" s="526">
        <f t="shared" si="51"/>
        <v>45816</v>
      </c>
    </row>
    <row r="180" spans="2:20" ht="19.25" customHeight="1" outlineLevel="1">
      <c r="B180" s="520">
        <f t="shared" si="49"/>
        <v>45817</v>
      </c>
      <c r="C180" s="233">
        <f t="shared" si="46"/>
        <v>45817</v>
      </c>
      <c r="D180" s="234">
        <f>目標_2025R7!D180</f>
        <v>1</v>
      </c>
      <c r="E180" s="525">
        <f>IF(D180=1,'適正原価率表(仕入れお小遣い制度)'!$J$14,0)</f>
        <v>55154.258245245815</v>
      </c>
      <c r="F180" s="525">
        <f>IF(D180=1,SUM($E$172:E180),0)</f>
        <v>386079.80771672062</v>
      </c>
      <c r="G180" s="535">
        <v>12703</v>
      </c>
      <c r="H180" s="525">
        <f>IF(D180=1,SUM($G$172:G180),0)</f>
        <v>432307</v>
      </c>
      <c r="I180" s="235">
        <f t="shared" si="50"/>
        <v>-46227.192283279379</v>
      </c>
      <c r="J180" s="227"/>
      <c r="K180" s="520">
        <f t="shared" si="47"/>
        <v>45817</v>
      </c>
      <c r="L180" s="521">
        <f t="shared" si="48"/>
        <v>45817</v>
      </c>
      <c r="M180" s="524">
        <f t="shared" si="44"/>
        <v>1</v>
      </c>
      <c r="N180" s="525">
        <f>IF(M180=1,'適正原価率表(仕入れお小遣い制度)'!$J$15,0)</f>
        <v>11862.07345053788</v>
      </c>
      <c r="O180" s="525">
        <f>IF(M180=1,SUM($N$172:N180),0)</f>
        <v>83034.514153765165</v>
      </c>
      <c r="P180" s="535">
        <v>0</v>
      </c>
      <c r="Q180" s="525">
        <f>IF(M180=1,SUM($P$172:P180),0)</f>
        <v>119978</v>
      </c>
      <c r="R180" s="235">
        <f t="shared" si="45"/>
        <v>-36943.485846234835</v>
      </c>
      <c r="T180" s="526">
        <f t="shared" si="51"/>
        <v>45817</v>
      </c>
    </row>
    <row r="181" spans="2:20" ht="19.25" customHeight="1" outlineLevel="1">
      <c r="B181" s="520">
        <f t="shared" si="49"/>
        <v>45818</v>
      </c>
      <c r="C181" s="233">
        <f t="shared" si="46"/>
        <v>45818</v>
      </c>
      <c r="D181" s="234">
        <f>目標_2025R7!D181</f>
        <v>1</v>
      </c>
      <c r="E181" s="525">
        <f>IF(D181=1,'適正原価率表(仕入れお小遣い制度)'!$J$14,0)</f>
        <v>55154.258245245815</v>
      </c>
      <c r="F181" s="525">
        <f>IF(D181=1,SUM($E$172:E181),0)</f>
        <v>441234.06596196641</v>
      </c>
      <c r="G181" s="535">
        <v>66292</v>
      </c>
      <c r="H181" s="525">
        <f>IF(D181=1,SUM($G$172:G181),0)</f>
        <v>498599</v>
      </c>
      <c r="I181" s="235">
        <f t="shared" si="50"/>
        <v>-57364.934038033593</v>
      </c>
      <c r="J181" s="227"/>
      <c r="K181" s="520">
        <f t="shared" si="47"/>
        <v>45818</v>
      </c>
      <c r="L181" s="521">
        <f t="shared" si="48"/>
        <v>45818</v>
      </c>
      <c r="M181" s="524">
        <f t="shared" si="44"/>
        <v>1</v>
      </c>
      <c r="N181" s="525">
        <f>IF(M181=1,'適正原価率表(仕入れお小遣い制度)'!$J$15,0)</f>
        <v>11862.07345053788</v>
      </c>
      <c r="O181" s="525">
        <f>IF(M181=1,SUM($N$172:N181),0)</f>
        <v>94896.587604303044</v>
      </c>
      <c r="P181" s="535">
        <v>5345</v>
      </c>
      <c r="Q181" s="525">
        <f>IF(M181=1,SUM($P$172:P181),0)</f>
        <v>125323</v>
      </c>
      <c r="R181" s="235">
        <f t="shared" si="45"/>
        <v>-30426.412395696956</v>
      </c>
      <c r="T181" s="526">
        <f t="shared" si="51"/>
        <v>45818</v>
      </c>
    </row>
    <row r="182" spans="2:20" ht="19.25" customHeight="1" outlineLevel="1">
      <c r="B182" s="520">
        <f t="shared" si="49"/>
        <v>45819</v>
      </c>
      <c r="C182" s="233">
        <f t="shared" si="46"/>
        <v>45819</v>
      </c>
      <c r="D182" s="234">
        <f>目標_2025R7!D182</f>
        <v>1</v>
      </c>
      <c r="E182" s="525">
        <f>IF(D182=1,'適正原価率表(仕入れお小遣い制度)'!$J$14,0)</f>
        <v>55154.258245245815</v>
      </c>
      <c r="F182" s="525">
        <f>IF(D182=1,SUM($E$172:E182),0)</f>
        <v>496388.32420721219</v>
      </c>
      <c r="G182" s="535">
        <v>40345</v>
      </c>
      <c r="H182" s="525">
        <f>IF(D182=1,SUM($G$172:G182),0)</f>
        <v>538944</v>
      </c>
      <c r="I182" s="235">
        <f t="shared" si="50"/>
        <v>-42555.675792787806</v>
      </c>
      <c r="J182" s="227"/>
      <c r="K182" s="520">
        <f t="shared" si="47"/>
        <v>45819</v>
      </c>
      <c r="L182" s="521">
        <f t="shared" si="48"/>
        <v>45819</v>
      </c>
      <c r="M182" s="524">
        <f t="shared" si="44"/>
        <v>1</v>
      </c>
      <c r="N182" s="525">
        <f>IF(M182=1,'適正原価率表(仕入れお小遣い制度)'!$J$15,0)</f>
        <v>11862.07345053788</v>
      </c>
      <c r="O182" s="525">
        <f>IF(M182=1,SUM($N$172:N182),0)</f>
        <v>106758.66105484092</v>
      </c>
      <c r="P182" s="535">
        <v>16469</v>
      </c>
      <c r="Q182" s="525">
        <f>IF(M182=1,SUM($P$172:P182),0)</f>
        <v>141792</v>
      </c>
      <c r="R182" s="235">
        <f t="shared" si="45"/>
        <v>-35033.338945159077</v>
      </c>
      <c r="T182" s="526">
        <f t="shared" si="51"/>
        <v>45819</v>
      </c>
    </row>
    <row r="183" spans="2:20" ht="19.25" customHeight="1" outlineLevel="1">
      <c r="B183" s="520">
        <f t="shared" si="49"/>
        <v>45820</v>
      </c>
      <c r="C183" s="233">
        <f t="shared" si="46"/>
        <v>45820</v>
      </c>
      <c r="D183" s="234">
        <f>目標_2025R7!D183</f>
        <v>1</v>
      </c>
      <c r="E183" s="525">
        <f>IF(D183=1,'適正原価率表(仕入れお小遣い制度)'!$J$14,0)</f>
        <v>55154.258245245815</v>
      </c>
      <c r="F183" s="525">
        <f>IF(D183=1,SUM($E$172:E183),0)</f>
        <v>551542.58245245798</v>
      </c>
      <c r="G183" s="535">
        <v>8344</v>
      </c>
      <c r="H183" s="525">
        <f>IF(D183=1,SUM($G$172:G183),0)</f>
        <v>547288</v>
      </c>
      <c r="I183" s="235">
        <f t="shared" si="50"/>
        <v>4254.5824524579803</v>
      </c>
      <c r="J183" s="227"/>
      <c r="K183" s="520">
        <f t="shared" si="47"/>
        <v>45820</v>
      </c>
      <c r="L183" s="521">
        <f t="shared" si="48"/>
        <v>45820</v>
      </c>
      <c r="M183" s="524">
        <f t="shared" si="44"/>
        <v>1</v>
      </c>
      <c r="N183" s="525">
        <f>IF(M183=1,'適正原価率表(仕入れお小遣い制度)'!$J$15,0)</f>
        <v>11862.07345053788</v>
      </c>
      <c r="O183" s="525">
        <f>IF(M183=1,SUM($N$172:N183),0)</f>
        <v>118620.7345053788</v>
      </c>
      <c r="P183" s="535">
        <v>384</v>
      </c>
      <c r="Q183" s="525">
        <f>IF(M183=1,SUM($P$172:P183),0)</f>
        <v>142176</v>
      </c>
      <c r="R183" s="235">
        <f t="shared" si="45"/>
        <v>-23555.265494621199</v>
      </c>
      <c r="T183" s="526">
        <f t="shared" si="51"/>
        <v>45820</v>
      </c>
    </row>
    <row r="184" spans="2:20" ht="19.25" customHeight="1" outlineLevel="1">
      <c r="B184" s="520">
        <f t="shared" si="49"/>
        <v>45821</v>
      </c>
      <c r="C184" s="233">
        <f t="shared" si="46"/>
        <v>45821</v>
      </c>
      <c r="D184" s="234">
        <f>目標_2025R7!D184</f>
        <v>1</v>
      </c>
      <c r="E184" s="525">
        <f>IF(D184=1,'適正原価率表(仕入れお小遣い制度)'!$J$14,0)</f>
        <v>55154.258245245815</v>
      </c>
      <c r="F184" s="525">
        <f>IF(D184=1,SUM($E$172:E184),0)</f>
        <v>606696.84069770377</v>
      </c>
      <c r="G184" s="535">
        <v>0</v>
      </c>
      <c r="H184" s="525">
        <f>IF(D184=1,SUM($G$172:G184),0)</f>
        <v>547288</v>
      </c>
      <c r="I184" s="235">
        <f t="shared" si="50"/>
        <v>59408.840697703767</v>
      </c>
      <c r="J184" s="227"/>
      <c r="K184" s="520">
        <f t="shared" si="47"/>
        <v>45821</v>
      </c>
      <c r="L184" s="521">
        <f t="shared" si="48"/>
        <v>45821</v>
      </c>
      <c r="M184" s="524">
        <f t="shared" si="44"/>
        <v>1</v>
      </c>
      <c r="N184" s="525">
        <f>IF(M184=1,'適正原価率表(仕入れお小遣い制度)'!$J$15,0)</f>
        <v>11862.07345053788</v>
      </c>
      <c r="O184" s="525">
        <f>IF(M184=1,SUM($N$172:N184),0)</f>
        <v>130482.80795591668</v>
      </c>
      <c r="P184" s="535">
        <v>0</v>
      </c>
      <c r="Q184" s="525">
        <f>IF(M184=1,SUM($P$172:P184),0)</f>
        <v>142176</v>
      </c>
      <c r="R184" s="235">
        <f t="shared" si="45"/>
        <v>-11693.19204408332</v>
      </c>
      <c r="T184" s="526">
        <f t="shared" si="51"/>
        <v>45821</v>
      </c>
    </row>
    <row r="185" spans="2:20" ht="19.25" customHeight="1" outlineLevel="1">
      <c r="B185" s="520">
        <f t="shared" si="49"/>
        <v>45822</v>
      </c>
      <c r="C185" s="233">
        <f t="shared" si="46"/>
        <v>45822</v>
      </c>
      <c r="D185" s="234">
        <f>目標_2025R7!D185</f>
        <v>1</v>
      </c>
      <c r="E185" s="525">
        <f>IF(D185=1,'適正原価率表(仕入れお小遣い制度)'!$J$14,0)</f>
        <v>55154.258245245815</v>
      </c>
      <c r="F185" s="525">
        <f>IF(D185=1,SUM($E$172:E185),0)</f>
        <v>661851.09894294955</v>
      </c>
      <c r="G185" s="535">
        <v>53268</v>
      </c>
      <c r="H185" s="525">
        <f>IF(D185=1,SUM($G$172:G185),0)</f>
        <v>600556</v>
      </c>
      <c r="I185" s="235">
        <f t="shared" si="50"/>
        <v>61295.098942949553</v>
      </c>
      <c r="J185" s="227"/>
      <c r="K185" s="520">
        <f t="shared" si="47"/>
        <v>45822</v>
      </c>
      <c r="L185" s="521">
        <f t="shared" si="48"/>
        <v>45822</v>
      </c>
      <c r="M185" s="524">
        <f t="shared" si="44"/>
        <v>1</v>
      </c>
      <c r="N185" s="525">
        <f>IF(M185=1,'適正原価率表(仕入れお小遣い制度)'!$J$15,0)</f>
        <v>11862.07345053788</v>
      </c>
      <c r="O185" s="525">
        <f>IF(M185=1,SUM($N$172:N185),0)</f>
        <v>142344.88140645457</v>
      </c>
      <c r="P185" s="535">
        <v>42522</v>
      </c>
      <c r="Q185" s="525">
        <f>IF(M185=1,SUM($P$172:P185),0)</f>
        <v>184698</v>
      </c>
      <c r="R185" s="235">
        <f t="shared" si="45"/>
        <v>-42353.118593545427</v>
      </c>
      <c r="T185" s="526">
        <f t="shared" si="51"/>
        <v>45822</v>
      </c>
    </row>
    <row r="186" spans="2:20" ht="19.25" customHeight="1" outlineLevel="1">
      <c r="B186" s="520">
        <f t="shared" si="49"/>
        <v>45823</v>
      </c>
      <c r="C186" s="233">
        <f t="shared" si="46"/>
        <v>45823</v>
      </c>
      <c r="D186" s="234">
        <f>目標_2025R7!D186</f>
        <v>0</v>
      </c>
      <c r="E186" s="525">
        <f>IF(D186=1,'適正原価率表(仕入れお小遣い制度)'!$J$14,0)</f>
        <v>0</v>
      </c>
      <c r="F186" s="525">
        <f>IF(D186=1,SUM($E$172:E186),0)</f>
        <v>0</v>
      </c>
      <c r="G186" s="535">
        <v>83497</v>
      </c>
      <c r="H186" s="525">
        <f>IF(D186=1,SUM($G$172:G186),0)</f>
        <v>0</v>
      </c>
      <c r="I186" s="235">
        <f t="shared" si="50"/>
        <v>0</v>
      </c>
      <c r="J186" s="227"/>
      <c r="K186" s="520">
        <f t="shared" si="47"/>
        <v>45823</v>
      </c>
      <c r="L186" s="521">
        <f t="shared" si="48"/>
        <v>45823</v>
      </c>
      <c r="M186" s="524">
        <f t="shared" si="44"/>
        <v>0</v>
      </c>
      <c r="N186" s="525">
        <f>IF(M186=1,'適正原価率表(仕入れお小遣い制度)'!$J$15,0)</f>
        <v>0</v>
      </c>
      <c r="O186" s="525">
        <f>IF(M186=1,SUM($N$172:N186),0)</f>
        <v>0</v>
      </c>
      <c r="P186" s="535">
        <v>15705</v>
      </c>
      <c r="Q186" s="525">
        <f>IF(M186=1,SUM($P$172:P186),0)</f>
        <v>0</v>
      </c>
      <c r="R186" s="235">
        <f t="shared" si="45"/>
        <v>0</v>
      </c>
      <c r="T186" s="526">
        <f t="shared" si="51"/>
        <v>45823</v>
      </c>
    </row>
    <row r="187" spans="2:20" ht="19.25" customHeight="1" outlineLevel="1">
      <c r="B187" s="520">
        <f t="shared" si="49"/>
        <v>45824</v>
      </c>
      <c r="C187" s="233">
        <f t="shared" si="46"/>
        <v>45824</v>
      </c>
      <c r="D187" s="234">
        <f>目標_2025R7!D187</f>
        <v>1</v>
      </c>
      <c r="E187" s="525">
        <f>IF(D187=1,'適正原価率表(仕入れお小遣い制度)'!$J$14,0)</f>
        <v>55154.258245245815</v>
      </c>
      <c r="F187" s="525">
        <f>IF(D187=1,SUM($E$172:E187),0)</f>
        <v>717005.35718819534</v>
      </c>
      <c r="G187" s="535">
        <v>85380</v>
      </c>
      <c r="H187" s="525">
        <f>IF(D187=1,SUM($G$172:G187),0)</f>
        <v>769433</v>
      </c>
      <c r="I187" s="235">
        <f t="shared" si="50"/>
        <v>-52427.642811804661</v>
      </c>
      <c r="J187" s="227"/>
      <c r="K187" s="520">
        <f t="shared" si="47"/>
        <v>45824</v>
      </c>
      <c r="L187" s="521">
        <f t="shared" si="48"/>
        <v>45824</v>
      </c>
      <c r="M187" s="524">
        <f t="shared" si="44"/>
        <v>1</v>
      </c>
      <c r="N187" s="525">
        <f>IF(M187=1,'適正原価率表(仕入れお小遣い制度)'!$J$15,0)</f>
        <v>11862.07345053788</v>
      </c>
      <c r="O187" s="525">
        <f>IF(M187=1,SUM($N$172:N187),0)</f>
        <v>154206.95485699247</v>
      </c>
      <c r="P187" s="535">
        <v>2739</v>
      </c>
      <c r="Q187" s="525">
        <f>IF(M187=1,SUM($P$172:P187),0)</f>
        <v>203142</v>
      </c>
      <c r="R187" s="235">
        <f t="shared" si="45"/>
        <v>-48935.045143007534</v>
      </c>
      <c r="T187" s="526">
        <f t="shared" si="51"/>
        <v>45824</v>
      </c>
    </row>
    <row r="188" spans="2:20" ht="19.25" customHeight="1" outlineLevel="1">
      <c r="B188" s="520">
        <f t="shared" si="49"/>
        <v>45825</v>
      </c>
      <c r="C188" s="233">
        <f t="shared" si="46"/>
        <v>45825</v>
      </c>
      <c r="D188" s="234">
        <f>目標_2025R7!D188</f>
        <v>1</v>
      </c>
      <c r="E188" s="525">
        <f>IF(D188=1,'適正原価率表(仕入れお小遣い制度)'!$J$14,0)</f>
        <v>55154.258245245815</v>
      </c>
      <c r="F188" s="525">
        <f>IF(D188=1,SUM($E$172:E188),0)</f>
        <v>772159.61543344113</v>
      </c>
      <c r="G188" s="535">
        <v>113276</v>
      </c>
      <c r="H188" s="525">
        <f>IF(D188=1,SUM($G$172:G188),0)</f>
        <v>882709</v>
      </c>
      <c r="I188" s="235">
        <f t="shared" si="50"/>
        <v>-110549.38456655887</v>
      </c>
      <c r="J188" s="227"/>
      <c r="K188" s="520">
        <f t="shared" si="47"/>
        <v>45825</v>
      </c>
      <c r="L188" s="521">
        <f t="shared" si="48"/>
        <v>45825</v>
      </c>
      <c r="M188" s="524">
        <f t="shared" si="44"/>
        <v>1</v>
      </c>
      <c r="N188" s="525">
        <f>IF(M188=1,'適正原価率表(仕入れお小遣い制度)'!$J$15,0)</f>
        <v>11862.07345053788</v>
      </c>
      <c r="O188" s="525">
        <f>IF(M188=1,SUM($N$172:N188),0)</f>
        <v>166069.02830753036</v>
      </c>
      <c r="P188" s="535">
        <v>24079</v>
      </c>
      <c r="Q188" s="525">
        <f>IF(M188=1,SUM($P$172:P188),0)</f>
        <v>227221</v>
      </c>
      <c r="R188" s="235">
        <f t="shared" si="45"/>
        <v>-61151.97169246964</v>
      </c>
      <c r="T188" s="526">
        <f t="shared" si="51"/>
        <v>45825</v>
      </c>
    </row>
    <row r="189" spans="2:20" ht="19.25" customHeight="1" outlineLevel="1">
      <c r="B189" s="520">
        <f t="shared" si="49"/>
        <v>45826</v>
      </c>
      <c r="C189" s="233">
        <f t="shared" si="46"/>
        <v>45826</v>
      </c>
      <c r="D189" s="234">
        <f>目標_2025R7!D189</f>
        <v>1</v>
      </c>
      <c r="E189" s="525">
        <f>IF(D189=1,'適正原価率表(仕入れお小遣い制度)'!$J$14,0)</f>
        <v>55154.258245245815</v>
      </c>
      <c r="F189" s="525">
        <f>IF(D189=1,SUM($E$172:E189),0)</f>
        <v>827313.87367868691</v>
      </c>
      <c r="G189" s="535">
        <v>64309</v>
      </c>
      <c r="H189" s="525">
        <f>IF(D189=1,SUM($G$172:G189),0)</f>
        <v>947018</v>
      </c>
      <c r="I189" s="235">
        <f t="shared" si="50"/>
        <v>-119704.12632131309</v>
      </c>
      <c r="J189" s="227"/>
      <c r="K189" s="520">
        <f t="shared" si="47"/>
        <v>45826</v>
      </c>
      <c r="L189" s="521">
        <f t="shared" si="48"/>
        <v>45826</v>
      </c>
      <c r="M189" s="524">
        <f t="shared" si="44"/>
        <v>1</v>
      </c>
      <c r="N189" s="525">
        <f>IF(M189=1,'適正原価率表(仕入れお小遣い制度)'!$J$15,0)</f>
        <v>11862.07345053788</v>
      </c>
      <c r="O189" s="525">
        <f>IF(M189=1,SUM($N$172:N189),0)</f>
        <v>177931.10175806825</v>
      </c>
      <c r="P189" s="535">
        <v>14557</v>
      </c>
      <c r="Q189" s="525">
        <f>IF(M189=1,SUM($P$172:P189),0)</f>
        <v>241778</v>
      </c>
      <c r="R189" s="235">
        <f t="shared" si="45"/>
        <v>-63846.898241931747</v>
      </c>
      <c r="T189" s="526">
        <f t="shared" si="51"/>
        <v>45826</v>
      </c>
    </row>
    <row r="190" spans="2:20" ht="19.25" customHeight="1" outlineLevel="1">
      <c r="B190" s="520">
        <f t="shared" si="49"/>
        <v>45827</v>
      </c>
      <c r="C190" s="233">
        <f t="shared" si="46"/>
        <v>45827</v>
      </c>
      <c r="D190" s="234">
        <f>目標_2025R7!D190</f>
        <v>1</v>
      </c>
      <c r="E190" s="525">
        <f>IF(D190=1,'適正原価率表(仕入れお小遣い制度)'!$J$14,0)</f>
        <v>55154.258245245815</v>
      </c>
      <c r="F190" s="525">
        <f>IF(D190=1,SUM($E$172:E190),0)</f>
        <v>882468.1319239327</v>
      </c>
      <c r="G190" s="535">
        <v>21101</v>
      </c>
      <c r="H190" s="525">
        <f>IF(D190=1,SUM($G$172:G190),0)</f>
        <v>968119</v>
      </c>
      <c r="I190" s="235">
        <f t="shared" si="50"/>
        <v>-85650.868076067301</v>
      </c>
      <c r="J190" s="227"/>
      <c r="K190" s="520">
        <f t="shared" si="47"/>
        <v>45827</v>
      </c>
      <c r="L190" s="521">
        <f t="shared" si="48"/>
        <v>45827</v>
      </c>
      <c r="M190" s="524">
        <f t="shared" si="44"/>
        <v>1</v>
      </c>
      <c r="N190" s="525">
        <f>IF(M190=1,'適正原価率表(仕入れお小遣い制度)'!$J$15,0)</f>
        <v>11862.07345053788</v>
      </c>
      <c r="O190" s="525">
        <f>IF(M190=1,SUM($N$172:N190),0)</f>
        <v>189793.17520860615</v>
      </c>
      <c r="P190" s="535">
        <v>0</v>
      </c>
      <c r="Q190" s="525">
        <f>IF(M190=1,SUM($P$172:P190),0)</f>
        <v>241778</v>
      </c>
      <c r="R190" s="235">
        <f t="shared" si="45"/>
        <v>-51984.824791393854</v>
      </c>
      <c r="T190" s="526">
        <f t="shared" si="51"/>
        <v>45827</v>
      </c>
    </row>
    <row r="191" spans="2:20" ht="19.25" customHeight="1" outlineLevel="1">
      <c r="B191" s="520">
        <f t="shared" si="49"/>
        <v>45828</v>
      </c>
      <c r="C191" s="233">
        <f t="shared" si="46"/>
        <v>45828</v>
      </c>
      <c r="D191" s="234">
        <f>目標_2025R7!D191</f>
        <v>1</v>
      </c>
      <c r="E191" s="525">
        <f>IF(D191=1,'適正原価率表(仕入れお小遣い制度)'!$J$14,0)</f>
        <v>55154.258245245815</v>
      </c>
      <c r="F191" s="525">
        <f>IF(D191=1,SUM($E$172:E191),0)</f>
        <v>937622.39016917848</v>
      </c>
      <c r="G191" s="535">
        <v>0</v>
      </c>
      <c r="H191" s="525">
        <f>IF(D191=1,SUM($G$172:G191),0)</f>
        <v>968119</v>
      </c>
      <c r="I191" s="235">
        <f t="shared" si="50"/>
        <v>-30496.609830821515</v>
      </c>
      <c r="J191" s="227"/>
      <c r="K191" s="520">
        <f t="shared" si="47"/>
        <v>45828</v>
      </c>
      <c r="L191" s="521">
        <f t="shared" si="48"/>
        <v>45828</v>
      </c>
      <c r="M191" s="524">
        <f t="shared" si="44"/>
        <v>1</v>
      </c>
      <c r="N191" s="525">
        <f>IF(M191=1,'適正原価率表(仕入れお小遣い制度)'!$J$15,0)</f>
        <v>11862.07345053788</v>
      </c>
      <c r="O191" s="525">
        <f>IF(M191=1,SUM($N$172:N191),0)</f>
        <v>201655.24865914404</v>
      </c>
      <c r="P191" s="535">
        <v>0</v>
      </c>
      <c r="Q191" s="525">
        <f>IF(M191=1,SUM($P$172:P191),0)</f>
        <v>241778</v>
      </c>
      <c r="R191" s="235">
        <f t="shared" si="45"/>
        <v>-40122.751340855961</v>
      </c>
      <c r="T191" s="526">
        <f t="shared" si="51"/>
        <v>45828</v>
      </c>
    </row>
    <row r="192" spans="2:20" ht="19.25" customHeight="1" outlineLevel="1">
      <c r="B192" s="520">
        <f t="shared" si="49"/>
        <v>45829</v>
      </c>
      <c r="C192" s="233">
        <f t="shared" si="46"/>
        <v>45829</v>
      </c>
      <c r="D192" s="234">
        <f>目標_2025R7!D192</f>
        <v>1</v>
      </c>
      <c r="E192" s="525">
        <f>IF(D192=1,'適正原価率表(仕入れお小遣い制度)'!$J$14,0)</f>
        <v>55154.258245245815</v>
      </c>
      <c r="F192" s="525">
        <f>IF(D192=1,SUM($E$172:E192),0)</f>
        <v>992776.64841442427</v>
      </c>
      <c r="G192" s="535">
        <v>76742</v>
      </c>
      <c r="H192" s="525">
        <f>IF(D192=1,SUM($G$172:G192),0)</f>
        <v>1044861</v>
      </c>
      <c r="I192" s="235">
        <f t="shared" si="50"/>
        <v>-52084.351585575729</v>
      </c>
      <c r="J192" s="227"/>
      <c r="K192" s="520">
        <f t="shared" si="47"/>
        <v>45829</v>
      </c>
      <c r="L192" s="521">
        <f t="shared" si="48"/>
        <v>45829</v>
      </c>
      <c r="M192" s="524">
        <f t="shared" si="44"/>
        <v>1</v>
      </c>
      <c r="N192" s="525">
        <f>IF(M192=1,'適正原価率表(仕入れお小遣い制度)'!$J$15,0)</f>
        <v>11862.07345053788</v>
      </c>
      <c r="O192" s="525">
        <f>IF(M192=1,SUM($N$172:N192),0)</f>
        <v>213517.32210968193</v>
      </c>
      <c r="P192" s="535">
        <v>8555</v>
      </c>
      <c r="Q192" s="525">
        <f>IF(M192=1,SUM($P$172:P192),0)</f>
        <v>250333</v>
      </c>
      <c r="R192" s="235">
        <f t="shared" si="45"/>
        <v>-36815.677890318068</v>
      </c>
      <c r="T192" s="526">
        <f t="shared" si="51"/>
        <v>45829</v>
      </c>
    </row>
    <row r="193" spans="2:20" ht="19.25" customHeight="1" outlineLevel="1">
      <c r="B193" s="520">
        <f t="shared" si="49"/>
        <v>45830</v>
      </c>
      <c r="C193" s="233">
        <f t="shared" si="46"/>
        <v>45830</v>
      </c>
      <c r="D193" s="234">
        <f>目標_2025R7!D193</f>
        <v>0</v>
      </c>
      <c r="E193" s="525">
        <f>IF(D193=1,'適正原価率表(仕入れお小遣い制度)'!$J$14,0)</f>
        <v>0</v>
      </c>
      <c r="F193" s="525">
        <f>IF(D193=1,SUM($E$172:E193),0)</f>
        <v>0</v>
      </c>
      <c r="G193" s="535">
        <v>83653</v>
      </c>
      <c r="H193" s="525">
        <f>IF(D193=1,SUM($G$172:G193),0)</f>
        <v>0</v>
      </c>
      <c r="I193" s="235">
        <f t="shared" si="50"/>
        <v>0</v>
      </c>
      <c r="J193" s="227"/>
      <c r="K193" s="520">
        <f t="shared" si="47"/>
        <v>45830</v>
      </c>
      <c r="L193" s="521">
        <f t="shared" si="48"/>
        <v>45830</v>
      </c>
      <c r="M193" s="524">
        <f t="shared" si="44"/>
        <v>0</v>
      </c>
      <c r="N193" s="525">
        <f>IF(M193=1,'適正原価率表(仕入れお小遣い制度)'!$J$15,0)</f>
        <v>0</v>
      </c>
      <c r="O193" s="525">
        <f>IF(M193=1,SUM($N$172:N193),0)</f>
        <v>0</v>
      </c>
      <c r="P193" s="535">
        <v>0</v>
      </c>
      <c r="Q193" s="525">
        <f>IF(M193=1,SUM($P$172:P193),0)</f>
        <v>0</v>
      </c>
      <c r="R193" s="235">
        <f t="shared" si="45"/>
        <v>0</v>
      </c>
      <c r="T193" s="526">
        <f t="shared" si="51"/>
        <v>45830</v>
      </c>
    </row>
    <row r="194" spans="2:20" ht="19.25" customHeight="1" outlineLevel="1">
      <c r="B194" s="520">
        <f t="shared" si="49"/>
        <v>45831</v>
      </c>
      <c r="C194" s="233">
        <f>B194</f>
        <v>45831</v>
      </c>
      <c r="D194" s="234">
        <f>目標_2025R7!D194</f>
        <v>1</v>
      </c>
      <c r="E194" s="525">
        <f>IF(D194=1,'適正原価率表(仕入れお小遣い制度)'!$J$14,0)</f>
        <v>55154.258245245815</v>
      </c>
      <c r="F194" s="525">
        <f>IF(D194=1,SUM($E$172:E194),0)</f>
        <v>1047930.9066596701</v>
      </c>
      <c r="G194" s="535">
        <v>29463</v>
      </c>
      <c r="H194" s="525">
        <f>IF(D194=1,SUM($G$172:G194),0)</f>
        <v>1157977</v>
      </c>
      <c r="I194" s="235">
        <f t="shared" si="50"/>
        <v>-110046.09334032994</v>
      </c>
      <c r="J194" s="227"/>
      <c r="K194" s="520">
        <f>B194</f>
        <v>45831</v>
      </c>
      <c r="L194" s="521">
        <f>C194</f>
        <v>45831</v>
      </c>
      <c r="M194" s="524">
        <f t="shared" si="44"/>
        <v>1</v>
      </c>
      <c r="N194" s="525">
        <f>IF(M194=1,'適正原価率表(仕入れお小遣い制度)'!$J$15,0)</f>
        <v>11862.07345053788</v>
      </c>
      <c r="O194" s="525">
        <f>IF(M194=1,SUM($N$172:N194),0)</f>
        <v>225379.39556021983</v>
      </c>
      <c r="P194" s="535">
        <v>0</v>
      </c>
      <c r="Q194" s="525">
        <f>IF(M194=1,SUM($P$172:P194),0)</f>
        <v>250333</v>
      </c>
      <c r="R194" s="235">
        <f t="shared" si="45"/>
        <v>-24953.604439780174</v>
      </c>
      <c r="T194" s="526">
        <f t="shared" si="51"/>
        <v>45831</v>
      </c>
    </row>
    <row r="195" spans="2:20" ht="19.25" customHeight="1" outlineLevel="1">
      <c r="B195" s="520">
        <f t="shared" si="49"/>
        <v>45832</v>
      </c>
      <c r="C195" s="233">
        <f t="shared" si="46"/>
        <v>45832</v>
      </c>
      <c r="D195" s="234">
        <f>目標_2025R7!D195</f>
        <v>1</v>
      </c>
      <c r="E195" s="525">
        <f>IF(D195=1,'適正原価率表(仕入れお小遣い制度)'!$J$14,0)</f>
        <v>55154.258245245815</v>
      </c>
      <c r="F195" s="525">
        <f>IF(D195=1,SUM($E$172:E195),0)</f>
        <v>1103085.164904916</v>
      </c>
      <c r="G195" s="535">
        <v>129265</v>
      </c>
      <c r="H195" s="525">
        <f>IF(D195=1,SUM($G$172:G195),0)</f>
        <v>1287242</v>
      </c>
      <c r="I195" s="235">
        <f t="shared" si="50"/>
        <v>-184156.83509508404</v>
      </c>
      <c r="J195" s="227"/>
      <c r="K195" s="520">
        <f t="shared" ref="K195:K201" si="52">B195</f>
        <v>45832</v>
      </c>
      <c r="L195" s="521">
        <f t="shared" ref="L195:L201" si="53">C195</f>
        <v>45832</v>
      </c>
      <c r="M195" s="524">
        <f t="shared" si="44"/>
        <v>1</v>
      </c>
      <c r="N195" s="525">
        <f>IF(M195=1,'適正原価率表(仕入れお小遣い制度)'!$J$15,0)</f>
        <v>11862.07345053788</v>
      </c>
      <c r="O195" s="525">
        <f>IF(M195=1,SUM($N$172:N195),0)</f>
        <v>237241.46901075772</v>
      </c>
      <c r="P195" s="535">
        <v>17381</v>
      </c>
      <c r="Q195" s="525">
        <f>IF(M195=1,SUM($P$172:P195),0)</f>
        <v>267714</v>
      </c>
      <c r="R195" s="235">
        <f t="shared" si="45"/>
        <v>-30472.530989242281</v>
      </c>
      <c r="T195" s="526">
        <f t="shared" si="51"/>
        <v>45832</v>
      </c>
    </row>
    <row r="196" spans="2:20" ht="19.25" customHeight="1" outlineLevel="1">
      <c r="B196" s="520">
        <f t="shared" si="49"/>
        <v>45833</v>
      </c>
      <c r="C196" s="233">
        <f t="shared" si="46"/>
        <v>45833</v>
      </c>
      <c r="D196" s="234">
        <f>目標_2025R7!D196</f>
        <v>1</v>
      </c>
      <c r="E196" s="525">
        <f>IF(D196=1,'適正原価率表(仕入れお小遣い制度)'!$J$14,0)</f>
        <v>55154.258245245815</v>
      </c>
      <c r="F196" s="525">
        <f>IF(D196=1,SUM($E$172:E196),0)</f>
        <v>1158239.4231501617</v>
      </c>
      <c r="G196" s="535">
        <v>53370</v>
      </c>
      <c r="H196" s="525">
        <f>IF(D196=1,SUM($G$172:G196),0)</f>
        <v>1340612</v>
      </c>
      <c r="I196" s="235">
        <f t="shared" si="50"/>
        <v>-182372.57684983825</v>
      </c>
      <c r="J196" s="227"/>
      <c r="K196" s="520">
        <f t="shared" si="52"/>
        <v>45833</v>
      </c>
      <c r="L196" s="521">
        <f t="shared" si="53"/>
        <v>45833</v>
      </c>
      <c r="M196" s="524">
        <f t="shared" si="44"/>
        <v>1</v>
      </c>
      <c r="N196" s="525">
        <f>IF(M196=1,'適正原価率表(仕入れお小遣い制度)'!$J$15,0)</f>
        <v>11862.07345053788</v>
      </c>
      <c r="O196" s="525">
        <f>IF(M196=1,SUM($N$172:N196),0)</f>
        <v>249103.54246129561</v>
      </c>
      <c r="P196" s="535">
        <v>3760</v>
      </c>
      <c r="Q196" s="525">
        <f>IF(M196=1,SUM($P$172:P196),0)</f>
        <v>271474</v>
      </c>
      <c r="R196" s="235">
        <f t="shared" si="45"/>
        <v>-22370.457538704388</v>
      </c>
      <c r="T196" s="526">
        <f t="shared" si="51"/>
        <v>45833</v>
      </c>
    </row>
    <row r="197" spans="2:20" ht="19.25" customHeight="1" outlineLevel="1">
      <c r="B197" s="520">
        <f t="shared" si="49"/>
        <v>45834</v>
      </c>
      <c r="C197" s="233">
        <f t="shared" si="46"/>
        <v>45834</v>
      </c>
      <c r="D197" s="234">
        <f>目標_2025R7!D197</f>
        <v>1</v>
      </c>
      <c r="E197" s="525">
        <f>IF(D197=1,'適正原価率表(仕入れお小遣い制度)'!$J$14,0)</f>
        <v>55154.258245245815</v>
      </c>
      <c r="F197" s="525">
        <f>IF(D197=1,SUM($E$172:E197),0)</f>
        <v>1213393.6813954075</v>
      </c>
      <c r="G197" s="535">
        <v>1961</v>
      </c>
      <c r="H197" s="525">
        <f>IF(D197=1,SUM($G$172:G197),0)</f>
        <v>1342573</v>
      </c>
      <c r="I197" s="235">
        <f t="shared" si="50"/>
        <v>-129179.31860459247</v>
      </c>
      <c r="J197" s="227"/>
      <c r="K197" s="520">
        <f t="shared" si="52"/>
        <v>45834</v>
      </c>
      <c r="L197" s="521">
        <f t="shared" si="53"/>
        <v>45834</v>
      </c>
      <c r="M197" s="524">
        <f t="shared" si="44"/>
        <v>1</v>
      </c>
      <c r="N197" s="525">
        <f>IF(M197=1,'適正原価率表(仕入れお小遣い制度)'!$J$15,0)</f>
        <v>11862.07345053788</v>
      </c>
      <c r="O197" s="525">
        <f>IF(M197=1,SUM($N$172:N197),0)</f>
        <v>260965.61591183351</v>
      </c>
      <c r="P197" s="535">
        <v>0</v>
      </c>
      <c r="Q197" s="525">
        <f>IF(M197=1,SUM($P$172:P197),0)</f>
        <v>271474</v>
      </c>
      <c r="R197" s="235">
        <f t="shared" si="45"/>
        <v>-10508.384088166495</v>
      </c>
      <c r="T197" s="526">
        <f t="shared" si="51"/>
        <v>45834</v>
      </c>
    </row>
    <row r="198" spans="2:20" ht="19.25" customHeight="1" outlineLevel="1">
      <c r="B198" s="520">
        <f t="shared" si="49"/>
        <v>45835</v>
      </c>
      <c r="C198" s="233">
        <f t="shared" si="46"/>
        <v>45835</v>
      </c>
      <c r="D198" s="234">
        <f>目標_2025R7!D198</f>
        <v>1</v>
      </c>
      <c r="E198" s="525">
        <f>IF(D198=1,'適正原価率表(仕入れお小遣い制度)'!$J$14,0)</f>
        <v>55154.258245245815</v>
      </c>
      <c r="F198" s="525">
        <f>IF(D198=1,SUM($E$172:E198),0)</f>
        <v>1268547.9396406533</v>
      </c>
      <c r="G198" s="535">
        <v>0</v>
      </c>
      <c r="H198" s="525">
        <f>IF(D198=1,SUM($G$172:G198),0)</f>
        <v>1342573</v>
      </c>
      <c r="I198" s="235">
        <f t="shared" si="50"/>
        <v>-74025.06035934668</v>
      </c>
      <c r="J198" s="227"/>
      <c r="K198" s="520">
        <f t="shared" si="52"/>
        <v>45835</v>
      </c>
      <c r="L198" s="521">
        <f t="shared" si="53"/>
        <v>45835</v>
      </c>
      <c r="M198" s="524">
        <f t="shared" si="44"/>
        <v>1</v>
      </c>
      <c r="N198" s="525">
        <f>IF(M198=1,'適正原価率表(仕入れお小遣い制度)'!$J$15,0)</f>
        <v>11862.07345053788</v>
      </c>
      <c r="O198" s="525">
        <f>IF(M198=1,SUM($N$172:N198),0)</f>
        <v>272827.6893623714</v>
      </c>
      <c r="P198" s="535">
        <v>0</v>
      </c>
      <c r="Q198" s="525">
        <f>IF(M198=1,SUM($P$172:P198),0)</f>
        <v>271474</v>
      </c>
      <c r="R198" s="235">
        <f t="shared" si="45"/>
        <v>1353.6893623713986</v>
      </c>
      <c r="T198" s="526">
        <f t="shared" si="51"/>
        <v>45835</v>
      </c>
    </row>
    <row r="199" spans="2:20" ht="19.25" customHeight="1" outlineLevel="1">
      <c r="B199" s="520">
        <f t="shared" si="49"/>
        <v>45836</v>
      </c>
      <c r="C199" s="233">
        <f t="shared" si="46"/>
        <v>45836</v>
      </c>
      <c r="D199" s="234">
        <f>目標_2025R7!D199</f>
        <v>1</v>
      </c>
      <c r="E199" s="525">
        <f>IF(D199=1,'適正原価率表(仕入れお小遣い制度)'!$J$14,0)</f>
        <v>55154.258245245815</v>
      </c>
      <c r="F199" s="525">
        <f>IF(D199=1,SUM($E$172:E199),0)</f>
        <v>1323702.1978858991</v>
      </c>
      <c r="G199" s="535">
        <v>19915</v>
      </c>
      <c r="H199" s="525">
        <f>IF(D199=1,SUM($G$172:G199),0)</f>
        <v>1362488</v>
      </c>
      <c r="I199" s="235">
        <f t="shared" si="50"/>
        <v>-38785.802114100894</v>
      </c>
      <c r="J199" s="227"/>
      <c r="K199" s="520">
        <f t="shared" si="52"/>
        <v>45836</v>
      </c>
      <c r="L199" s="521">
        <f t="shared" si="53"/>
        <v>45836</v>
      </c>
      <c r="M199" s="524">
        <f t="shared" si="44"/>
        <v>1</v>
      </c>
      <c r="N199" s="525">
        <f>IF(M199=1,'適正原価率表(仕入れお小遣い制度)'!$J$15,0)</f>
        <v>11862.07345053788</v>
      </c>
      <c r="O199" s="525">
        <f>IF(M199=1,SUM($N$172:N199),0)</f>
        <v>284689.76281290926</v>
      </c>
      <c r="P199" s="535">
        <v>0</v>
      </c>
      <c r="Q199" s="525">
        <f>IF(M199=1,SUM($P$172:P199),0)</f>
        <v>271474</v>
      </c>
      <c r="R199" s="235">
        <f t="shared" si="45"/>
        <v>13215.762812909263</v>
      </c>
      <c r="T199" s="526">
        <f t="shared" si="51"/>
        <v>45836</v>
      </c>
    </row>
    <row r="200" spans="2:20" ht="19.25" customHeight="1" outlineLevel="1">
      <c r="B200" s="520">
        <f t="shared" si="49"/>
        <v>45837</v>
      </c>
      <c r="C200" s="233">
        <f t="shared" si="46"/>
        <v>45837</v>
      </c>
      <c r="D200" s="234">
        <f>目標_2025R7!D200</f>
        <v>0</v>
      </c>
      <c r="E200" s="525">
        <f>IF(D200=1,'適正原価率表(仕入れお小遣い制度)'!$J$14,0)</f>
        <v>0</v>
      </c>
      <c r="F200" s="525">
        <f>IF(D200=1,SUM($E$172:E200),0)</f>
        <v>0</v>
      </c>
      <c r="G200" s="535">
        <v>0</v>
      </c>
      <c r="H200" s="525">
        <f>IF(D200=1,SUM($G$172:G200),0)</f>
        <v>0</v>
      </c>
      <c r="I200" s="235">
        <f t="shared" si="50"/>
        <v>0</v>
      </c>
      <c r="J200" s="227"/>
      <c r="K200" s="520">
        <f t="shared" si="52"/>
        <v>45837</v>
      </c>
      <c r="L200" s="521">
        <f t="shared" si="53"/>
        <v>45837</v>
      </c>
      <c r="M200" s="524">
        <f t="shared" si="44"/>
        <v>0</v>
      </c>
      <c r="N200" s="525">
        <f>IF(M200=1,'適正原価率表(仕入れお小遣い制度)'!$J$15,0)</f>
        <v>0</v>
      </c>
      <c r="O200" s="525">
        <f>IF(M200=1,SUM($N$172:N200),0)</f>
        <v>0</v>
      </c>
      <c r="P200" s="535">
        <v>0</v>
      </c>
      <c r="Q200" s="525">
        <f>IF(M200=1,SUM($P$172:P200),0)</f>
        <v>0</v>
      </c>
      <c r="R200" s="235">
        <f t="shared" si="45"/>
        <v>0</v>
      </c>
      <c r="T200" s="526">
        <f t="shared" si="51"/>
        <v>45837</v>
      </c>
    </row>
    <row r="201" spans="2:20" ht="19.25" customHeight="1" outlineLevel="1">
      <c r="B201" s="520">
        <f t="shared" si="49"/>
        <v>45838</v>
      </c>
      <c r="C201" s="233">
        <f t="shared" si="46"/>
        <v>45838</v>
      </c>
      <c r="D201" s="234">
        <f>目標_2025R7!D201</f>
        <v>1</v>
      </c>
      <c r="E201" s="525">
        <f>IF(D201=1,'適正原価率表(仕入れお小遣い制度)'!$J$14,0)</f>
        <v>55154.258245245815</v>
      </c>
      <c r="F201" s="525">
        <f>IF(D201=1,SUM($E$172:E201),0)</f>
        <v>1378856.4561311449</v>
      </c>
      <c r="G201" s="535">
        <v>0</v>
      </c>
      <c r="H201" s="525">
        <f>IF(D201=1,SUM($G$172:G201),0)</f>
        <v>1362488</v>
      </c>
      <c r="I201" s="235">
        <f t="shared" si="50"/>
        <v>16368.456131144892</v>
      </c>
      <c r="J201" s="227"/>
      <c r="K201" s="520">
        <f t="shared" si="52"/>
        <v>45838</v>
      </c>
      <c r="L201" s="521">
        <f t="shared" si="53"/>
        <v>45838</v>
      </c>
      <c r="M201" s="524">
        <f t="shared" si="44"/>
        <v>1</v>
      </c>
      <c r="N201" s="525">
        <f>IF(M201=1,'適正原価率表(仕入れお小遣い制度)'!$J$15,0)</f>
        <v>11862.07345053788</v>
      </c>
      <c r="O201" s="525">
        <f>IF(M201=1,SUM($N$172:N201),0)</f>
        <v>296551.83626344713</v>
      </c>
      <c r="P201" s="535">
        <v>0</v>
      </c>
      <c r="Q201" s="525">
        <f>IF(M201=1,SUM($P$172:P201),0)</f>
        <v>271474</v>
      </c>
      <c r="R201" s="235">
        <f t="shared" si="45"/>
        <v>25077.836263447127</v>
      </c>
      <c r="T201" s="526">
        <f t="shared" si="51"/>
        <v>45838</v>
      </c>
    </row>
    <row r="202" spans="2:20" ht="19.25" customHeight="1" outlineLevel="1">
      <c r="B202" s="860" t="s">
        <v>211</v>
      </c>
      <c r="C202" s="861"/>
      <c r="D202" s="862"/>
      <c r="E202" s="528">
        <f>SUM(E172:E201)</f>
        <v>1378856.4561311449</v>
      </c>
      <c r="F202" s="514"/>
      <c r="G202" s="536">
        <v>0</v>
      </c>
      <c r="H202" s="515"/>
      <c r="I202" s="515"/>
      <c r="J202" s="227"/>
      <c r="K202" s="860" t="s">
        <v>211</v>
      </c>
      <c r="L202" s="861"/>
      <c r="M202" s="862"/>
      <c r="N202" s="528">
        <f>SUM(N172:N201)</f>
        <v>296551.83626344713</v>
      </c>
      <c r="O202" s="514"/>
      <c r="P202" s="537">
        <v>0</v>
      </c>
      <c r="Q202" s="515"/>
      <c r="R202" s="515"/>
    </row>
    <row r="203" spans="2:20">
      <c r="G203" s="219">
        <v>42474</v>
      </c>
      <c r="P203" s="219">
        <v>59025</v>
      </c>
    </row>
    <row r="204" spans="2:20" s="231" customFormat="1">
      <c r="B204" s="863" t="s">
        <v>252</v>
      </c>
      <c r="C204" s="864"/>
      <c r="D204" s="865"/>
      <c r="E204" s="228" t="s">
        <v>129</v>
      </c>
      <c r="F204" s="229" t="s">
        <v>130</v>
      </c>
      <c r="G204" s="229">
        <v>48759</v>
      </c>
      <c r="H204" s="229" t="s">
        <v>132</v>
      </c>
      <c r="I204" s="229" t="s">
        <v>133</v>
      </c>
      <c r="J204" s="230"/>
      <c r="K204" s="866" t="str">
        <f>B204</f>
        <v>7月</v>
      </c>
      <c r="L204" s="866"/>
      <c r="M204" s="866"/>
      <c r="N204" s="228" t="s">
        <v>134</v>
      </c>
      <c r="O204" s="229" t="s">
        <v>135</v>
      </c>
      <c r="P204" s="229">
        <v>16009</v>
      </c>
      <c r="Q204" s="229" t="s">
        <v>137</v>
      </c>
      <c r="R204" s="229" t="s">
        <v>133</v>
      </c>
    </row>
    <row r="205" spans="2:20" ht="19.25" customHeight="1" outlineLevel="1">
      <c r="B205" s="520">
        <f>B201+1</f>
        <v>45839</v>
      </c>
      <c r="C205" s="233">
        <f>B205</f>
        <v>45839</v>
      </c>
      <c r="D205" s="234">
        <f>目標_2025R7!D202</f>
        <v>1</v>
      </c>
      <c r="E205" s="525">
        <f>IF(D205=1,'適正原価率表(仕入れお小遣い制度)'!$J$16,0)</f>
        <v>46387.555058538455</v>
      </c>
      <c r="F205" s="525">
        <f>IF(D205=1,E205,0)</f>
        <v>46387.555058538455</v>
      </c>
      <c r="G205" s="535">
        <v>110040</v>
      </c>
      <c r="H205" s="525">
        <f>IF(D205=1,G205,0)</f>
        <v>110040</v>
      </c>
      <c r="I205" s="235">
        <f>IF(D205=1,F205-H205,0)</f>
        <v>-63652.444941461545</v>
      </c>
      <c r="J205" s="227"/>
      <c r="K205" s="520">
        <f>B205</f>
        <v>45839</v>
      </c>
      <c r="L205" s="521">
        <f>C205</f>
        <v>45839</v>
      </c>
      <c r="M205" s="524">
        <f t="shared" ref="M205:M235" si="54">D205</f>
        <v>1</v>
      </c>
      <c r="N205" s="525">
        <f>IF(M205=1,'適正原価率表(仕入れお小遣い制度)'!$J$17,0)</f>
        <v>8864.4369785182189</v>
      </c>
      <c r="O205" s="525">
        <f>IF(M205=1,N205,0)</f>
        <v>8864.4369785182189</v>
      </c>
      <c r="P205" s="535">
        <v>0</v>
      </c>
      <c r="Q205" s="525">
        <f>IF(M205=1,P205,0)</f>
        <v>0</v>
      </c>
      <c r="R205" s="235">
        <f t="shared" ref="R205:R235" si="55">IF(D205=1,O205-Q205,0)</f>
        <v>8864.4369785182189</v>
      </c>
      <c r="T205" s="526">
        <f>T201+1</f>
        <v>45839</v>
      </c>
    </row>
    <row r="206" spans="2:20" ht="19.25" customHeight="1" outlineLevel="1">
      <c r="B206" s="520">
        <f>B205+1</f>
        <v>45840</v>
      </c>
      <c r="C206" s="233">
        <f t="shared" ref="C206:C235" si="56">B206</f>
        <v>45840</v>
      </c>
      <c r="D206" s="234">
        <f>目標_2025R7!D203</f>
        <v>1</v>
      </c>
      <c r="E206" s="525">
        <f>IF(D206=1,'適正原価率表(仕入れお小遣い制度)'!$J$16,0)</f>
        <v>46387.555058538455</v>
      </c>
      <c r="F206" s="525">
        <f>IF(D206=1,SUM($E$205:E206),0)</f>
        <v>92775.110117076911</v>
      </c>
      <c r="G206" s="535">
        <v>34822</v>
      </c>
      <c r="H206" s="525">
        <f>IF(D206=1,SUM($G$205:G206),0)</f>
        <v>144862</v>
      </c>
      <c r="I206" s="235">
        <f>IF(D206=1,F206-H206,0)</f>
        <v>-52086.889882923089</v>
      </c>
      <c r="J206" s="227"/>
      <c r="K206" s="520">
        <f t="shared" ref="K206:K229" si="57">B206</f>
        <v>45840</v>
      </c>
      <c r="L206" s="521">
        <f t="shared" ref="L206:L229" si="58">C206</f>
        <v>45840</v>
      </c>
      <c r="M206" s="524">
        <f t="shared" si="54"/>
        <v>1</v>
      </c>
      <c r="N206" s="525">
        <f>IF(M206=1,'適正原価率表(仕入れお小遣い制度)'!$J$17,0)</f>
        <v>8864.4369785182189</v>
      </c>
      <c r="O206" s="525">
        <f>IF(M206=1,SUM($N$205:N206),0)</f>
        <v>17728.873957036438</v>
      </c>
      <c r="P206" s="535">
        <v>16017</v>
      </c>
      <c r="Q206" s="525">
        <f>IF(M206=1,SUM($P$205:P206),0)</f>
        <v>16017</v>
      </c>
      <c r="R206" s="235">
        <f t="shared" si="55"/>
        <v>1711.8739570364378</v>
      </c>
      <c r="T206" s="526">
        <f>T205+1</f>
        <v>45840</v>
      </c>
    </row>
    <row r="207" spans="2:20" ht="19.25" customHeight="1" outlineLevel="1">
      <c r="B207" s="520">
        <f t="shared" ref="B207:B235" si="59">B206+1</f>
        <v>45841</v>
      </c>
      <c r="C207" s="233">
        <f t="shared" si="56"/>
        <v>45841</v>
      </c>
      <c r="D207" s="234">
        <f>目標_2025R7!D204</f>
        <v>1</v>
      </c>
      <c r="E207" s="525">
        <f>IF(D207=1,'適正原価率表(仕入れお小遣い制度)'!$J$16,0)</f>
        <v>46387.555058538455</v>
      </c>
      <c r="F207" s="525">
        <f>IF(D207=1,SUM($E$205:E207),0)</f>
        <v>139162.66517561537</v>
      </c>
      <c r="G207" s="535">
        <v>6635</v>
      </c>
      <c r="H207" s="525">
        <f>IF(D207=1,SUM($G$205:G207),0)</f>
        <v>151497</v>
      </c>
      <c r="I207" s="235">
        <f t="shared" ref="I207:I235" si="60">IF(D207=1,F207-H207,0)</f>
        <v>-12334.334824384627</v>
      </c>
      <c r="J207" s="227"/>
      <c r="K207" s="520">
        <f t="shared" si="57"/>
        <v>45841</v>
      </c>
      <c r="L207" s="521">
        <f t="shared" si="58"/>
        <v>45841</v>
      </c>
      <c r="M207" s="524">
        <f t="shared" si="54"/>
        <v>1</v>
      </c>
      <c r="N207" s="525">
        <f>IF(M207=1,'適正原価率表(仕入れお小遣い制度)'!$J$17,0)</f>
        <v>8864.4369785182189</v>
      </c>
      <c r="O207" s="525">
        <f>IF(M207=1,SUM($N$205:N207),0)</f>
        <v>26593.310935554655</v>
      </c>
      <c r="P207" s="535">
        <v>0</v>
      </c>
      <c r="Q207" s="525">
        <f>IF(M207=1,SUM($P$205:P207),0)</f>
        <v>16017</v>
      </c>
      <c r="R207" s="235">
        <f t="shared" si="55"/>
        <v>10576.310935554655</v>
      </c>
      <c r="T207" s="526">
        <f t="shared" ref="T207:T235" si="61">T206+1</f>
        <v>45841</v>
      </c>
    </row>
    <row r="208" spans="2:20" ht="19.25" customHeight="1" outlineLevel="1">
      <c r="B208" s="520">
        <f t="shared" si="59"/>
        <v>45842</v>
      </c>
      <c r="C208" s="233">
        <f t="shared" si="56"/>
        <v>45842</v>
      </c>
      <c r="D208" s="234">
        <f>目標_2025R7!D205</f>
        <v>1</v>
      </c>
      <c r="E208" s="525">
        <f>IF(D208=1,'適正原価率表(仕入れお小遣い制度)'!$J$16,0)</f>
        <v>46387.555058538455</v>
      </c>
      <c r="F208" s="525">
        <f>IF(D208=1,SUM($E$205:E208),0)</f>
        <v>185550.22023415382</v>
      </c>
      <c r="G208" s="535">
        <v>0</v>
      </c>
      <c r="H208" s="525">
        <f>IF(D208=1,SUM($G$205:G208),0)</f>
        <v>151497</v>
      </c>
      <c r="I208" s="235">
        <f t="shared" si="60"/>
        <v>34053.220234153821</v>
      </c>
      <c r="J208" s="227"/>
      <c r="K208" s="520">
        <f t="shared" si="57"/>
        <v>45842</v>
      </c>
      <c r="L208" s="521">
        <f t="shared" si="58"/>
        <v>45842</v>
      </c>
      <c r="M208" s="524">
        <f t="shared" si="54"/>
        <v>1</v>
      </c>
      <c r="N208" s="525">
        <f>IF(M208=1,'適正原価率表(仕入れお小遣い制度)'!$J$17,0)</f>
        <v>8864.4369785182189</v>
      </c>
      <c r="O208" s="525">
        <f>IF(M208=1,SUM($N$205:N208),0)</f>
        <v>35457.747914072876</v>
      </c>
      <c r="P208" s="535">
        <v>0</v>
      </c>
      <c r="Q208" s="525">
        <f>IF(M208=1,SUM($P$205:P208),0)</f>
        <v>16017</v>
      </c>
      <c r="R208" s="235">
        <f t="shared" si="55"/>
        <v>19440.747914072876</v>
      </c>
      <c r="T208" s="526">
        <f t="shared" si="61"/>
        <v>45842</v>
      </c>
    </row>
    <row r="209" spans="2:20" ht="19.25" customHeight="1" outlineLevel="1">
      <c r="B209" s="520">
        <f t="shared" si="59"/>
        <v>45843</v>
      </c>
      <c r="C209" s="233">
        <f t="shared" si="56"/>
        <v>45843</v>
      </c>
      <c r="D209" s="234">
        <f>目標_2025R7!D206</f>
        <v>1</v>
      </c>
      <c r="E209" s="525">
        <f>IF(D209=1,'適正原価率表(仕入れお小遣い制度)'!$J$16,0)</f>
        <v>46387.555058538455</v>
      </c>
      <c r="F209" s="525">
        <f>IF(D209=1,SUM($E$205:E209),0)</f>
        <v>231937.77529269227</v>
      </c>
      <c r="G209" s="535">
        <v>53249</v>
      </c>
      <c r="H209" s="525">
        <f>IF(D209=1,SUM($G$205:G209),0)</f>
        <v>204746</v>
      </c>
      <c r="I209" s="235">
        <f t="shared" si="60"/>
        <v>27191.775292692269</v>
      </c>
      <c r="J209" s="227"/>
      <c r="K209" s="520">
        <f t="shared" si="57"/>
        <v>45843</v>
      </c>
      <c r="L209" s="521">
        <f t="shared" si="58"/>
        <v>45843</v>
      </c>
      <c r="M209" s="524">
        <f t="shared" si="54"/>
        <v>1</v>
      </c>
      <c r="N209" s="525">
        <f>IF(M209=1,'適正原価率表(仕入れお小遣い制度)'!$J$17,0)</f>
        <v>8864.4369785182189</v>
      </c>
      <c r="O209" s="525">
        <f>IF(M209=1,SUM($N$205:N209),0)</f>
        <v>44322.184892591096</v>
      </c>
      <c r="P209" s="535">
        <v>31653</v>
      </c>
      <c r="Q209" s="525">
        <f>IF(M209=1,SUM($P$205:P209),0)</f>
        <v>47670</v>
      </c>
      <c r="R209" s="235">
        <f t="shared" si="55"/>
        <v>-3347.8151074089037</v>
      </c>
      <c r="T209" s="526">
        <f t="shared" si="61"/>
        <v>45843</v>
      </c>
    </row>
    <row r="210" spans="2:20" ht="19.25" customHeight="1" outlineLevel="1">
      <c r="B210" s="520">
        <f t="shared" si="59"/>
        <v>45844</v>
      </c>
      <c r="C210" s="233">
        <f t="shared" si="56"/>
        <v>45844</v>
      </c>
      <c r="D210" s="234">
        <f>目標_2025R7!D207</f>
        <v>0</v>
      </c>
      <c r="E210" s="525">
        <f>IF(D210=1,'適正原価率表(仕入れお小遣い制度)'!$J$16,0)</f>
        <v>0</v>
      </c>
      <c r="F210" s="525">
        <f>IF(D210=1,SUM($E$205:E210),0)</f>
        <v>0</v>
      </c>
      <c r="G210" s="535">
        <v>83976</v>
      </c>
      <c r="H210" s="525">
        <f>IF(D210=1,SUM($G$205:G210),0)</f>
        <v>0</v>
      </c>
      <c r="I210" s="235">
        <f t="shared" si="60"/>
        <v>0</v>
      </c>
      <c r="J210" s="227"/>
      <c r="K210" s="520">
        <f t="shared" si="57"/>
        <v>45844</v>
      </c>
      <c r="L210" s="521">
        <f t="shared" si="58"/>
        <v>45844</v>
      </c>
      <c r="M210" s="524">
        <f t="shared" si="54"/>
        <v>0</v>
      </c>
      <c r="N210" s="525">
        <f>IF(M210=1,'適正原価率表(仕入れお小遣い制度)'!$J$17,0)</f>
        <v>0</v>
      </c>
      <c r="O210" s="525">
        <f>IF(M210=1,SUM($N$205:N210),0)</f>
        <v>0</v>
      </c>
      <c r="P210" s="535">
        <v>22276</v>
      </c>
      <c r="Q210" s="525">
        <f>IF(M210=1,SUM($P$205:P210),0)</f>
        <v>0</v>
      </c>
      <c r="R210" s="235">
        <f t="shared" si="55"/>
        <v>0</v>
      </c>
      <c r="T210" s="526">
        <f t="shared" si="61"/>
        <v>45844</v>
      </c>
    </row>
    <row r="211" spans="2:20" ht="19.25" customHeight="1" outlineLevel="1">
      <c r="B211" s="520">
        <f t="shared" si="59"/>
        <v>45845</v>
      </c>
      <c r="C211" s="233">
        <f t="shared" si="56"/>
        <v>45845</v>
      </c>
      <c r="D211" s="234">
        <f>目標_2025R7!D208</f>
        <v>1</v>
      </c>
      <c r="E211" s="525">
        <f>IF(D211=1,'適正原価率表(仕入れお小遣い制度)'!$J$16,0)</f>
        <v>46387.555058538455</v>
      </c>
      <c r="F211" s="525">
        <f>IF(D211=1,SUM($E$205:E211),0)</f>
        <v>278325.33035123075</v>
      </c>
      <c r="G211" s="535">
        <v>35827</v>
      </c>
      <c r="H211" s="525">
        <f>IF(D211=1,SUM($G$205:G211),0)</f>
        <v>324549</v>
      </c>
      <c r="I211" s="235">
        <f t="shared" si="60"/>
        <v>-46223.669648769253</v>
      </c>
      <c r="J211" s="227"/>
      <c r="K211" s="520">
        <f t="shared" si="57"/>
        <v>45845</v>
      </c>
      <c r="L211" s="521">
        <f t="shared" si="58"/>
        <v>45845</v>
      </c>
      <c r="M211" s="524">
        <f t="shared" si="54"/>
        <v>1</v>
      </c>
      <c r="N211" s="525">
        <f>IF(M211=1,'適正原価率表(仕入れお小遣い制度)'!$J$17,0)</f>
        <v>8864.4369785182189</v>
      </c>
      <c r="O211" s="525">
        <f>IF(M211=1,SUM($N$205:N211),0)</f>
        <v>53186.621871109317</v>
      </c>
      <c r="P211" s="535">
        <v>14751</v>
      </c>
      <c r="Q211" s="525">
        <f>IF(M211=1,SUM($P$205:P211),0)</f>
        <v>84697</v>
      </c>
      <c r="R211" s="235">
        <f t="shared" si="55"/>
        <v>-31510.378128890683</v>
      </c>
      <c r="T211" s="526">
        <f t="shared" si="61"/>
        <v>45845</v>
      </c>
    </row>
    <row r="212" spans="2:20" ht="19.25" customHeight="1" outlineLevel="1">
      <c r="B212" s="520">
        <f t="shared" si="59"/>
        <v>45846</v>
      </c>
      <c r="C212" s="233">
        <f t="shared" si="56"/>
        <v>45846</v>
      </c>
      <c r="D212" s="234">
        <f>目標_2025R7!D209</f>
        <v>1</v>
      </c>
      <c r="E212" s="525">
        <f>IF(D212=1,'適正原価率表(仕入れお小遣い制度)'!$J$16,0)</f>
        <v>46387.555058538455</v>
      </c>
      <c r="F212" s="525">
        <f>IF(D212=1,SUM($E$205:E212),0)</f>
        <v>324712.88540976919</v>
      </c>
      <c r="G212" s="535">
        <v>27251</v>
      </c>
      <c r="H212" s="525">
        <f>IF(D212=1,SUM($G$205:G212),0)</f>
        <v>351800</v>
      </c>
      <c r="I212" s="235">
        <f t="shared" si="60"/>
        <v>-27087.114590230805</v>
      </c>
      <c r="J212" s="227"/>
      <c r="K212" s="520">
        <f t="shared" si="57"/>
        <v>45846</v>
      </c>
      <c r="L212" s="521">
        <f t="shared" si="58"/>
        <v>45846</v>
      </c>
      <c r="M212" s="524">
        <f t="shared" si="54"/>
        <v>1</v>
      </c>
      <c r="N212" s="525">
        <f>IF(M212=1,'適正原価率表(仕入れお小遣い制度)'!$J$17,0)</f>
        <v>8864.4369785182189</v>
      </c>
      <c r="O212" s="525">
        <f>IF(M212=1,SUM($N$205:N212),0)</f>
        <v>62051.058849627538</v>
      </c>
      <c r="P212" s="535">
        <v>8025</v>
      </c>
      <c r="Q212" s="525">
        <f>IF(M212=1,SUM($P$205:P212),0)</f>
        <v>92722</v>
      </c>
      <c r="R212" s="235">
        <f t="shared" si="55"/>
        <v>-30670.941150372462</v>
      </c>
      <c r="T212" s="526">
        <f t="shared" si="61"/>
        <v>45846</v>
      </c>
    </row>
    <row r="213" spans="2:20" ht="19.25" customHeight="1" outlineLevel="1">
      <c r="B213" s="520">
        <f t="shared" si="59"/>
        <v>45847</v>
      </c>
      <c r="C213" s="233">
        <f t="shared" si="56"/>
        <v>45847</v>
      </c>
      <c r="D213" s="234">
        <f>目標_2025R7!D210</f>
        <v>1</v>
      </c>
      <c r="E213" s="525">
        <f>IF(D213=1,'適正原価率表(仕入れお小遣い制度)'!$J$16,0)</f>
        <v>46387.555058538455</v>
      </c>
      <c r="F213" s="525">
        <f>IF(D213=1,SUM($E$205:E213),0)</f>
        <v>371100.44046830764</v>
      </c>
      <c r="G213" s="535">
        <v>50230</v>
      </c>
      <c r="H213" s="525">
        <f>IF(D213=1,SUM($G$205:G213),0)</f>
        <v>402030</v>
      </c>
      <c r="I213" s="235">
        <f t="shared" si="60"/>
        <v>-30929.559531692357</v>
      </c>
      <c r="J213" s="227"/>
      <c r="K213" s="520">
        <f t="shared" si="57"/>
        <v>45847</v>
      </c>
      <c r="L213" s="521">
        <f t="shared" si="58"/>
        <v>45847</v>
      </c>
      <c r="M213" s="524">
        <f t="shared" si="54"/>
        <v>1</v>
      </c>
      <c r="N213" s="525">
        <f>IF(M213=1,'適正原価率表(仕入れお小遣い制度)'!$J$17,0)</f>
        <v>8864.4369785182189</v>
      </c>
      <c r="O213" s="525">
        <f>IF(M213=1,SUM($N$205:N213),0)</f>
        <v>70915.495828145751</v>
      </c>
      <c r="P213" s="535">
        <v>14526</v>
      </c>
      <c r="Q213" s="525">
        <f>IF(M213=1,SUM($P$205:P213),0)</f>
        <v>107248</v>
      </c>
      <c r="R213" s="235">
        <f t="shared" si="55"/>
        <v>-36332.504171854249</v>
      </c>
      <c r="T213" s="526">
        <f t="shared" si="61"/>
        <v>45847</v>
      </c>
    </row>
    <row r="214" spans="2:20" ht="19.25" customHeight="1" outlineLevel="1">
      <c r="B214" s="520">
        <f t="shared" si="59"/>
        <v>45848</v>
      </c>
      <c r="C214" s="233">
        <f t="shared" si="56"/>
        <v>45848</v>
      </c>
      <c r="D214" s="234">
        <f>目標_2025R7!D211</f>
        <v>1</v>
      </c>
      <c r="E214" s="525">
        <f>IF(D214=1,'適正原価率表(仕入れお小遣い制度)'!$J$16,0)</f>
        <v>46387.555058538455</v>
      </c>
      <c r="F214" s="525">
        <f>IF(D214=1,SUM($E$205:E214),0)</f>
        <v>417487.99552684609</v>
      </c>
      <c r="G214" s="535">
        <v>25074</v>
      </c>
      <c r="H214" s="525">
        <f>IF(D214=1,SUM($G$205:G214),0)</f>
        <v>427104</v>
      </c>
      <c r="I214" s="235">
        <f t="shared" si="60"/>
        <v>-9616.0044731539092</v>
      </c>
      <c r="J214" s="227"/>
      <c r="K214" s="520">
        <f t="shared" si="57"/>
        <v>45848</v>
      </c>
      <c r="L214" s="521">
        <f t="shared" si="58"/>
        <v>45848</v>
      </c>
      <c r="M214" s="524">
        <f t="shared" si="54"/>
        <v>1</v>
      </c>
      <c r="N214" s="525">
        <f>IF(M214=1,'適正原価率表(仕入れお小遣い制度)'!$J$17,0)</f>
        <v>8864.4369785182189</v>
      </c>
      <c r="O214" s="525">
        <f>IF(M214=1,SUM($N$205:N214),0)</f>
        <v>79779.932806663972</v>
      </c>
      <c r="P214" s="535">
        <v>9783</v>
      </c>
      <c r="Q214" s="525">
        <f>IF(M214=1,SUM($P$205:P214),0)</f>
        <v>117031</v>
      </c>
      <c r="R214" s="235">
        <f t="shared" si="55"/>
        <v>-37251.067193336028</v>
      </c>
      <c r="T214" s="526">
        <f t="shared" si="61"/>
        <v>45848</v>
      </c>
    </row>
    <row r="215" spans="2:20" ht="19.25" customHeight="1" outlineLevel="1">
      <c r="B215" s="520">
        <f t="shared" si="59"/>
        <v>45849</v>
      </c>
      <c r="C215" s="233">
        <f t="shared" si="56"/>
        <v>45849</v>
      </c>
      <c r="D215" s="234">
        <f>目標_2025R7!D212</f>
        <v>1</v>
      </c>
      <c r="E215" s="525">
        <f>IF(D215=1,'適正原価率表(仕入れお小遣い制度)'!$J$16,0)</f>
        <v>46387.555058538455</v>
      </c>
      <c r="F215" s="525">
        <f>IF(D215=1,SUM($E$205:E215),0)</f>
        <v>463875.55058538454</v>
      </c>
      <c r="G215" s="535">
        <v>0</v>
      </c>
      <c r="H215" s="525">
        <f>IF(D215=1,SUM($G$205:G215),0)</f>
        <v>427104</v>
      </c>
      <c r="I215" s="235">
        <f t="shared" si="60"/>
        <v>36771.550585384539</v>
      </c>
      <c r="J215" s="227"/>
      <c r="K215" s="520">
        <f t="shared" si="57"/>
        <v>45849</v>
      </c>
      <c r="L215" s="521">
        <f t="shared" si="58"/>
        <v>45849</v>
      </c>
      <c r="M215" s="524">
        <f t="shared" si="54"/>
        <v>1</v>
      </c>
      <c r="N215" s="525">
        <f>IF(M215=1,'適正原価率表(仕入れお小遣い制度)'!$J$17,0)</f>
        <v>8864.4369785182189</v>
      </c>
      <c r="O215" s="525">
        <f>IF(M215=1,SUM($N$205:N215),0)</f>
        <v>88644.369785182193</v>
      </c>
      <c r="P215" s="535">
        <v>0</v>
      </c>
      <c r="Q215" s="525">
        <f>IF(M215=1,SUM($P$205:P215),0)</f>
        <v>117031</v>
      </c>
      <c r="R215" s="235">
        <f t="shared" si="55"/>
        <v>-28386.630214817807</v>
      </c>
      <c r="T215" s="526">
        <f t="shared" si="61"/>
        <v>45849</v>
      </c>
    </row>
    <row r="216" spans="2:20" ht="19.25" customHeight="1" outlineLevel="1">
      <c r="B216" s="520">
        <f t="shared" si="59"/>
        <v>45850</v>
      </c>
      <c r="C216" s="233">
        <f t="shared" si="56"/>
        <v>45850</v>
      </c>
      <c r="D216" s="234">
        <f>目標_2025R7!D213</f>
        <v>1</v>
      </c>
      <c r="E216" s="525">
        <f>IF(D216=1,'適正原価率表(仕入れお小遣い制度)'!$J$16,0)</f>
        <v>46387.555058538455</v>
      </c>
      <c r="F216" s="525">
        <f>IF(D216=1,SUM($E$205:E216),0)</f>
        <v>510263.10564392299</v>
      </c>
      <c r="G216" s="535">
        <v>80829</v>
      </c>
      <c r="H216" s="525">
        <f>IF(D216=1,SUM($G$205:G216),0)</f>
        <v>507933</v>
      </c>
      <c r="I216" s="235">
        <f t="shared" si="60"/>
        <v>2330.1056439229869</v>
      </c>
      <c r="J216" s="227"/>
      <c r="K216" s="520">
        <f t="shared" si="57"/>
        <v>45850</v>
      </c>
      <c r="L216" s="521">
        <f t="shared" si="58"/>
        <v>45850</v>
      </c>
      <c r="M216" s="524">
        <f t="shared" si="54"/>
        <v>1</v>
      </c>
      <c r="N216" s="525">
        <f>IF(M216=1,'適正原価率表(仕入れお小遣い制度)'!$J$17,0)</f>
        <v>8864.4369785182189</v>
      </c>
      <c r="O216" s="525">
        <f>IF(M216=1,SUM($N$205:N216),0)</f>
        <v>97508.806763700413</v>
      </c>
      <c r="P216" s="535">
        <v>0</v>
      </c>
      <c r="Q216" s="525">
        <f>IF(M216=1,SUM($P$205:P216),0)</f>
        <v>117031</v>
      </c>
      <c r="R216" s="235">
        <f t="shared" si="55"/>
        <v>-19522.193236299587</v>
      </c>
      <c r="T216" s="526">
        <f t="shared" si="61"/>
        <v>45850</v>
      </c>
    </row>
    <row r="217" spans="2:20" ht="19.25" customHeight="1" outlineLevel="1">
      <c r="B217" s="520">
        <f t="shared" si="59"/>
        <v>45851</v>
      </c>
      <c r="C217" s="233">
        <f t="shared" si="56"/>
        <v>45851</v>
      </c>
      <c r="D217" s="234">
        <f>目標_2025R7!D214</f>
        <v>0</v>
      </c>
      <c r="E217" s="525">
        <f>IF(D217=1,'適正原価率表(仕入れお小遣い制度)'!$J$16,0)</f>
        <v>0</v>
      </c>
      <c r="F217" s="525">
        <f>IF(D217=1,SUM($E$205:E217),0)</f>
        <v>0</v>
      </c>
      <c r="G217" s="535">
        <v>95143</v>
      </c>
      <c r="H217" s="525">
        <f>IF(D217=1,SUM($G$205:G217),0)</f>
        <v>0</v>
      </c>
      <c r="I217" s="235">
        <f t="shared" si="60"/>
        <v>0</v>
      </c>
      <c r="J217" s="227"/>
      <c r="K217" s="520">
        <f t="shared" si="57"/>
        <v>45851</v>
      </c>
      <c r="L217" s="521">
        <f t="shared" si="58"/>
        <v>45851</v>
      </c>
      <c r="M217" s="524">
        <f t="shared" si="54"/>
        <v>0</v>
      </c>
      <c r="N217" s="525">
        <f>IF(M217=1,'適正原価率表(仕入れお小遣い制度)'!$J$17,0)</f>
        <v>0</v>
      </c>
      <c r="O217" s="525">
        <f>IF(M217=1,SUM($N$205:N217),0)</f>
        <v>0</v>
      </c>
      <c r="P217" s="535">
        <v>2561</v>
      </c>
      <c r="Q217" s="525">
        <f>IF(M217=1,SUM($P$205:P217),0)</f>
        <v>0</v>
      </c>
      <c r="R217" s="235">
        <f t="shared" si="55"/>
        <v>0</v>
      </c>
      <c r="T217" s="526">
        <f t="shared" si="61"/>
        <v>45851</v>
      </c>
    </row>
    <row r="218" spans="2:20" ht="19.25" customHeight="1" outlineLevel="1">
      <c r="B218" s="520">
        <f t="shared" si="59"/>
        <v>45852</v>
      </c>
      <c r="C218" s="233">
        <f t="shared" si="56"/>
        <v>45852</v>
      </c>
      <c r="D218" s="234">
        <f>目標_2025R7!D215</f>
        <v>1</v>
      </c>
      <c r="E218" s="525">
        <f>IF(D218=1,'適正原価率表(仕入れお小遣い制度)'!$J$16,0)</f>
        <v>46387.555058538455</v>
      </c>
      <c r="F218" s="525">
        <f>IF(D218=1,SUM($E$205:E218),0)</f>
        <v>556650.66070246149</v>
      </c>
      <c r="G218" s="535">
        <v>12553</v>
      </c>
      <c r="H218" s="525">
        <f>IF(D218=1,SUM($G$205:G218),0)</f>
        <v>615629</v>
      </c>
      <c r="I218" s="235">
        <f t="shared" si="60"/>
        <v>-58978.339297538507</v>
      </c>
      <c r="J218" s="227"/>
      <c r="K218" s="520">
        <f t="shared" si="57"/>
        <v>45852</v>
      </c>
      <c r="L218" s="521">
        <f t="shared" si="58"/>
        <v>45852</v>
      </c>
      <c r="M218" s="524">
        <f t="shared" si="54"/>
        <v>1</v>
      </c>
      <c r="N218" s="525">
        <f>IF(M218=1,'適正原価率表(仕入れお小遣い制度)'!$J$17,0)</f>
        <v>8864.4369785182189</v>
      </c>
      <c r="O218" s="525">
        <f>IF(M218=1,SUM($N$205:N218),0)</f>
        <v>106373.24374221863</v>
      </c>
      <c r="P218" s="535">
        <v>39824</v>
      </c>
      <c r="Q218" s="525">
        <f>IF(M218=1,SUM($P$205:P218),0)</f>
        <v>159416</v>
      </c>
      <c r="R218" s="235">
        <f t="shared" si="55"/>
        <v>-53042.756257781366</v>
      </c>
      <c r="T218" s="526">
        <f t="shared" si="61"/>
        <v>45852</v>
      </c>
    </row>
    <row r="219" spans="2:20" ht="19.25" customHeight="1" outlineLevel="1">
      <c r="B219" s="520">
        <f t="shared" si="59"/>
        <v>45853</v>
      </c>
      <c r="C219" s="233">
        <f t="shared" si="56"/>
        <v>45853</v>
      </c>
      <c r="D219" s="234">
        <f>目標_2025R7!D216</f>
        <v>1</v>
      </c>
      <c r="E219" s="525">
        <f>IF(D219=1,'適正原価率表(仕入れお小遣い制度)'!$J$16,0)</f>
        <v>46387.555058538455</v>
      </c>
      <c r="F219" s="525">
        <f>IF(D219=1,SUM($E$205:E219),0)</f>
        <v>603038.21576099994</v>
      </c>
      <c r="G219" s="535">
        <v>76632</v>
      </c>
      <c r="H219" s="525">
        <f>IF(D219=1,SUM($G$205:G219),0)</f>
        <v>692261</v>
      </c>
      <c r="I219" s="235">
        <f t="shared" si="60"/>
        <v>-89222.784239000059</v>
      </c>
      <c r="J219" s="227"/>
      <c r="K219" s="520">
        <f t="shared" si="57"/>
        <v>45853</v>
      </c>
      <c r="L219" s="521">
        <f t="shared" si="58"/>
        <v>45853</v>
      </c>
      <c r="M219" s="524">
        <f t="shared" si="54"/>
        <v>1</v>
      </c>
      <c r="N219" s="525">
        <f>IF(M219=1,'適正原価率表(仕入れお小遣い制度)'!$J$17,0)</f>
        <v>8864.4369785182189</v>
      </c>
      <c r="O219" s="525">
        <f>IF(M219=1,SUM($N$205:N219),0)</f>
        <v>115237.68072073685</v>
      </c>
      <c r="P219" s="535">
        <v>8740</v>
      </c>
      <c r="Q219" s="525">
        <f>IF(M219=1,SUM($P$205:P219),0)</f>
        <v>168156</v>
      </c>
      <c r="R219" s="235">
        <f t="shared" si="55"/>
        <v>-52918.319279263145</v>
      </c>
      <c r="T219" s="526">
        <f t="shared" si="61"/>
        <v>45853</v>
      </c>
    </row>
    <row r="220" spans="2:20" ht="19.25" customHeight="1" outlineLevel="1">
      <c r="B220" s="520">
        <f t="shared" si="59"/>
        <v>45854</v>
      </c>
      <c r="C220" s="233">
        <f t="shared" si="56"/>
        <v>45854</v>
      </c>
      <c r="D220" s="234">
        <f>目標_2025R7!D217</f>
        <v>1</v>
      </c>
      <c r="E220" s="525">
        <f>IF(D220=1,'適正原価率表(仕入れお小遣い制度)'!$J$16,0)</f>
        <v>46387.555058538455</v>
      </c>
      <c r="F220" s="525">
        <f>IF(D220=1,SUM($E$205:E220),0)</f>
        <v>649425.77081953839</v>
      </c>
      <c r="G220" s="535">
        <v>26575</v>
      </c>
      <c r="H220" s="525">
        <f>IF(D220=1,SUM($G$205:G220),0)</f>
        <v>718836</v>
      </c>
      <c r="I220" s="235">
        <f t="shared" si="60"/>
        <v>-69410.229180461611</v>
      </c>
      <c r="J220" s="227"/>
      <c r="K220" s="520">
        <f t="shared" si="57"/>
        <v>45854</v>
      </c>
      <c r="L220" s="521">
        <f t="shared" si="58"/>
        <v>45854</v>
      </c>
      <c r="M220" s="524">
        <f t="shared" si="54"/>
        <v>1</v>
      </c>
      <c r="N220" s="525">
        <f>IF(M220=1,'適正原価率表(仕入れお小遣い制度)'!$J$17,0)</f>
        <v>8864.4369785182189</v>
      </c>
      <c r="O220" s="525">
        <f>IF(M220=1,SUM($N$205:N220),0)</f>
        <v>124102.11769925508</v>
      </c>
      <c r="P220" s="535">
        <v>42242</v>
      </c>
      <c r="Q220" s="525">
        <f>IF(M220=1,SUM($P$205:P220),0)</f>
        <v>210398</v>
      </c>
      <c r="R220" s="235">
        <f t="shared" si="55"/>
        <v>-86295.882300744925</v>
      </c>
      <c r="T220" s="526">
        <f t="shared" si="61"/>
        <v>45854</v>
      </c>
    </row>
    <row r="221" spans="2:20" ht="19.25" customHeight="1" outlineLevel="1">
      <c r="B221" s="520">
        <f t="shared" si="59"/>
        <v>45855</v>
      </c>
      <c r="C221" s="233">
        <f t="shared" si="56"/>
        <v>45855</v>
      </c>
      <c r="D221" s="234">
        <f>目標_2025R7!D218</f>
        <v>1</v>
      </c>
      <c r="E221" s="525">
        <f>IF(D221=1,'適正原価率表(仕入れお小遣い制度)'!$J$16,0)</f>
        <v>46387.555058538455</v>
      </c>
      <c r="F221" s="525">
        <f>IF(D221=1,SUM($E$205:E221),0)</f>
        <v>695813.32587807684</v>
      </c>
      <c r="G221" s="535">
        <v>0</v>
      </c>
      <c r="H221" s="525">
        <f>IF(D221=1,SUM($G$205:G221),0)</f>
        <v>718836</v>
      </c>
      <c r="I221" s="235">
        <f t="shared" si="60"/>
        <v>-23022.674121923163</v>
      </c>
      <c r="J221" s="227"/>
      <c r="K221" s="520">
        <f t="shared" si="57"/>
        <v>45855</v>
      </c>
      <c r="L221" s="521">
        <f t="shared" si="58"/>
        <v>45855</v>
      </c>
      <c r="M221" s="524">
        <f t="shared" si="54"/>
        <v>1</v>
      </c>
      <c r="N221" s="525">
        <f>IF(M221=1,'適正原価率表(仕入れお小遣い制度)'!$J$17,0)</f>
        <v>8864.4369785182189</v>
      </c>
      <c r="O221" s="525">
        <f>IF(M221=1,SUM($N$205:N221),0)</f>
        <v>132966.5546777733</v>
      </c>
      <c r="P221" s="535">
        <v>0</v>
      </c>
      <c r="Q221" s="525">
        <f>IF(M221=1,SUM($P$205:P221),0)</f>
        <v>210398</v>
      </c>
      <c r="R221" s="235">
        <f t="shared" si="55"/>
        <v>-77431.445322226704</v>
      </c>
      <c r="T221" s="526">
        <f t="shared" si="61"/>
        <v>45855</v>
      </c>
    </row>
    <row r="222" spans="2:20" ht="19.25" customHeight="1" outlineLevel="1">
      <c r="B222" s="520">
        <f t="shared" si="59"/>
        <v>45856</v>
      </c>
      <c r="C222" s="233">
        <f t="shared" si="56"/>
        <v>45856</v>
      </c>
      <c r="D222" s="234">
        <f>目標_2025R7!D219</f>
        <v>1</v>
      </c>
      <c r="E222" s="525">
        <f>IF(D222=1,'適正原価率表(仕入れお小遣い制度)'!$J$16,0)</f>
        <v>46387.555058538455</v>
      </c>
      <c r="F222" s="525">
        <f>IF(D222=1,SUM($E$205:E222),0)</f>
        <v>742200.88093661529</v>
      </c>
      <c r="G222" s="535">
        <v>0</v>
      </c>
      <c r="H222" s="525">
        <f>IF(D222=1,SUM($G$205:G222),0)</f>
        <v>718836</v>
      </c>
      <c r="I222" s="235">
        <f t="shared" si="60"/>
        <v>23364.880936615285</v>
      </c>
      <c r="J222" s="227"/>
      <c r="K222" s="520">
        <f t="shared" si="57"/>
        <v>45856</v>
      </c>
      <c r="L222" s="521">
        <f t="shared" si="58"/>
        <v>45856</v>
      </c>
      <c r="M222" s="524">
        <f t="shared" si="54"/>
        <v>1</v>
      </c>
      <c r="N222" s="525">
        <f>IF(M222=1,'適正原価率表(仕入れお小遣い制度)'!$J$17,0)</f>
        <v>8864.4369785182189</v>
      </c>
      <c r="O222" s="525">
        <f>IF(M222=1,SUM($N$205:N222),0)</f>
        <v>141830.9916562915</v>
      </c>
      <c r="P222" s="535">
        <v>0</v>
      </c>
      <c r="Q222" s="525">
        <f>IF(M222=1,SUM($P$205:P222),0)</f>
        <v>210398</v>
      </c>
      <c r="R222" s="235">
        <f t="shared" si="55"/>
        <v>-68567.008343708498</v>
      </c>
      <c r="T222" s="526">
        <f t="shared" si="61"/>
        <v>45856</v>
      </c>
    </row>
    <row r="223" spans="2:20" ht="19.25" customHeight="1" outlineLevel="1">
      <c r="B223" s="520">
        <f t="shared" si="59"/>
        <v>45857</v>
      </c>
      <c r="C223" s="233">
        <f t="shared" si="56"/>
        <v>45857</v>
      </c>
      <c r="D223" s="234">
        <f>目標_2025R7!D220</f>
        <v>1</v>
      </c>
      <c r="E223" s="525">
        <f>IF(D223=1,'適正原価率表(仕入れお小遣い制度)'!$J$16,0)</f>
        <v>46387.555058538455</v>
      </c>
      <c r="F223" s="525">
        <f>IF(D223=1,SUM($E$205:E223),0)</f>
        <v>788588.43599515373</v>
      </c>
      <c r="G223" s="535">
        <v>0</v>
      </c>
      <c r="H223" s="525">
        <f>IF(D223=1,SUM($G$205:G223),0)</f>
        <v>718836</v>
      </c>
      <c r="I223" s="235">
        <f t="shared" si="60"/>
        <v>69752.435995153734</v>
      </c>
      <c r="J223" s="227"/>
      <c r="K223" s="520">
        <f t="shared" si="57"/>
        <v>45857</v>
      </c>
      <c r="L223" s="521">
        <f t="shared" si="58"/>
        <v>45857</v>
      </c>
      <c r="M223" s="524">
        <f t="shared" si="54"/>
        <v>1</v>
      </c>
      <c r="N223" s="525">
        <f>IF(M223=1,'適正原価率表(仕入れお小遣い制度)'!$J$17,0)</f>
        <v>8864.4369785182189</v>
      </c>
      <c r="O223" s="525">
        <f>IF(M223=1,SUM($N$205:N223),0)</f>
        <v>150695.42863480971</v>
      </c>
      <c r="P223" s="535">
        <v>0</v>
      </c>
      <c r="Q223" s="525">
        <f>IF(M223=1,SUM($P$205:P223),0)</f>
        <v>210398</v>
      </c>
      <c r="R223" s="235">
        <f t="shared" si="55"/>
        <v>-59702.571365190292</v>
      </c>
      <c r="T223" s="526">
        <f t="shared" si="61"/>
        <v>45857</v>
      </c>
    </row>
    <row r="224" spans="2:20" ht="19.25" customHeight="1" outlineLevel="1">
      <c r="B224" s="520">
        <f t="shared" si="59"/>
        <v>45858</v>
      </c>
      <c r="C224" s="233">
        <f t="shared" si="56"/>
        <v>45858</v>
      </c>
      <c r="D224" s="234">
        <f>目標_2025R7!D221</f>
        <v>0</v>
      </c>
      <c r="E224" s="525">
        <f>IF(D224=1,'適正原価率表(仕入れお小遣い制度)'!$J$16,0)</f>
        <v>0</v>
      </c>
      <c r="F224" s="525">
        <f>IF(D224=1,SUM($E$205:E224),0)</f>
        <v>0</v>
      </c>
      <c r="G224" s="535">
        <v>70357</v>
      </c>
      <c r="H224" s="525">
        <f>IF(D224=1,SUM($G$205:G224),0)</f>
        <v>0</v>
      </c>
      <c r="I224" s="235">
        <f t="shared" si="60"/>
        <v>0</v>
      </c>
      <c r="J224" s="227"/>
      <c r="K224" s="520">
        <f t="shared" si="57"/>
        <v>45858</v>
      </c>
      <c r="L224" s="521">
        <f t="shared" si="58"/>
        <v>45858</v>
      </c>
      <c r="M224" s="524">
        <f t="shared" si="54"/>
        <v>0</v>
      </c>
      <c r="N224" s="525">
        <f>IF(M224=1,'適正原価率表(仕入れお小遣い制度)'!$J$17,0)</f>
        <v>0</v>
      </c>
      <c r="O224" s="525">
        <f>IF(M224=1,SUM($N$205:N224),0)</f>
        <v>0</v>
      </c>
      <c r="P224" s="535">
        <v>24052</v>
      </c>
      <c r="Q224" s="525">
        <f>IF(M224=1,SUM($P$205:P224),0)</f>
        <v>0</v>
      </c>
      <c r="R224" s="235">
        <f t="shared" si="55"/>
        <v>0</v>
      </c>
      <c r="T224" s="526">
        <f t="shared" si="61"/>
        <v>45858</v>
      </c>
    </row>
    <row r="225" spans="2:20" ht="19.25" customHeight="1" outlineLevel="1">
      <c r="B225" s="520">
        <f t="shared" si="59"/>
        <v>45859</v>
      </c>
      <c r="C225" s="233">
        <f t="shared" si="56"/>
        <v>45859</v>
      </c>
      <c r="D225" s="234">
        <f>目標_2025R7!D222</f>
        <v>0</v>
      </c>
      <c r="E225" s="525">
        <f>IF(D225=1,'適正原価率表(仕入れお小遣い制度)'!$J$16,0)</f>
        <v>0</v>
      </c>
      <c r="F225" s="525">
        <f>IF(D225=1,SUM($E$205:E225),0)</f>
        <v>0</v>
      </c>
      <c r="G225" s="535">
        <v>73143</v>
      </c>
      <c r="H225" s="525">
        <f>IF(D225=1,SUM($G$205:G225),0)</f>
        <v>0</v>
      </c>
      <c r="I225" s="235">
        <f t="shared" si="60"/>
        <v>0</v>
      </c>
      <c r="J225" s="227"/>
      <c r="K225" s="520">
        <f t="shared" si="57"/>
        <v>45859</v>
      </c>
      <c r="L225" s="521">
        <f t="shared" si="58"/>
        <v>45859</v>
      </c>
      <c r="M225" s="524">
        <f t="shared" si="54"/>
        <v>0</v>
      </c>
      <c r="N225" s="525">
        <f>IF(M225=1,'適正原価率表(仕入れお小遣い制度)'!$J$17,0)</f>
        <v>0</v>
      </c>
      <c r="O225" s="525">
        <f>IF(M225=1,SUM($N$205:N225),0)</f>
        <v>0</v>
      </c>
      <c r="P225" s="535">
        <v>28226</v>
      </c>
      <c r="Q225" s="525">
        <f>IF(M225=1,SUM($P$205:P225),0)</f>
        <v>0</v>
      </c>
      <c r="R225" s="235">
        <f t="shared" si="55"/>
        <v>0</v>
      </c>
      <c r="T225" s="526">
        <f t="shared" si="61"/>
        <v>45859</v>
      </c>
    </row>
    <row r="226" spans="2:20" ht="19.25" customHeight="1" outlineLevel="1">
      <c r="B226" s="520">
        <f t="shared" si="59"/>
        <v>45860</v>
      </c>
      <c r="C226" s="233">
        <f t="shared" si="56"/>
        <v>45860</v>
      </c>
      <c r="D226" s="234">
        <f>目標_2025R7!D223</f>
        <v>1</v>
      </c>
      <c r="E226" s="525">
        <f>IF(D226=1,'適正原価率表(仕入れお小遣い制度)'!$J$16,0)</f>
        <v>46387.555058538455</v>
      </c>
      <c r="F226" s="525">
        <f>IF(D226=1,SUM($E$205:E226),0)</f>
        <v>834975.99105369218</v>
      </c>
      <c r="G226" s="535">
        <v>43721</v>
      </c>
      <c r="H226" s="525">
        <f>IF(D226=1,SUM($G$205:G226),0)</f>
        <v>906057</v>
      </c>
      <c r="I226" s="235">
        <f t="shared" si="60"/>
        <v>-71081.008946307818</v>
      </c>
      <c r="J226" s="227"/>
      <c r="K226" s="520">
        <f t="shared" si="57"/>
        <v>45860</v>
      </c>
      <c r="L226" s="521">
        <f t="shared" si="58"/>
        <v>45860</v>
      </c>
      <c r="M226" s="524">
        <f t="shared" si="54"/>
        <v>1</v>
      </c>
      <c r="N226" s="525">
        <f>IF(M226=1,'適正原価率表(仕入れお小遣い制度)'!$J$17,0)</f>
        <v>8864.4369785182189</v>
      </c>
      <c r="O226" s="525">
        <f>IF(M226=1,SUM($N$205:N226),0)</f>
        <v>159559.86561332791</v>
      </c>
      <c r="P226" s="535">
        <v>13155</v>
      </c>
      <c r="Q226" s="525">
        <f>IF(M226=1,SUM($P$205:P226),0)</f>
        <v>275831</v>
      </c>
      <c r="R226" s="235">
        <f t="shared" si="55"/>
        <v>-116271.13438667209</v>
      </c>
      <c r="T226" s="526">
        <f t="shared" si="61"/>
        <v>45860</v>
      </c>
    </row>
    <row r="227" spans="2:20" ht="19.25" customHeight="1" outlineLevel="1">
      <c r="B227" s="520">
        <f t="shared" si="59"/>
        <v>45861</v>
      </c>
      <c r="C227" s="233">
        <f t="shared" si="56"/>
        <v>45861</v>
      </c>
      <c r="D227" s="234">
        <f>目標_2025R7!D224</f>
        <v>1</v>
      </c>
      <c r="E227" s="525">
        <f>IF(D227=1,'適正原価率表(仕入れお小遣い制度)'!$J$16,0)</f>
        <v>46387.555058538455</v>
      </c>
      <c r="F227" s="525">
        <f>IF(D227=1,SUM($E$205:E227),0)</f>
        <v>881363.54611223063</v>
      </c>
      <c r="G227" s="535">
        <v>82761</v>
      </c>
      <c r="H227" s="525">
        <f>IF(D227=1,SUM($G$205:G227),0)</f>
        <v>988818</v>
      </c>
      <c r="I227" s="235">
        <f t="shared" si="60"/>
        <v>-107454.45388776937</v>
      </c>
      <c r="J227" s="227"/>
      <c r="K227" s="520">
        <f t="shared" si="57"/>
        <v>45861</v>
      </c>
      <c r="L227" s="521">
        <f t="shared" si="58"/>
        <v>45861</v>
      </c>
      <c r="M227" s="524">
        <f t="shared" si="54"/>
        <v>1</v>
      </c>
      <c r="N227" s="525">
        <f>IF(M227=1,'適正原価率表(仕入れお小遣い制度)'!$J$17,0)</f>
        <v>8864.4369785182189</v>
      </c>
      <c r="O227" s="525">
        <f>IF(M227=1,SUM($N$205:N227),0)</f>
        <v>168424.30259184612</v>
      </c>
      <c r="P227" s="535">
        <v>0</v>
      </c>
      <c r="Q227" s="525">
        <f>IF(M227=1,SUM($P$205:P227),0)</f>
        <v>275831</v>
      </c>
      <c r="R227" s="235">
        <f t="shared" si="55"/>
        <v>-107406.69740815388</v>
      </c>
      <c r="T227" s="526">
        <f t="shared" si="61"/>
        <v>45861</v>
      </c>
    </row>
    <row r="228" spans="2:20" ht="19.25" customHeight="1" outlineLevel="1">
      <c r="B228" s="520">
        <f t="shared" si="59"/>
        <v>45862</v>
      </c>
      <c r="C228" s="233">
        <f t="shared" si="56"/>
        <v>45862</v>
      </c>
      <c r="D228" s="234">
        <f>目標_2025R7!D225</f>
        <v>1</v>
      </c>
      <c r="E228" s="525">
        <f>IF(D228=1,'適正原価率表(仕入れお小遣い制度)'!$J$16,0)</f>
        <v>46387.555058538455</v>
      </c>
      <c r="F228" s="525">
        <f>IF(D228=1,SUM($E$205:E228),0)</f>
        <v>927751.10117076908</v>
      </c>
      <c r="G228" s="535">
        <v>18060</v>
      </c>
      <c r="H228" s="525">
        <f>IF(D228=1,SUM($G$205:G228),0)</f>
        <v>1006878</v>
      </c>
      <c r="I228" s="235">
        <f t="shared" si="60"/>
        <v>-79126.898829230922</v>
      </c>
      <c r="J228" s="227"/>
      <c r="K228" s="520">
        <f t="shared" si="57"/>
        <v>45862</v>
      </c>
      <c r="L228" s="521">
        <f t="shared" si="58"/>
        <v>45862</v>
      </c>
      <c r="M228" s="524">
        <f t="shared" si="54"/>
        <v>1</v>
      </c>
      <c r="N228" s="525">
        <f>IF(M228=1,'適正原価率表(仕入れお小遣い制度)'!$J$17,0)</f>
        <v>8864.4369785182189</v>
      </c>
      <c r="O228" s="525">
        <f>IF(M228=1,SUM($N$205:N228),0)</f>
        <v>177288.73957036433</v>
      </c>
      <c r="P228" s="535">
        <v>0</v>
      </c>
      <c r="Q228" s="525">
        <f>IF(M228=1,SUM($P$205:P228),0)</f>
        <v>275831</v>
      </c>
      <c r="R228" s="235">
        <f t="shared" si="55"/>
        <v>-98542.260429635673</v>
      </c>
      <c r="T228" s="526">
        <f t="shared" si="61"/>
        <v>45862</v>
      </c>
    </row>
    <row r="229" spans="2:20" ht="19.25" customHeight="1" outlineLevel="1">
      <c r="B229" s="520">
        <f t="shared" si="59"/>
        <v>45863</v>
      </c>
      <c r="C229" s="233">
        <f t="shared" si="56"/>
        <v>45863</v>
      </c>
      <c r="D229" s="234">
        <f>目標_2025R7!D226</f>
        <v>1</v>
      </c>
      <c r="E229" s="525">
        <f>IF(D229=1,'適正原価率表(仕入れお小遣い制度)'!$J$16,0)</f>
        <v>46387.555058538455</v>
      </c>
      <c r="F229" s="525">
        <f>IF(D229=1,SUM($E$205:E229),0)</f>
        <v>974138.65622930753</v>
      </c>
      <c r="G229" s="535">
        <v>0</v>
      </c>
      <c r="H229" s="525">
        <f>IF(D229=1,SUM($G$205:G229),0)</f>
        <v>1006878</v>
      </c>
      <c r="I229" s="235">
        <f t="shared" si="60"/>
        <v>-32739.343770692474</v>
      </c>
      <c r="J229" s="227"/>
      <c r="K229" s="520">
        <f t="shared" si="57"/>
        <v>45863</v>
      </c>
      <c r="L229" s="521">
        <f t="shared" si="58"/>
        <v>45863</v>
      </c>
      <c r="M229" s="524">
        <f t="shared" si="54"/>
        <v>1</v>
      </c>
      <c r="N229" s="525">
        <f>IF(M229=1,'適正原価率表(仕入れお小遣い制度)'!$J$17,0)</f>
        <v>8864.4369785182189</v>
      </c>
      <c r="O229" s="525">
        <f>IF(M229=1,SUM($N$205:N229),0)</f>
        <v>186153.17654888253</v>
      </c>
      <c r="P229" s="535">
        <v>0</v>
      </c>
      <c r="Q229" s="525">
        <f>IF(M229=1,SUM($P$205:P229),0)</f>
        <v>275831</v>
      </c>
      <c r="R229" s="235">
        <f t="shared" si="55"/>
        <v>-89677.823451117467</v>
      </c>
      <c r="T229" s="526">
        <f t="shared" si="61"/>
        <v>45863</v>
      </c>
    </row>
    <row r="230" spans="2:20" ht="19.25" customHeight="1" outlineLevel="1">
      <c r="B230" s="520">
        <f t="shared" si="59"/>
        <v>45864</v>
      </c>
      <c r="C230" s="233">
        <f>B230</f>
        <v>45864</v>
      </c>
      <c r="D230" s="234">
        <f>目標_2025R7!D227</f>
        <v>1</v>
      </c>
      <c r="E230" s="525">
        <f>IF(D230=1,'適正原価率表(仕入れお小遣い制度)'!$J$16,0)</f>
        <v>46387.555058538455</v>
      </c>
      <c r="F230" s="525">
        <f>IF(D230=1,SUM($E$205:E230),0)</f>
        <v>1020526.211287846</v>
      </c>
      <c r="G230" s="535">
        <v>16079</v>
      </c>
      <c r="H230" s="525">
        <f>IF(D230=1,SUM($G$205:G230),0)</f>
        <v>1022957</v>
      </c>
      <c r="I230" s="235">
        <f t="shared" si="60"/>
        <v>-2430.7887121540261</v>
      </c>
      <c r="J230" s="227"/>
      <c r="K230" s="520">
        <f t="shared" ref="K230:L235" si="62">B230</f>
        <v>45864</v>
      </c>
      <c r="L230" s="521">
        <f t="shared" si="62"/>
        <v>45864</v>
      </c>
      <c r="M230" s="524">
        <f t="shared" si="54"/>
        <v>1</v>
      </c>
      <c r="N230" s="525">
        <f>IF(M230=1,'適正原価率表(仕入れお小遣い制度)'!$J$17,0)</f>
        <v>8864.4369785182189</v>
      </c>
      <c r="O230" s="525">
        <f>IF(M230=1,SUM($N$205:N230),0)</f>
        <v>195017.61352740074</v>
      </c>
      <c r="P230" s="535">
        <v>8484</v>
      </c>
      <c r="Q230" s="525">
        <f>IF(M230=1,SUM($P$205:P230),0)</f>
        <v>284315</v>
      </c>
      <c r="R230" s="235">
        <f t="shared" si="55"/>
        <v>-89297.386472599261</v>
      </c>
      <c r="T230" s="526">
        <f t="shared" si="61"/>
        <v>45864</v>
      </c>
    </row>
    <row r="231" spans="2:20" ht="19.25" customHeight="1" outlineLevel="1">
      <c r="B231" s="520">
        <f t="shared" si="59"/>
        <v>45865</v>
      </c>
      <c r="C231" s="233">
        <f t="shared" si="56"/>
        <v>45865</v>
      </c>
      <c r="D231" s="234">
        <f>目標_2025R7!D228</f>
        <v>0</v>
      </c>
      <c r="E231" s="525">
        <f>IF(D231=1,'適正原価率表(仕入れお小遣い制度)'!$J$16,0)</f>
        <v>0</v>
      </c>
      <c r="F231" s="525">
        <f>IF(D231=1,SUM($E$205:E231),0)</f>
        <v>0</v>
      </c>
      <c r="G231" s="535">
        <v>19112</v>
      </c>
      <c r="H231" s="525">
        <f>IF(D231=1,SUM($G$205:G231),0)</f>
        <v>0</v>
      </c>
      <c r="I231" s="235">
        <f t="shared" si="60"/>
        <v>0</v>
      </c>
      <c r="J231" s="227"/>
      <c r="K231" s="520">
        <f t="shared" si="62"/>
        <v>45865</v>
      </c>
      <c r="L231" s="521">
        <f t="shared" si="62"/>
        <v>45865</v>
      </c>
      <c r="M231" s="524">
        <f t="shared" si="54"/>
        <v>0</v>
      </c>
      <c r="N231" s="525">
        <f>IF(M231=1,'適正原価率表(仕入れお小遣い制度)'!$J$17,0)</f>
        <v>0</v>
      </c>
      <c r="O231" s="525">
        <f>IF(M231=1,SUM($N$205:N231),0)</f>
        <v>0</v>
      </c>
      <c r="P231" s="535">
        <v>5053</v>
      </c>
      <c r="Q231" s="525">
        <f>IF(M231=1,SUM($P$205:P231),0)</f>
        <v>0</v>
      </c>
      <c r="R231" s="235">
        <f t="shared" si="55"/>
        <v>0</v>
      </c>
      <c r="T231" s="526">
        <f t="shared" si="61"/>
        <v>45865</v>
      </c>
    </row>
    <row r="232" spans="2:20" ht="19.25" customHeight="1" outlineLevel="1">
      <c r="B232" s="520">
        <f t="shared" si="59"/>
        <v>45866</v>
      </c>
      <c r="C232" s="233">
        <f t="shared" si="56"/>
        <v>45866</v>
      </c>
      <c r="D232" s="234">
        <f>目標_2025R7!D229</f>
        <v>1</v>
      </c>
      <c r="E232" s="525">
        <f>IF(D232=1,'適正原価率表(仕入れお小遣い制度)'!$J$16,0)</f>
        <v>46387.555058538455</v>
      </c>
      <c r="F232" s="525">
        <f>IF(D232=1,SUM($E$205:E232),0)</f>
        <v>1066913.7663463845</v>
      </c>
      <c r="G232" s="535">
        <v>15325</v>
      </c>
      <c r="H232" s="525">
        <f>IF(D232=1,SUM($G$205:G232),0)</f>
        <v>1057394</v>
      </c>
      <c r="I232" s="235">
        <f t="shared" si="60"/>
        <v>9519.7663463845383</v>
      </c>
      <c r="J232" s="227"/>
      <c r="K232" s="520">
        <f t="shared" si="62"/>
        <v>45866</v>
      </c>
      <c r="L232" s="521">
        <f t="shared" si="62"/>
        <v>45866</v>
      </c>
      <c r="M232" s="524">
        <f t="shared" si="54"/>
        <v>1</v>
      </c>
      <c r="N232" s="525">
        <f>IF(M232=1,'適正原価率表(仕入れお小遣い制度)'!$J$17,0)</f>
        <v>8864.4369785182189</v>
      </c>
      <c r="O232" s="525">
        <f>IF(M232=1,SUM($N$205:N232),0)</f>
        <v>203882.05050591895</v>
      </c>
      <c r="P232" s="535">
        <v>557</v>
      </c>
      <c r="Q232" s="525">
        <f>IF(M232=1,SUM($P$205:P232),0)</f>
        <v>289925</v>
      </c>
      <c r="R232" s="235">
        <f t="shared" si="55"/>
        <v>-86042.949494081055</v>
      </c>
      <c r="T232" s="526">
        <f t="shared" si="61"/>
        <v>45866</v>
      </c>
    </row>
    <row r="233" spans="2:20" ht="19.25" customHeight="1" outlineLevel="1">
      <c r="B233" s="520">
        <f t="shared" si="59"/>
        <v>45867</v>
      </c>
      <c r="C233" s="233">
        <f t="shared" si="56"/>
        <v>45867</v>
      </c>
      <c r="D233" s="234">
        <f>目標_2025R7!D230</f>
        <v>1</v>
      </c>
      <c r="E233" s="525">
        <f>IF(D233=1,'適正原価率表(仕入れお小遣い制度)'!$J$16,0)</f>
        <v>46387.555058538455</v>
      </c>
      <c r="F233" s="525">
        <f>IF(D233=1,SUM($E$205:E233),0)</f>
        <v>1113301.321404923</v>
      </c>
      <c r="G233" s="535">
        <v>10022</v>
      </c>
      <c r="H233" s="525">
        <f>IF(D233=1,SUM($G$205:G233),0)</f>
        <v>1067416</v>
      </c>
      <c r="I233" s="235">
        <f t="shared" si="60"/>
        <v>45885.321404922986</v>
      </c>
      <c r="J233" s="227"/>
      <c r="K233" s="520">
        <f t="shared" si="62"/>
        <v>45867</v>
      </c>
      <c r="L233" s="521">
        <f t="shared" si="62"/>
        <v>45867</v>
      </c>
      <c r="M233" s="524">
        <f t="shared" si="54"/>
        <v>1</v>
      </c>
      <c r="N233" s="525">
        <f>IF(M233=1,'適正原価率表(仕入れお小遣い制度)'!$J$17,0)</f>
        <v>8864.4369785182189</v>
      </c>
      <c r="O233" s="525">
        <f>IF(M233=1,SUM($N$205:N233),0)</f>
        <v>212746.48748443715</v>
      </c>
      <c r="P233" s="535">
        <v>0</v>
      </c>
      <c r="Q233" s="525">
        <f>IF(M233=1,SUM($P$205:P233),0)</f>
        <v>289925</v>
      </c>
      <c r="R233" s="235">
        <f t="shared" si="55"/>
        <v>-77178.512515562848</v>
      </c>
      <c r="T233" s="526">
        <f t="shared" si="61"/>
        <v>45867</v>
      </c>
    </row>
    <row r="234" spans="2:20" ht="19.25" customHeight="1" outlineLevel="1">
      <c r="B234" s="520">
        <f t="shared" si="59"/>
        <v>45868</v>
      </c>
      <c r="C234" s="233">
        <f t="shared" si="56"/>
        <v>45868</v>
      </c>
      <c r="D234" s="234">
        <f>目標_2025R7!D231</f>
        <v>1</v>
      </c>
      <c r="E234" s="525">
        <f>IF(D234=1,'適正原価率表(仕入れお小遣い制度)'!$J$16,0)</f>
        <v>46387.555058538455</v>
      </c>
      <c r="F234" s="525">
        <f>IF(D234=1,SUM($E$205:E234),0)</f>
        <v>1159688.8764634614</v>
      </c>
      <c r="G234" s="535"/>
      <c r="H234" s="525">
        <f>IF(D234=1,SUM($G$205:G234),0)</f>
        <v>1067416</v>
      </c>
      <c r="I234" s="235">
        <f t="shared" si="60"/>
        <v>92272.876463461434</v>
      </c>
      <c r="J234" s="227"/>
      <c r="K234" s="520">
        <f t="shared" si="62"/>
        <v>45868</v>
      </c>
      <c r="L234" s="521">
        <f t="shared" si="62"/>
        <v>45868</v>
      </c>
      <c r="M234" s="524">
        <f t="shared" si="54"/>
        <v>1</v>
      </c>
      <c r="N234" s="525">
        <f>IF(M234=1,'適正原価率表(仕入れお小遣い制度)'!$J$17,0)</f>
        <v>8864.4369785182189</v>
      </c>
      <c r="O234" s="525">
        <f>IF(M234=1,SUM($N$205:N234),0)</f>
        <v>221610.92446295536</v>
      </c>
      <c r="P234" s="535"/>
      <c r="Q234" s="525">
        <f>IF(M234=1,SUM($P$205:P234),0)</f>
        <v>289925</v>
      </c>
      <c r="R234" s="235">
        <f t="shared" si="55"/>
        <v>-68314.075537044642</v>
      </c>
      <c r="T234" s="526">
        <f t="shared" si="61"/>
        <v>45868</v>
      </c>
    </row>
    <row r="235" spans="2:20" ht="19.25" customHeight="1" outlineLevel="1">
      <c r="B235" s="520">
        <f t="shared" si="59"/>
        <v>45869</v>
      </c>
      <c r="C235" s="233">
        <f t="shared" si="56"/>
        <v>45869</v>
      </c>
      <c r="D235" s="234">
        <f>目標_2025R7!D232</f>
        <v>1</v>
      </c>
      <c r="E235" s="525">
        <f>IF(D235=1,'適正原価率表(仕入れお小遣い制度)'!$J$16,0)</f>
        <v>46387.555058538455</v>
      </c>
      <c r="F235" s="525">
        <f>IF(D235=1,SUM($E$205:E235),0)</f>
        <v>1206076.4315219999</v>
      </c>
      <c r="G235" s="535"/>
      <c r="H235" s="525">
        <f>IF(D235=1,SUM($G$205:G235),0)</f>
        <v>1067416</v>
      </c>
      <c r="I235" s="235">
        <f t="shared" si="60"/>
        <v>138660.43152199988</v>
      </c>
      <c r="J235" s="227"/>
      <c r="K235" s="520">
        <f t="shared" si="62"/>
        <v>45869</v>
      </c>
      <c r="L235" s="521">
        <f t="shared" si="62"/>
        <v>45869</v>
      </c>
      <c r="M235" s="524">
        <f t="shared" si="54"/>
        <v>1</v>
      </c>
      <c r="N235" s="525">
        <f>IF(M235=1,'適正原価率表(仕入れお小遣い制度)'!$J$17,0)</f>
        <v>8864.4369785182189</v>
      </c>
      <c r="O235" s="525">
        <f>IF(M235=1,SUM($N$205:N235),0)</f>
        <v>230475.36144147356</v>
      </c>
      <c r="P235" s="535"/>
      <c r="Q235" s="525">
        <f>IF(M235=1,SUM($P$205:P235),0)</f>
        <v>289925</v>
      </c>
      <c r="R235" s="235">
        <f t="shared" si="55"/>
        <v>-59449.638558526436</v>
      </c>
      <c r="T235" s="526">
        <f t="shared" si="61"/>
        <v>45869</v>
      </c>
    </row>
    <row r="236" spans="2:20" ht="19.25" customHeight="1" outlineLevel="1">
      <c r="B236" s="860" t="s">
        <v>211</v>
      </c>
      <c r="C236" s="861"/>
      <c r="D236" s="862"/>
      <c r="E236" s="528">
        <f>SUM(E205:E235)</f>
        <v>1206076.4315219999</v>
      </c>
      <c r="F236" s="514"/>
      <c r="G236" s="515"/>
      <c r="H236" s="515"/>
      <c r="I236" s="515"/>
      <c r="J236" s="227"/>
      <c r="K236" s="860" t="s">
        <v>211</v>
      </c>
      <c r="L236" s="861"/>
      <c r="M236" s="862"/>
      <c r="N236" s="528">
        <f>SUM(N205:N235)</f>
        <v>230475.36144147356</v>
      </c>
      <c r="O236" s="514"/>
      <c r="P236" s="515"/>
      <c r="Q236" s="515"/>
      <c r="R236" s="515"/>
    </row>
    <row r="237" spans="2:20">
      <c r="G237" s="219">
        <v>37441</v>
      </c>
      <c r="P237" s="219">
        <v>44986</v>
      </c>
    </row>
    <row r="238" spans="2:20" s="231" customFormat="1">
      <c r="B238" s="863" t="s">
        <v>253</v>
      </c>
      <c r="C238" s="864"/>
      <c r="D238" s="865"/>
      <c r="E238" s="228" t="s">
        <v>129</v>
      </c>
      <c r="F238" s="229" t="s">
        <v>130</v>
      </c>
      <c r="G238" s="229">
        <v>20955</v>
      </c>
      <c r="H238" s="229" t="s">
        <v>132</v>
      </c>
      <c r="I238" s="229" t="s">
        <v>133</v>
      </c>
      <c r="J238" s="230"/>
      <c r="K238" s="866" t="str">
        <f>B238</f>
        <v>8月</v>
      </c>
      <c r="L238" s="866"/>
      <c r="M238" s="866"/>
      <c r="N238" s="228" t="s">
        <v>134</v>
      </c>
      <c r="O238" s="229" t="s">
        <v>135</v>
      </c>
      <c r="P238" s="229">
        <v>0</v>
      </c>
      <c r="Q238" s="229" t="s">
        <v>137</v>
      </c>
      <c r="R238" s="229" t="s">
        <v>133</v>
      </c>
    </row>
    <row r="239" spans="2:20" ht="19.25" customHeight="1" outlineLevel="1">
      <c r="B239" s="520">
        <f>B235+1</f>
        <v>45870</v>
      </c>
      <c r="C239" s="233">
        <f>B239</f>
        <v>45870</v>
      </c>
      <c r="D239" s="234">
        <f>目標_2025R7!D233</f>
        <v>1</v>
      </c>
      <c r="E239" s="525">
        <f>IF(D239=1,'適正原価率表(仕入れお小遣い制度)'!$J$18,0)</f>
        <v>25358.826245387772</v>
      </c>
      <c r="F239" s="525">
        <f>IF(D239=1,E239,0)</f>
        <v>25358.826245387772</v>
      </c>
      <c r="G239" s="535">
        <v>0</v>
      </c>
      <c r="H239" s="525">
        <f>IF(D239=1,G239,0)</f>
        <v>0</v>
      </c>
      <c r="I239" s="235">
        <f>IF(D239=1,F239-H239,0)</f>
        <v>25358.826245387772</v>
      </c>
      <c r="J239" s="227"/>
      <c r="K239" s="520">
        <f>B239</f>
        <v>45870</v>
      </c>
      <c r="L239" s="521">
        <f>C239</f>
        <v>45870</v>
      </c>
      <c r="M239" s="524">
        <f t="shared" ref="M239:M269" si="63">D239</f>
        <v>1</v>
      </c>
      <c r="N239" s="525">
        <f>IF(M239=1,'適正原価率表(仕入れお小遣い制度)'!$J$19,0)</f>
        <v>5199.3789943028914</v>
      </c>
      <c r="O239" s="525">
        <f>IF(M239=1,N239,0)</f>
        <v>5199.3789943028914</v>
      </c>
      <c r="P239" s="535">
        <v>0</v>
      </c>
      <c r="Q239" s="525">
        <f>IF(M239=1,P239,0)</f>
        <v>0</v>
      </c>
      <c r="R239" s="235">
        <f t="shared" ref="R239:R269" si="64">IF(D239=1,O239-Q239,0)</f>
        <v>5199.3789943028914</v>
      </c>
      <c r="T239" s="526">
        <f>T235+1</f>
        <v>45870</v>
      </c>
    </row>
    <row r="240" spans="2:20" ht="19.25" customHeight="1" outlineLevel="1">
      <c r="B240" s="520">
        <f>B239+1</f>
        <v>45871</v>
      </c>
      <c r="C240" s="233">
        <f t="shared" ref="C240:C269" si="65">B240</f>
        <v>45871</v>
      </c>
      <c r="D240" s="234">
        <f>目標_2025R7!D234</f>
        <v>1</v>
      </c>
      <c r="E240" s="525">
        <f>IF(D240=1,'適正原価率表(仕入れお小遣い制度)'!$J$18,0)</f>
        <v>25358.826245387772</v>
      </c>
      <c r="F240" s="525">
        <f>IF(D240=1,SUM($E$239:E240),0)</f>
        <v>50717.652490775545</v>
      </c>
      <c r="G240" s="535">
        <v>33525</v>
      </c>
      <c r="H240" s="525">
        <f>IF(D240=1,SUM($G$239:G240),0)</f>
        <v>33525</v>
      </c>
      <c r="I240" s="235">
        <f>IF(D240=1,F240-H240,0)</f>
        <v>17192.652490775545</v>
      </c>
      <c r="J240" s="227"/>
      <c r="K240" s="520">
        <f t="shared" ref="K240:K263" si="66">B240</f>
        <v>45871</v>
      </c>
      <c r="L240" s="521">
        <f t="shared" ref="L240:L263" si="67">C240</f>
        <v>45871</v>
      </c>
      <c r="M240" s="524">
        <f t="shared" si="63"/>
        <v>1</v>
      </c>
      <c r="N240" s="525">
        <f>IF(M240=1,'適正原価率表(仕入れお小遣い制度)'!$J$19,0)</f>
        <v>5199.3789943028914</v>
      </c>
      <c r="O240" s="525">
        <f>IF(M240=1,SUM($N$239:N240),0)</f>
        <v>10398.757988605783</v>
      </c>
      <c r="P240" s="535">
        <v>31336</v>
      </c>
      <c r="Q240" s="525">
        <f>IF(M240=1,SUM($P$239:P240),0)</f>
        <v>31336</v>
      </c>
      <c r="R240" s="235">
        <f t="shared" si="64"/>
        <v>-20937.242011394217</v>
      </c>
      <c r="T240" s="526">
        <f>T239+1</f>
        <v>45871</v>
      </c>
    </row>
    <row r="241" spans="2:20" ht="19.25" customHeight="1" outlineLevel="1">
      <c r="B241" s="520">
        <f t="shared" ref="B241:B269" si="68">B240+1</f>
        <v>45872</v>
      </c>
      <c r="C241" s="233">
        <f t="shared" si="65"/>
        <v>45872</v>
      </c>
      <c r="D241" s="234">
        <f>目標_2025R7!D235</f>
        <v>0</v>
      </c>
      <c r="E241" s="525">
        <f>IF(D241=1,'適正原価率表(仕入れお小遣い制度)'!$J$18,0)</f>
        <v>0</v>
      </c>
      <c r="F241" s="525">
        <f>IF(D241=1,SUM($E$239:E241),0)</f>
        <v>0</v>
      </c>
      <c r="G241" s="535">
        <v>48347</v>
      </c>
      <c r="H241" s="525">
        <f>IF(D241=1,SUM($G$239:G241),0)</f>
        <v>0</v>
      </c>
      <c r="I241" s="235">
        <f t="shared" ref="I241:I269" si="69">IF(D241=1,F241-H241,0)</f>
        <v>0</v>
      </c>
      <c r="J241" s="227"/>
      <c r="K241" s="520">
        <f t="shared" si="66"/>
        <v>45872</v>
      </c>
      <c r="L241" s="521">
        <f t="shared" si="67"/>
        <v>45872</v>
      </c>
      <c r="M241" s="524">
        <f t="shared" si="63"/>
        <v>0</v>
      </c>
      <c r="N241" s="525">
        <f>IF(M241=1,'適正原価率表(仕入れお小遣い制度)'!$J$19,0)</f>
        <v>0</v>
      </c>
      <c r="O241" s="525">
        <f>IF(M241=1,SUM($N$239:N241),0)</f>
        <v>0</v>
      </c>
      <c r="P241" s="535">
        <v>0</v>
      </c>
      <c r="Q241" s="525">
        <f>IF(M241=1,SUM($P$239:P241),0)</f>
        <v>0</v>
      </c>
      <c r="R241" s="235">
        <f t="shared" si="64"/>
        <v>0</v>
      </c>
      <c r="T241" s="526">
        <f t="shared" ref="T241:T269" si="70">T240+1</f>
        <v>45872</v>
      </c>
    </row>
    <row r="242" spans="2:20" ht="19.25" customHeight="1" outlineLevel="1">
      <c r="B242" s="520">
        <f t="shared" si="68"/>
        <v>45873</v>
      </c>
      <c r="C242" s="233">
        <f t="shared" si="65"/>
        <v>45873</v>
      </c>
      <c r="D242" s="234">
        <f>目標_2025R7!D236</f>
        <v>1</v>
      </c>
      <c r="E242" s="525">
        <f>IF(D242=1,'適正原価率表(仕入れお小遣い制度)'!$J$18,0)</f>
        <v>25358.826245387772</v>
      </c>
      <c r="F242" s="525">
        <f>IF(D242=1,SUM($E$239:E242),0)</f>
        <v>76076.478736163321</v>
      </c>
      <c r="G242" s="535">
        <v>13596</v>
      </c>
      <c r="H242" s="525">
        <f>IF(D242=1,SUM($G$239:G242),0)</f>
        <v>95468</v>
      </c>
      <c r="I242" s="235">
        <f t="shared" si="69"/>
        <v>-19391.521263836679</v>
      </c>
      <c r="J242" s="227"/>
      <c r="K242" s="520">
        <f t="shared" si="66"/>
        <v>45873</v>
      </c>
      <c r="L242" s="521">
        <f t="shared" si="67"/>
        <v>45873</v>
      </c>
      <c r="M242" s="524">
        <f t="shared" si="63"/>
        <v>1</v>
      </c>
      <c r="N242" s="525">
        <f>IF(M242=1,'適正原価率表(仕入れお小遣い制度)'!$J$19,0)</f>
        <v>5199.3789943028914</v>
      </c>
      <c r="O242" s="525">
        <f>IF(M242=1,SUM($N$239:N242),0)</f>
        <v>15598.136982908674</v>
      </c>
      <c r="P242" s="535">
        <v>0</v>
      </c>
      <c r="Q242" s="525">
        <f>IF(M242=1,SUM($P$239:P242),0)</f>
        <v>31336</v>
      </c>
      <c r="R242" s="235">
        <f t="shared" si="64"/>
        <v>-15737.863017091326</v>
      </c>
      <c r="T242" s="526">
        <f t="shared" si="70"/>
        <v>45873</v>
      </c>
    </row>
    <row r="243" spans="2:20" ht="19.25" customHeight="1" outlineLevel="1">
      <c r="B243" s="520">
        <f t="shared" si="68"/>
        <v>45874</v>
      </c>
      <c r="C243" s="233">
        <f t="shared" si="65"/>
        <v>45874</v>
      </c>
      <c r="D243" s="234">
        <f>目標_2025R7!D237</f>
        <v>1</v>
      </c>
      <c r="E243" s="525">
        <f>IF(D243=1,'適正原価率表(仕入れお小遣い制度)'!$J$18,0)</f>
        <v>25358.826245387772</v>
      </c>
      <c r="F243" s="525">
        <f>IF(D243=1,SUM($E$239:E243),0)</f>
        <v>101435.30498155109</v>
      </c>
      <c r="G243" s="535">
        <v>23713</v>
      </c>
      <c r="H243" s="525">
        <f>IF(D243=1,SUM($G$239:G243),0)</f>
        <v>119181</v>
      </c>
      <c r="I243" s="235">
        <f t="shared" si="69"/>
        <v>-17745.695018448911</v>
      </c>
      <c r="J243" s="227"/>
      <c r="K243" s="520">
        <f t="shared" si="66"/>
        <v>45874</v>
      </c>
      <c r="L243" s="521">
        <f t="shared" si="67"/>
        <v>45874</v>
      </c>
      <c r="M243" s="524">
        <f t="shared" si="63"/>
        <v>1</v>
      </c>
      <c r="N243" s="525">
        <f>IF(M243=1,'適正原価率表(仕入れお小遣い制度)'!$J$19,0)</f>
        <v>5199.3789943028914</v>
      </c>
      <c r="O243" s="525">
        <f>IF(M243=1,SUM($N$239:N243),0)</f>
        <v>20797.515977211566</v>
      </c>
      <c r="P243" s="535">
        <v>24387</v>
      </c>
      <c r="Q243" s="525">
        <f>IF(M243=1,SUM($P$239:P243),0)</f>
        <v>55723</v>
      </c>
      <c r="R243" s="235">
        <f t="shared" si="64"/>
        <v>-34925.484022788434</v>
      </c>
      <c r="T243" s="526">
        <f t="shared" si="70"/>
        <v>45874</v>
      </c>
    </row>
    <row r="244" spans="2:20" ht="19.25" customHeight="1" outlineLevel="1">
      <c r="B244" s="520">
        <f t="shared" si="68"/>
        <v>45875</v>
      </c>
      <c r="C244" s="233">
        <f t="shared" si="65"/>
        <v>45875</v>
      </c>
      <c r="D244" s="234">
        <f>目標_2025R7!D238</f>
        <v>1</v>
      </c>
      <c r="E244" s="525">
        <f>IF(D244=1,'適正原価率表(仕入れお小遣い制度)'!$J$18,0)</f>
        <v>25358.826245387772</v>
      </c>
      <c r="F244" s="525">
        <f>IF(D244=1,SUM($E$239:E244),0)</f>
        <v>126794.13122693886</v>
      </c>
      <c r="G244" s="535">
        <v>47071</v>
      </c>
      <c r="H244" s="525">
        <f>IF(D244=1,SUM($G$239:G244),0)</f>
        <v>166252</v>
      </c>
      <c r="I244" s="235">
        <f t="shared" si="69"/>
        <v>-39457.868773061142</v>
      </c>
      <c r="J244" s="227"/>
      <c r="K244" s="520">
        <f t="shared" si="66"/>
        <v>45875</v>
      </c>
      <c r="L244" s="521">
        <f t="shared" si="67"/>
        <v>45875</v>
      </c>
      <c r="M244" s="524">
        <f t="shared" si="63"/>
        <v>1</v>
      </c>
      <c r="N244" s="525">
        <f>IF(M244=1,'適正原価率表(仕入れお小遣い制度)'!$J$19,0)</f>
        <v>5199.3789943028914</v>
      </c>
      <c r="O244" s="525">
        <f>IF(M244=1,SUM($N$239:N244),0)</f>
        <v>25996.894971514455</v>
      </c>
      <c r="P244" s="535">
        <v>6240</v>
      </c>
      <c r="Q244" s="525">
        <f>IF(M244=1,SUM($P$239:P244),0)</f>
        <v>61963</v>
      </c>
      <c r="R244" s="235">
        <f t="shared" si="64"/>
        <v>-35966.105028485545</v>
      </c>
      <c r="T244" s="526">
        <f t="shared" si="70"/>
        <v>45875</v>
      </c>
    </row>
    <row r="245" spans="2:20" ht="19.25" customHeight="1" outlineLevel="1">
      <c r="B245" s="520">
        <f t="shared" si="68"/>
        <v>45876</v>
      </c>
      <c r="C245" s="233">
        <f t="shared" si="65"/>
        <v>45876</v>
      </c>
      <c r="D245" s="234">
        <f>目標_2025R7!D239</f>
        <v>1</v>
      </c>
      <c r="E245" s="525">
        <f>IF(D245=1,'適正原価率表(仕入れお小遣い制度)'!$J$18,0)</f>
        <v>25358.826245387772</v>
      </c>
      <c r="F245" s="525">
        <f>IF(D245=1,SUM($E$239:E245),0)</f>
        <v>152152.95747232664</v>
      </c>
      <c r="G245" s="535">
        <v>7501</v>
      </c>
      <c r="H245" s="525">
        <f>IF(D245=1,SUM($G$239:G245),0)</f>
        <v>173753</v>
      </c>
      <c r="I245" s="235">
        <f t="shared" si="69"/>
        <v>-21600.042527673359</v>
      </c>
      <c r="J245" s="227"/>
      <c r="K245" s="520">
        <f t="shared" si="66"/>
        <v>45876</v>
      </c>
      <c r="L245" s="521">
        <f t="shared" si="67"/>
        <v>45876</v>
      </c>
      <c r="M245" s="524">
        <f t="shared" si="63"/>
        <v>1</v>
      </c>
      <c r="N245" s="525">
        <f>IF(M245=1,'適正原価率表(仕入れお小遣い制度)'!$J$19,0)</f>
        <v>5199.3789943028914</v>
      </c>
      <c r="O245" s="525">
        <f>IF(M245=1,SUM($N$239:N245),0)</f>
        <v>31196.273965817345</v>
      </c>
      <c r="P245" s="535">
        <v>17200</v>
      </c>
      <c r="Q245" s="525">
        <f>IF(M245=1,SUM($P$239:P245),0)</f>
        <v>79163</v>
      </c>
      <c r="R245" s="235">
        <f t="shared" si="64"/>
        <v>-47966.726034182655</v>
      </c>
      <c r="T245" s="526">
        <f t="shared" si="70"/>
        <v>45876</v>
      </c>
    </row>
    <row r="246" spans="2:20" ht="19.25" customHeight="1" outlineLevel="1">
      <c r="B246" s="520">
        <f t="shared" si="68"/>
        <v>45877</v>
      </c>
      <c r="C246" s="233">
        <f t="shared" si="65"/>
        <v>45877</v>
      </c>
      <c r="D246" s="234">
        <f>目標_2025R7!D240</f>
        <v>1</v>
      </c>
      <c r="E246" s="525">
        <f>IF(D246=1,'適正原価率表(仕入れお小遣い制度)'!$J$18,0)</f>
        <v>25358.826245387772</v>
      </c>
      <c r="F246" s="525">
        <f>IF(D246=1,SUM($E$239:E246),0)</f>
        <v>177511.78371771442</v>
      </c>
      <c r="G246" s="535">
        <v>0</v>
      </c>
      <c r="H246" s="525">
        <f>IF(D246=1,SUM($G$239:G246),0)</f>
        <v>173753</v>
      </c>
      <c r="I246" s="235">
        <f t="shared" si="69"/>
        <v>3758.7837177144247</v>
      </c>
      <c r="J246" s="227"/>
      <c r="K246" s="520">
        <f t="shared" si="66"/>
        <v>45877</v>
      </c>
      <c r="L246" s="521">
        <f t="shared" si="67"/>
        <v>45877</v>
      </c>
      <c r="M246" s="524">
        <f t="shared" si="63"/>
        <v>1</v>
      </c>
      <c r="N246" s="525">
        <f>IF(M246=1,'適正原価率表(仕入れお小遣い制度)'!$J$19,0)</f>
        <v>5199.3789943028914</v>
      </c>
      <c r="O246" s="525">
        <f>IF(M246=1,SUM($N$239:N246),0)</f>
        <v>36395.652960120235</v>
      </c>
      <c r="P246" s="535">
        <v>0</v>
      </c>
      <c r="Q246" s="525">
        <f>IF(M246=1,SUM($P$239:P246),0)</f>
        <v>79163</v>
      </c>
      <c r="R246" s="235">
        <f t="shared" si="64"/>
        <v>-42767.347039879765</v>
      </c>
      <c r="T246" s="526">
        <f t="shared" si="70"/>
        <v>45877</v>
      </c>
    </row>
    <row r="247" spans="2:20" ht="19.25" customHeight="1" outlineLevel="1">
      <c r="B247" s="520">
        <f t="shared" si="68"/>
        <v>45878</v>
      </c>
      <c r="C247" s="233">
        <f t="shared" si="65"/>
        <v>45878</v>
      </c>
      <c r="D247" s="234">
        <f>目標_2025R7!D241</f>
        <v>1</v>
      </c>
      <c r="E247" s="525">
        <f>IF(D247=1,'適正原価率表(仕入れお小遣い制度)'!$J$18,0)</f>
        <v>25358.826245387772</v>
      </c>
      <c r="F247" s="525">
        <f>IF(D247=1,SUM($E$239:E247),0)</f>
        <v>202870.60996310221</v>
      </c>
      <c r="G247" s="535">
        <v>0</v>
      </c>
      <c r="H247" s="525">
        <f>IF(D247=1,SUM($G$239:G247),0)</f>
        <v>173753</v>
      </c>
      <c r="I247" s="235">
        <f t="shared" si="69"/>
        <v>29117.609963102208</v>
      </c>
      <c r="J247" s="227"/>
      <c r="K247" s="520">
        <f t="shared" si="66"/>
        <v>45878</v>
      </c>
      <c r="L247" s="521">
        <f t="shared" si="67"/>
        <v>45878</v>
      </c>
      <c r="M247" s="524">
        <f t="shared" si="63"/>
        <v>1</v>
      </c>
      <c r="N247" s="525">
        <f>IF(M247=1,'適正原価率表(仕入れお小遣い制度)'!$J$19,0)</f>
        <v>5199.3789943028914</v>
      </c>
      <c r="O247" s="525">
        <f>IF(M247=1,SUM($N$239:N247),0)</f>
        <v>41595.031954423124</v>
      </c>
      <c r="P247" s="535">
        <v>0</v>
      </c>
      <c r="Q247" s="525">
        <f>IF(M247=1,SUM($P$239:P247),0)</f>
        <v>79163</v>
      </c>
      <c r="R247" s="235">
        <f t="shared" si="64"/>
        <v>-37567.968045576876</v>
      </c>
      <c r="T247" s="526">
        <f t="shared" si="70"/>
        <v>45878</v>
      </c>
    </row>
    <row r="248" spans="2:20" ht="19.25" customHeight="1" outlineLevel="1">
      <c r="B248" s="520">
        <f t="shared" si="68"/>
        <v>45879</v>
      </c>
      <c r="C248" s="233">
        <f t="shared" si="65"/>
        <v>45879</v>
      </c>
      <c r="D248" s="234">
        <f>目標_2025R7!D242</f>
        <v>0</v>
      </c>
      <c r="E248" s="525">
        <f>IF(D248=1,'適正原価率表(仕入れお小遣い制度)'!$J$18,0)</f>
        <v>0</v>
      </c>
      <c r="F248" s="525">
        <f>IF(D248=1,SUM($E$239:E248),0)</f>
        <v>0</v>
      </c>
      <c r="G248" s="535">
        <v>0</v>
      </c>
      <c r="H248" s="525">
        <f>IF(D248=1,SUM($G$239:G248),0)</f>
        <v>0</v>
      </c>
      <c r="I248" s="235">
        <f t="shared" si="69"/>
        <v>0</v>
      </c>
      <c r="J248" s="227"/>
      <c r="K248" s="520">
        <f t="shared" si="66"/>
        <v>45879</v>
      </c>
      <c r="L248" s="521">
        <f t="shared" si="67"/>
        <v>45879</v>
      </c>
      <c r="M248" s="524">
        <f t="shared" si="63"/>
        <v>0</v>
      </c>
      <c r="N248" s="525">
        <f>IF(M248=1,'適正原価率表(仕入れお小遣い制度)'!$J$19,0)</f>
        <v>0</v>
      </c>
      <c r="O248" s="525">
        <f>IF(M248=1,SUM($N$239:N248),0)</f>
        <v>0</v>
      </c>
      <c r="P248" s="535">
        <v>0</v>
      </c>
      <c r="Q248" s="525">
        <f>IF(M248=1,SUM($P$239:P248),0)</f>
        <v>0</v>
      </c>
      <c r="R248" s="235">
        <f t="shared" si="64"/>
        <v>0</v>
      </c>
      <c r="T248" s="526">
        <f t="shared" si="70"/>
        <v>45879</v>
      </c>
    </row>
    <row r="249" spans="2:20" ht="19.25" customHeight="1" outlineLevel="1">
      <c r="B249" s="520">
        <f t="shared" si="68"/>
        <v>45880</v>
      </c>
      <c r="C249" s="233">
        <f t="shared" si="65"/>
        <v>45880</v>
      </c>
      <c r="D249" s="234">
        <f>目標_2025R7!D243</f>
        <v>0</v>
      </c>
      <c r="E249" s="525">
        <f>IF(D249=1,'適正原価率表(仕入れお小遣い制度)'!$J$18,0)</f>
        <v>0</v>
      </c>
      <c r="F249" s="525">
        <f>IF(D249=1,SUM($E$239:E249),0)</f>
        <v>0</v>
      </c>
      <c r="G249" s="535">
        <v>0</v>
      </c>
      <c r="H249" s="525">
        <f>IF(D249=1,SUM($G$239:G249),0)</f>
        <v>0</v>
      </c>
      <c r="I249" s="235">
        <f t="shared" si="69"/>
        <v>0</v>
      </c>
      <c r="J249" s="227"/>
      <c r="K249" s="520">
        <f t="shared" si="66"/>
        <v>45880</v>
      </c>
      <c r="L249" s="521">
        <f t="shared" si="67"/>
        <v>45880</v>
      </c>
      <c r="M249" s="524">
        <f t="shared" si="63"/>
        <v>0</v>
      </c>
      <c r="N249" s="525">
        <f>IF(M249=1,'適正原価率表(仕入れお小遣い制度)'!$J$19,0)</f>
        <v>0</v>
      </c>
      <c r="O249" s="525">
        <f>IF(M249=1,SUM($N$239:N249),0)</f>
        <v>0</v>
      </c>
      <c r="P249" s="535">
        <v>0</v>
      </c>
      <c r="Q249" s="525">
        <f>IF(M249=1,SUM($P$239:P249),0)</f>
        <v>0</v>
      </c>
      <c r="R249" s="235">
        <f t="shared" si="64"/>
        <v>0</v>
      </c>
      <c r="T249" s="526">
        <f t="shared" si="70"/>
        <v>45880</v>
      </c>
    </row>
    <row r="250" spans="2:20" ht="19.25" customHeight="1" outlineLevel="1">
      <c r="B250" s="520">
        <f t="shared" si="68"/>
        <v>45881</v>
      </c>
      <c r="C250" s="233">
        <f t="shared" si="65"/>
        <v>45881</v>
      </c>
      <c r="D250" s="234">
        <f>目標_2025R7!D244</f>
        <v>0</v>
      </c>
      <c r="E250" s="525">
        <f>IF(D250=1,'適正原価率表(仕入れお小遣い制度)'!$J$18,0)</f>
        <v>0</v>
      </c>
      <c r="F250" s="525">
        <f>IF(D250=1,SUM($E$239:E250),0)</f>
        <v>0</v>
      </c>
      <c r="G250" s="535">
        <v>0</v>
      </c>
      <c r="H250" s="525">
        <f>IF(D250=1,SUM($G$239:G250),0)</f>
        <v>0</v>
      </c>
      <c r="I250" s="235">
        <f t="shared" si="69"/>
        <v>0</v>
      </c>
      <c r="J250" s="227"/>
      <c r="K250" s="520">
        <f t="shared" si="66"/>
        <v>45881</v>
      </c>
      <c r="L250" s="521">
        <f t="shared" si="67"/>
        <v>45881</v>
      </c>
      <c r="M250" s="524">
        <f t="shared" si="63"/>
        <v>0</v>
      </c>
      <c r="N250" s="525">
        <f>IF(M250=1,'適正原価率表(仕入れお小遣い制度)'!$J$19,0)</f>
        <v>0</v>
      </c>
      <c r="O250" s="525">
        <f>IF(M250=1,SUM($N$239:N250),0)</f>
        <v>0</v>
      </c>
      <c r="P250" s="535">
        <v>0</v>
      </c>
      <c r="Q250" s="525">
        <f>IF(M250=1,SUM($P$239:P250),0)</f>
        <v>0</v>
      </c>
      <c r="R250" s="235">
        <f t="shared" si="64"/>
        <v>0</v>
      </c>
      <c r="T250" s="526">
        <f t="shared" si="70"/>
        <v>45881</v>
      </c>
    </row>
    <row r="251" spans="2:20" ht="19.25" customHeight="1" outlineLevel="1">
      <c r="B251" s="520">
        <f t="shared" si="68"/>
        <v>45882</v>
      </c>
      <c r="C251" s="233">
        <f t="shared" si="65"/>
        <v>45882</v>
      </c>
      <c r="D251" s="234">
        <f>目標_2025R7!D245</f>
        <v>0</v>
      </c>
      <c r="E251" s="525">
        <f>IF(D251=1,'適正原価率表(仕入れお小遣い制度)'!$J$18,0)</f>
        <v>0</v>
      </c>
      <c r="F251" s="525">
        <f>IF(D251=1,SUM($E$239:E251),0)</f>
        <v>0</v>
      </c>
      <c r="G251" s="535">
        <v>0</v>
      </c>
      <c r="H251" s="525">
        <f>IF(D251=1,SUM($G$239:G251),0)</f>
        <v>0</v>
      </c>
      <c r="I251" s="235">
        <f t="shared" si="69"/>
        <v>0</v>
      </c>
      <c r="J251" s="227"/>
      <c r="K251" s="520">
        <f t="shared" si="66"/>
        <v>45882</v>
      </c>
      <c r="L251" s="521">
        <f t="shared" si="67"/>
        <v>45882</v>
      </c>
      <c r="M251" s="524">
        <f t="shared" si="63"/>
        <v>0</v>
      </c>
      <c r="N251" s="525">
        <f>IF(M251=1,'適正原価率表(仕入れお小遣い制度)'!$J$19,0)</f>
        <v>0</v>
      </c>
      <c r="O251" s="525">
        <f>IF(M251=1,SUM($N$239:N251),0)</f>
        <v>0</v>
      </c>
      <c r="P251" s="535">
        <v>0</v>
      </c>
      <c r="Q251" s="525">
        <f>IF(M251=1,SUM($P$239:P251),0)</f>
        <v>0</v>
      </c>
      <c r="R251" s="235">
        <f t="shared" si="64"/>
        <v>0</v>
      </c>
      <c r="T251" s="526">
        <f t="shared" si="70"/>
        <v>45882</v>
      </c>
    </row>
    <row r="252" spans="2:20" ht="19.25" customHeight="1" outlineLevel="1">
      <c r="B252" s="520">
        <f t="shared" si="68"/>
        <v>45883</v>
      </c>
      <c r="C252" s="233">
        <f t="shared" si="65"/>
        <v>45883</v>
      </c>
      <c r="D252" s="234">
        <f>目標_2025R7!D246</f>
        <v>0</v>
      </c>
      <c r="E252" s="525">
        <f>IF(D252=1,'適正原価率表(仕入れお小遣い制度)'!$J$18,0)</f>
        <v>0</v>
      </c>
      <c r="F252" s="525">
        <f>IF(D252=1,SUM($E$239:E252),0)</f>
        <v>0</v>
      </c>
      <c r="G252" s="535">
        <v>0</v>
      </c>
      <c r="H252" s="525">
        <f>IF(D252=1,SUM($G$239:G252),0)</f>
        <v>0</v>
      </c>
      <c r="I252" s="235">
        <f t="shared" si="69"/>
        <v>0</v>
      </c>
      <c r="J252" s="227"/>
      <c r="K252" s="520">
        <f t="shared" si="66"/>
        <v>45883</v>
      </c>
      <c r="L252" s="521">
        <f t="shared" si="67"/>
        <v>45883</v>
      </c>
      <c r="M252" s="524">
        <f t="shared" si="63"/>
        <v>0</v>
      </c>
      <c r="N252" s="525">
        <f>IF(M252=1,'適正原価率表(仕入れお小遣い制度)'!$J$19,0)</f>
        <v>0</v>
      </c>
      <c r="O252" s="525">
        <f>IF(M252=1,SUM($N$239:N252),0)</f>
        <v>0</v>
      </c>
      <c r="P252" s="535">
        <v>0</v>
      </c>
      <c r="Q252" s="525">
        <f>IF(M252=1,SUM($P$239:P252),0)</f>
        <v>0</v>
      </c>
      <c r="R252" s="235">
        <f t="shared" si="64"/>
        <v>0</v>
      </c>
      <c r="T252" s="526">
        <f t="shared" si="70"/>
        <v>45883</v>
      </c>
    </row>
    <row r="253" spans="2:20" ht="19.25" customHeight="1" outlineLevel="1">
      <c r="B253" s="520">
        <f t="shared" si="68"/>
        <v>45884</v>
      </c>
      <c r="C253" s="233">
        <f t="shared" si="65"/>
        <v>45884</v>
      </c>
      <c r="D253" s="234">
        <f>目標_2025R7!D247</f>
        <v>0</v>
      </c>
      <c r="E253" s="525">
        <f>IF(D253=1,'適正原価率表(仕入れお小遣い制度)'!$J$18,0)</f>
        <v>0</v>
      </c>
      <c r="F253" s="525">
        <f>IF(D253=1,SUM($E$239:E253),0)</f>
        <v>0</v>
      </c>
      <c r="G253" s="535">
        <v>0</v>
      </c>
      <c r="H253" s="525">
        <f>IF(D253=1,SUM($G$239:G253),0)</f>
        <v>0</v>
      </c>
      <c r="I253" s="235">
        <f t="shared" si="69"/>
        <v>0</v>
      </c>
      <c r="J253" s="227"/>
      <c r="K253" s="520">
        <f t="shared" si="66"/>
        <v>45884</v>
      </c>
      <c r="L253" s="521">
        <f t="shared" si="67"/>
        <v>45884</v>
      </c>
      <c r="M253" s="524">
        <f t="shared" si="63"/>
        <v>0</v>
      </c>
      <c r="N253" s="525">
        <f>IF(M253=1,'適正原価率表(仕入れお小遣い制度)'!$J$19,0)</f>
        <v>0</v>
      </c>
      <c r="O253" s="525">
        <f>IF(M253=1,SUM($N$239:N253),0)</f>
        <v>0</v>
      </c>
      <c r="P253" s="535">
        <v>0</v>
      </c>
      <c r="Q253" s="525">
        <f>IF(M253=1,SUM($P$239:P253),0)</f>
        <v>0</v>
      </c>
      <c r="R253" s="235">
        <f t="shared" si="64"/>
        <v>0</v>
      </c>
      <c r="T253" s="526">
        <f t="shared" si="70"/>
        <v>45884</v>
      </c>
    </row>
    <row r="254" spans="2:20" ht="19.25" customHeight="1" outlineLevel="1">
      <c r="B254" s="520">
        <f t="shared" si="68"/>
        <v>45885</v>
      </c>
      <c r="C254" s="233">
        <f t="shared" si="65"/>
        <v>45885</v>
      </c>
      <c r="D254" s="234">
        <f>目標_2025R7!D248</f>
        <v>0</v>
      </c>
      <c r="E254" s="525">
        <f>IF(D254=1,'適正原価率表(仕入れお小遣い制度)'!$J$18,0)</f>
        <v>0</v>
      </c>
      <c r="F254" s="525">
        <f>IF(D254=1,SUM($E$239:E254),0)</f>
        <v>0</v>
      </c>
      <c r="G254" s="535">
        <v>61675</v>
      </c>
      <c r="H254" s="525">
        <f>IF(D254=1,SUM($G$239:G254),0)</f>
        <v>0</v>
      </c>
      <c r="I254" s="235">
        <f t="shared" si="69"/>
        <v>0</v>
      </c>
      <c r="J254" s="227"/>
      <c r="K254" s="520">
        <f t="shared" si="66"/>
        <v>45885</v>
      </c>
      <c r="L254" s="521">
        <f t="shared" si="67"/>
        <v>45885</v>
      </c>
      <c r="M254" s="524">
        <f t="shared" si="63"/>
        <v>0</v>
      </c>
      <c r="N254" s="525">
        <f>IF(M254=1,'適正原価率表(仕入れお小遣い制度)'!$J$19,0)</f>
        <v>0</v>
      </c>
      <c r="O254" s="525">
        <f>IF(M254=1,SUM($N$239:N254),0)</f>
        <v>0</v>
      </c>
      <c r="P254" s="535">
        <v>2781</v>
      </c>
      <c r="Q254" s="525">
        <f>IF(M254=1,SUM($P$239:P254),0)</f>
        <v>0</v>
      </c>
      <c r="R254" s="235">
        <f t="shared" si="64"/>
        <v>0</v>
      </c>
      <c r="T254" s="526">
        <f t="shared" si="70"/>
        <v>45885</v>
      </c>
    </row>
    <row r="255" spans="2:20" ht="19.25" customHeight="1" outlineLevel="1">
      <c r="B255" s="520">
        <f t="shared" si="68"/>
        <v>45886</v>
      </c>
      <c r="C255" s="233">
        <f t="shared" si="65"/>
        <v>45886</v>
      </c>
      <c r="D255" s="234">
        <f>目標_2025R7!D249</f>
        <v>0</v>
      </c>
      <c r="E255" s="525">
        <f>IF(D255=1,'適正原価率表(仕入れお小遣い制度)'!$J$18,0)</f>
        <v>0</v>
      </c>
      <c r="F255" s="525">
        <f>IF(D255=1,SUM($E$239:E255),0)</f>
        <v>0</v>
      </c>
      <c r="G255" s="535">
        <v>38226</v>
      </c>
      <c r="H255" s="525">
        <f>IF(D255=1,SUM($G$239:G255),0)</f>
        <v>0</v>
      </c>
      <c r="I255" s="235">
        <f t="shared" si="69"/>
        <v>0</v>
      </c>
      <c r="J255" s="227"/>
      <c r="K255" s="520">
        <f t="shared" si="66"/>
        <v>45886</v>
      </c>
      <c r="L255" s="521">
        <f t="shared" si="67"/>
        <v>45886</v>
      </c>
      <c r="M255" s="524">
        <f t="shared" si="63"/>
        <v>0</v>
      </c>
      <c r="N255" s="525">
        <f>IF(M255=1,'適正原価率表(仕入れお小遣い制度)'!$J$19,0)</f>
        <v>0</v>
      </c>
      <c r="O255" s="525">
        <f>IF(M255=1,SUM($N$239:N255),0)</f>
        <v>0</v>
      </c>
      <c r="P255" s="535">
        <v>9083</v>
      </c>
      <c r="Q255" s="525">
        <f>IF(M255=1,SUM($P$239:P255),0)</f>
        <v>0</v>
      </c>
      <c r="R255" s="235">
        <f t="shared" si="64"/>
        <v>0</v>
      </c>
      <c r="T255" s="526">
        <f t="shared" si="70"/>
        <v>45886</v>
      </c>
    </row>
    <row r="256" spans="2:20" ht="19.25" customHeight="1" outlineLevel="1">
      <c r="B256" s="520">
        <f t="shared" si="68"/>
        <v>45887</v>
      </c>
      <c r="C256" s="233">
        <f t="shared" si="65"/>
        <v>45887</v>
      </c>
      <c r="D256" s="234">
        <f>目標_2025R7!D250</f>
        <v>1</v>
      </c>
      <c r="E256" s="525">
        <f>IF(D256=1,'適正原価率表(仕入れお小遣い制度)'!$J$18,0)</f>
        <v>25358.826245387772</v>
      </c>
      <c r="F256" s="525">
        <f>IF(D256=1,SUM($E$239:E256),0)</f>
        <v>228229.43620848999</v>
      </c>
      <c r="G256" s="535">
        <v>13003</v>
      </c>
      <c r="H256" s="525">
        <f>IF(D256=1,SUM($G$239:G256),0)</f>
        <v>286657</v>
      </c>
      <c r="I256" s="235">
        <f t="shared" si="69"/>
        <v>-58427.563791510009</v>
      </c>
      <c r="J256" s="227"/>
      <c r="K256" s="520">
        <f t="shared" si="66"/>
        <v>45887</v>
      </c>
      <c r="L256" s="521">
        <f t="shared" si="67"/>
        <v>45887</v>
      </c>
      <c r="M256" s="524">
        <f t="shared" si="63"/>
        <v>1</v>
      </c>
      <c r="N256" s="525">
        <f>IF(M256=1,'適正原価率表(仕入れお小遣い制度)'!$J$19,0)</f>
        <v>5199.3789943028914</v>
      </c>
      <c r="O256" s="525">
        <f>IF(M256=1,SUM($N$239:N256),0)</f>
        <v>46794.410948726014</v>
      </c>
      <c r="P256" s="535">
        <v>7832</v>
      </c>
      <c r="Q256" s="525">
        <f>IF(M256=1,SUM($P$239:P256),0)</f>
        <v>98859</v>
      </c>
      <c r="R256" s="235">
        <f t="shared" si="64"/>
        <v>-52064.589051273986</v>
      </c>
      <c r="T256" s="526">
        <f t="shared" si="70"/>
        <v>45887</v>
      </c>
    </row>
    <row r="257" spans="2:20" ht="19.25" customHeight="1" outlineLevel="1">
      <c r="B257" s="520">
        <f t="shared" si="68"/>
        <v>45888</v>
      </c>
      <c r="C257" s="233">
        <f t="shared" si="65"/>
        <v>45888</v>
      </c>
      <c r="D257" s="234">
        <f>目標_2025R7!D251</f>
        <v>1</v>
      </c>
      <c r="E257" s="525">
        <f>IF(D257=1,'適正原価率表(仕入れお小遣い制度)'!$J$18,0)</f>
        <v>25358.826245387772</v>
      </c>
      <c r="F257" s="525">
        <f>IF(D257=1,SUM($E$239:E257),0)</f>
        <v>253588.26245387777</v>
      </c>
      <c r="G257" s="535">
        <v>32428</v>
      </c>
      <c r="H257" s="525">
        <f>IF(D257=1,SUM($G$239:G257),0)</f>
        <v>319085</v>
      </c>
      <c r="I257" s="235">
        <f t="shared" si="69"/>
        <v>-65496.737546122225</v>
      </c>
      <c r="J257" s="227"/>
      <c r="K257" s="520">
        <f t="shared" si="66"/>
        <v>45888</v>
      </c>
      <c r="L257" s="521">
        <f t="shared" si="67"/>
        <v>45888</v>
      </c>
      <c r="M257" s="524">
        <f t="shared" si="63"/>
        <v>1</v>
      </c>
      <c r="N257" s="525">
        <f>IF(M257=1,'適正原価率表(仕入れお小遣い制度)'!$J$19,0)</f>
        <v>5199.3789943028914</v>
      </c>
      <c r="O257" s="525">
        <f>IF(M257=1,SUM($N$239:N257),0)</f>
        <v>51993.789943028904</v>
      </c>
      <c r="P257" s="535">
        <v>11312</v>
      </c>
      <c r="Q257" s="525">
        <f>IF(M257=1,SUM($P$239:P257),0)</f>
        <v>110171</v>
      </c>
      <c r="R257" s="235">
        <f t="shared" si="64"/>
        <v>-58177.210056971096</v>
      </c>
      <c r="T257" s="526">
        <f t="shared" si="70"/>
        <v>45888</v>
      </c>
    </row>
    <row r="258" spans="2:20" ht="19.25" customHeight="1" outlineLevel="1">
      <c r="B258" s="520">
        <f t="shared" si="68"/>
        <v>45889</v>
      </c>
      <c r="C258" s="233">
        <f t="shared" si="65"/>
        <v>45889</v>
      </c>
      <c r="D258" s="234">
        <f>目標_2025R7!D252</f>
        <v>1</v>
      </c>
      <c r="E258" s="525">
        <f>IF(D258=1,'適正原価率表(仕入れお小遣い制度)'!$J$18,0)</f>
        <v>25358.826245387772</v>
      </c>
      <c r="F258" s="525">
        <f>IF(D258=1,SUM($E$239:E258),0)</f>
        <v>278947.08869926556</v>
      </c>
      <c r="G258" s="535">
        <v>60813</v>
      </c>
      <c r="H258" s="525">
        <f>IF(D258=1,SUM($G$239:G258),0)</f>
        <v>379898</v>
      </c>
      <c r="I258" s="235">
        <f t="shared" si="69"/>
        <v>-100950.91130073444</v>
      </c>
      <c r="J258" s="227"/>
      <c r="K258" s="520">
        <f t="shared" si="66"/>
        <v>45889</v>
      </c>
      <c r="L258" s="521">
        <f t="shared" si="67"/>
        <v>45889</v>
      </c>
      <c r="M258" s="524">
        <f t="shared" si="63"/>
        <v>1</v>
      </c>
      <c r="N258" s="525">
        <f>IF(M258=1,'適正原価率表(仕入れお小遣い制度)'!$J$19,0)</f>
        <v>5199.3789943028914</v>
      </c>
      <c r="O258" s="525">
        <f>IF(M258=1,SUM($N$239:N258),0)</f>
        <v>57193.168937331793</v>
      </c>
      <c r="P258" s="535">
        <v>0</v>
      </c>
      <c r="Q258" s="525">
        <f>IF(M258=1,SUM($P$239:P258),0)</f>
        <v>110171</v>
      </c>
      <c r="R258" s="235">
        <f t="shared" si="64"/>
        <v>-52977.831062668207</v>
      </c>
      <c r="T258" s="526">
        <f t="shared" si="70"/>
        <v>45889</v>
      </c>
    </row>
    <row r="259" spans="2:20" ht="19.25" customHeight="1" outlineLevel="1">
      <c r="B259" s="520">
        <f t="shared" si="68"/>
        <v>45890</v>
      </c>
      <c r="C259" s="233">
        <f t="shared" si="65"/>
        <v>45890</v>
      </c>
      <c r="D259" s="234">
        <f>目標_2025R7!D253</f>
        <v>1</v>
      </c>
      <c r="E259" s="525">
        <f>IF(D259=1,'適正原価率表(仕入れお小遣い制度)'!$J$18,0)</f>
        <v>25358.826245387772</v>
      </c>
      <c r="F259" s="525">
        <f>IF(D259=1,SUM($E$239:E259),0)</f>
        <v>304305.91494465334</v>
      </c>
      <c r="G259" s="535">
        <v>21747</v>
      </c>
      <c r="H259" s="525">
        <f>IF(D259=1,SUM($G$239:G259),0)</f>
        <v>401645</v>
      </c>
      <c r="I259" s="235">
        <f t="shared" si="69"/>
        <v>-97339.085055346659</v>
      </c>
      <c r="J259" s="227"/>
      <c r="K259" s="520">
        <f t="shared" si="66"/>
        <v>45890</v>
      </c>
      <c r="L259" s="521">
        <f t="shared" si="67"/>
        <v>45890</v>
      </c>
      <c r="M259" s="524">
        <f t="shared" si="63"/>
        <v>1</v>
      </c>
      <c r="N259" s="525">
        <f>IF(M259=1,'適正原価率表(仕入れお小遣い制度)'!$J$19,0)</f>
        <v>5199.3789943028914</v>
      </c>
      <c r="O259" s="525">
        <f>IF(M259=1,SUM($N$239:N259),0)</f>
        <v>62392.547931634683</v>
      </c>
      <c r="P259" s="535">
        <v>9355</v>
      </c>
      <c r="Q259" s="525">
        <f>IF(M259=1,SUM($P$239:P259),0)</f>
        <v>119526</v>
      </c>
      <c r="R259" s="235">
        <f t="shared" si="64"/>
        <v>-57133.452068365317</v>
      </c>
      <c r="T259" s="526">
        <f t="shared" si="70"/>
        <v>45890</v>
      </c>
    </row>
    <row r="260" spans="2:20" ht="19.25" customHeight="1" outlineLevel="1">
      <c r="B260" s="520">
        <f t="shared" si="68"/>
        <v>45891</v>
      </c>
      <c r="C260" s="233">
        <f t="shared" si="65"/>
        <v>45891</v>
      </c>
      <c r="D260" s="234">
        <f>目標_2025R7!D254</f>
        <v>1</v>
      </c>
      <c r="E260" s="525">
        <f>IF(D260=1,'適正原価率表(仕入れお小遣い制度)'!$J$18,0)</f>
        <v>25358.826245387772</v>
      </c>
      <c r="F260" s="525">
        <f>IF(D260=1,SUM($E$239:E260),0)</f>
        <v>329664.74119004112</v>
      </c>
      <c r="G260" s="535">
        <v>0</v>
      </c>
      <c r="H260" s="525">
        <f>IF(D260=1,SUM($G$239:G260),0)</f>
        <v>401645</v>
      </c>
      <c r="I260" s="235">
        <f t="shared" si="69"/>
        <v>-71980.258809958876</v>
      </c>
      <c r="J260" s="227"/>
      <c r="K260" s="520">
        <f t="shared" si="66"/>
        <v>45891</v>
      </c>
      <c r="L260" s="521">
        <f t="shared" si="67"/>
        <v>45891</v>
      </c>
      <c r="M260" s="524">
        <f t="shared" si="63"/>
        <v>1</v>
      </c>
      <c r="N260" s="525">
        <f>IF(M260=1,'適正原価率表(仕入れお小遣い制度)'!$J$19,0)</f>
        <v>5199.3789943028914</v>
      </c>
      <c r="O260" s="525">
        <f>IF(M260=1,SUM($N$239:N260),0)</f>
        <v>67591.926925937572</v>
      </c>
      <c r="P260" s="535">
        <v>0</v>
      </c>
      <c r="Q260" s="525">
        <f>IF(M260=1,SUM($P$239:P260),0)</f>
        <v>119526</v>
      </c>
      <c r="R260" s="235">
        <f t="shared" si="64"/>
        <v>-51934.073074062428</v>
      </c>
      <c r="T260" s="526">
        <f t="shared" si="70"/>
        <v>45891</v>
      </c>
    </row>
    <row r="261" spans="2:20" ht="19.25" customHeight="1" outlineLevel="1">
      <c r="B261" s="520">
        <f t="shared" si="68"/>
        <v>45892</v>
      </c>
      <c r="C261" s="233">
        <f t="shared" si="65"/>
        <v>45892</v>
      </c>
      <c r="D261" s="234">
        <f>目標_2025R7!D255</f>
        <v>1</v>
      </c>
      <c r="E261" s="525">
        <f>IF(D261=1,'適正原価率表(仕入れお小遣い制度)'!$J$18,0)</f>
        <v>25358.826245387772</v>
      </c>
      <c r="F261" s="525">
        <f>IF(D261=1,SUM($E$239:E261),0)</f>
        <v>355023.56743542891</v>
      </c>
      <c r="G261" s="535">
        <v>10214</v>
      </c>
      <c r="H261" s="525">
        <f>IF(D261=1,SUM($G$239:G261),0)</f>
        <v>411859</v>
      </c>
      <c r="I261" s="235">
        <f t="shared" si="69"/>
        <v>-56835.432564571092</v>
      </c>
      <c r="J261" s="227"/>
      <c r="K261" s="520">
        <f t="shared" si="66"/>
        <v>45892</v>
      </c>
      <c r="L261" s="521">
        <f t="shared" si="67"/>
        <v>45892</v>
      </c>
      <c r="M261" s="524">
        <f t="shared" si="63"/>
        <v>1</v>
      </c>
      <c r="N261" s="525">
        <f>IF(M261=1,'適正原価率表(仕入れお小遣い制度)'!$J$19,0)</f>
        <v>5199.3789943028914</v>
      </c>
      <c r="O261" s="525">
        <f>IF(M261=1,SUM($N$239:N261),0)</f>
        <v>72791.305920240469</v>
      </c>
      <c r="P261" s="535">
        <v>0</v>
      </c>
      <c r="Q261" s="525">
        <f>IF(M261=1,SUM($P$239:P261),0)</f>
        <v>119526</v>
      </c>
      <c r="R261" s="235">
        <f t="shared" si="64"/>
        <v>-46734.694079759531</v>
      </c>
      <c r="T261" s="526">
        <f t="shared" si="70"/>
        <v>45892</v>
      </c>
    </row>
    <row r="262" spans="2:20" ht="19.25" customHeight="1" outlineLevel="1">
      <c r="B262" s="520">
        <f t="shared" si="68"/>
        <v>45893</v>
      </c>
      <c r="C262" s="233">
        <f t="shared" si="65"/>
        <v>45893</v>
      </c>
      <c r="D262" s="234">
        <f>目標_2025R7!D256</f>
        <v>0</v>
      </c>
      <c r="E262" s="525">
        <f>IF(D262=1,'適正原価率表(仕入れお小遣い制度)'!$J$18,0)</f>
        <v>0</v>
      </c>
      <c r="F262" s="525">
        <f>IF(D262=1,SUM($E$239:E262),0)</f>
        <v>0</v>
      </c>
      <c r="G262" s="535">
        <v>43227</v>
      </c>
      <c r="H262" s="525">
        <f>IF(D262=1,SUM($G$239:G262),0)</f>
        <v>0</v>
      </c>
      <c r="I262" s="235">
        <f t="shared" si="69"/>
        <v>0</v>
      </c>
      <c r="J262" s="227"/>
      <c r="K262" s="520">
        <f t="shared" si="66"/>
        <v>45893</v>
      </c>
      <c r="L262" s="521">
        <f t="shared" si="67"/>
        <v>45893</v>
      </c>
      <c r="M262" s="524">
        <f t="shared" si="63"/>
        <v>0</v>
      </c>
      <c r="N262" s="525">
        <f>IF(M262=1,'適正原価率表(仕入れお小遣い制度)'!$J$19,0)</f>
        <v>0</v>
      </c>
      <c r="O262" s="525">
        <f>IF(M262=1,SUM($N$239:N262),0)</f>
        <v>0</v>
      </c>
      <c r="P262" s="535">
        <v>12631</v>
      </c>
      <c r="Q262" s="525">
        <f>IF(M262=1,SUM($P$239:P262),0)</f>
        <v>0</v>
      </c>
      <c r="R262" s="235">
        <f t="shared" si="64"/>
        <v>0</v>
      </c>
      <c r="T262" s="526">
        <f t="shared" si="70"/>
        <v>45893</v>
      </c>
    </row>
    <row r="263" spans="2:20" ht="19.25" customHeight="1" outlineLevel="1">
      <c r="B263" s="520">
        <f t="shared" si="68"/>
        <v>45894</v>
      </c>
      <c r="C263" s="233">
        <f t="shared" si="65"/>
        <v>45894</v>
      </c>
      <c r="D263" s="234">
        <f>目標_2025R7!D257</f>
        <v>1</v>
      </c>
      <c r="E263" s="525">
        <f>IF(D263=1,'適正原価率表(仕入れお小遣い制度)'!$J$18,0)</f>
        <v>25358.826245387772</v>
      </c>
      <c r="F263" s="525">
        <f>IF(D263=1,SUM($E$239:E263),0)</f>
        <v>380382.39368081669</v>
      </c>
      <c r="G263" s="535">
        <v>23987</v>
      </c>
      <c r="H263" s="525">
        <f>IF(D263=1,SUM($G$239:G263),0)</f>
        <v>479073</v>
      </c>
      <c r="I263" s="235">
        <f t="shared" si="69"/>
        <v>-98690.606319183309</v>
      </c>
      <c r="J263" s="227"/>
      <c r="K263" s="520">
        <f t="shared" si="66"/>
        <v>45894</v>
      </c>
      <c r="L263" s="521">
        <f t="shared" si="67"/>
        <v>45894</v>
      </c>
      <c r="M263" s="524">
        <f t="shared" si="63"/>
        <v>1</v>
      </c>
      <c r="N263" s="525">
        <f>IF(M263=1,'適正原価率表(仕入れお小遣い制度)'!$J$19,0)</f>
        <v>5199.3789943028914</v>
      </c>
      <c r="O263" s="525">
        <f>IF(M263=1,SUM($N$239:N263),0)</f>
        <v>77990.684914543366</v>
      </c>
      <c r="P263" s="535">
        <v>427</v>
      </c>
      <c r="Q263" s="525">
        <f>IF(M263=1,SUM($P$239:P263),0)</f>
        <v>132584</v>
      </c>
      <c r="R263" s="235">
        <f t="shared" si="64"/>
        <v>-54593.315085456634</v>
      </c>
      <c r="T263" s="526">
        <f t="shared" si="70"/>
        <v>45894</v>
      </c>
    </row>
    <row r="264" spans="2:20" ht="19.25" customHeight="1" outlineLevel="1">
      <c r="B264" s="520">
        <f t="shared" si="68"/>
        <v>45895</v>
      </c>
      <c r="C264" s="233">
        <f>B264</f>
        <v>45895</v>
      </c>
      <c r="D264" s="234">
        <f>目標_2025R7!D258</f>
        <v>1</v>
      </c>
      <c r="E264" s="525">
        <f>IF(D264=1,'適正原価率表(仕入れお小遣い制度)'!$J$18,0)</f>
        <v>25358.826245387772</v>
      </c>
      <c r="F264" s="525">
        <f>IF(D264=1,SUM($E$239:E264),0)</f>
        <v>405741.21992620447</v>
      </c>
      <c r="G264" s="535">
        <v>26400</v>
      </c>
      <c r="H264" s="525">
        <f>IF(D264=1,SUM($G$239:G264),0)</f>
        <v>505473</v>
      </c>
      <c r="I264" s="235">
        <f t="shared" si="69"/>
        <v>-99731.780073795526</v>
      </c>
      <c r="J264" s="227"/>
      <c r="K264" s="520">
        <f t="shared" ref="K264:L269" si="71">B264</f>
        <v>45895</v>
      </c>
      <c r="L264" s="521">
        <f t="shared" si="71"/>
        <v>45895</v>
      </c>
      <c r="M264" s="524">
        <f t="shared" si="63"/>
        <v>1</v>
      </c>
      <c r="N264" s="525">
        <f>IF(M264=1,'適正原価率表(仕入れお小遣い制度)'!$J$19,0)</f>
        <v>5199.3789943028914</v>
      </c>
      <c r="O264" s="525">
        <f>IF(M264=1,SUM($N$239:N264),0)</f>
        <v>83190.063908846263</v>
      </c>
      <c r="P264" s="535">
        <v>5240</v>
      </c>
      <c r="Q264" s="525">
        <f>IF(M264=1,SUM($P$239:P264),0)</f>
        <v>137824</v>
      </c>
      <c r="R264" s="235">
        <f t="shared" si="64"/>
        <v>-54633.936091153737</v>
      </c>
      <c r="T264" s="526">
        <f t="shared" si="70"/>
        <v>45895</v>
      </c>
    </row>
    <row r="265" spans="2:20" ht="19.25" customHeight="1" outlineLevel="1">
      <c r="B265" s="520">
        <f t="shared" si="68"/>
        <v>45896</v>
      </c>
      <c r="C265" s="233">
        <f t="shared" si="65"/>
        <v>45896</v>
      </c>
      <c r="D265" s="234">
        <f>目標_2025R7!D259</f>
        <v>1</v>
      </c>
      <c r="E265" s="525">
        <f>IF(D265=1,'適正原価率表(仕入れお小遣い制度)'!$J$18,0)</f>
        <v>25358.826245387772</v>
      </c>
      <c r="F265" s="525">
        <f>IF(D265=1,SUM($E$239:E265),0)</f>
        <v>431100.04617159226</v>
      </c>
      <c r="G265" s="535">
        <v>16517</v>
      </c>
      <c r="H265" s="525">
        <f>IF(D265=1,SUM($G$239:G265),0)</f>
        <v>521990</v>
      </c>
      <c r="I265" s="235">
        <f t="shared" si="69"/>
        <v>-90889.953828407743</v>
      </c>
      <c r="J265" s="227"/>
      <c r="K265" s="520">
        <f t="shared" si="71"/>
        <v>45896</v>
      </c>
      <c r="L265" s="521">
        <f t="shared" si="71"/>
        <v>45896</v>
      </c>
      <c r="M265" s="524">
        <f t="shared" si="63"/>
        <v>1</v>
      </c>
      <c r="N265" s="525">
        <f>IF(M265=1,'適正原価率表(仕入れお小遣い制度)'!$J$19,0)</f>
        <v>5199.3789943028914</v>
      </c>
      <c r="O265" s="525">
        <f>IF(M265=1,SUM($N$239:N265),0)</f>
        <v>88389.44290314916</v>
      </c>
      <c r="P265" s="535">
        <v>0</v>
      </c>
      <c r="Q265" s="525">
        <f>IF(M265=1,SUM($P$239:P265),0)</f>
        <v>137824</v>
      </c>
      <c r="R265" s="235">
        <f t="shared" si="64"/>
        <v>-49434.55709685084</v>
      </c>
      <c r="T265" s="526">
        <f t="shared" si="70"/>
        <v>45896</v>
      </c>
    </row>
    <row r="266" spans="2:20" ht="19.25" customHeight="1" outlineLevel="1">
      <c r="B266" s="520">
        <f t="shared" si="68"/>
        <v>45897</v>
      </c>
      <c r="C266" s="233">
        <f t="shared" si="65"/>
        <v>45897</v>
      </c>
      <c r="D266" s="234">
        <f>目標_2025R7!D260</f>
        <v>1</v>
      </c>
      <c r="E266" s="525">
        <f>IF(D266=1,'適正原価率表(仕入れお小遣い制度)'!$J$18,0)</f>
        <v>25358.826245387772</v>
      </c>
      <c r="F266" s="525">
        <f>IF(D266=1,SUM($E$239:E266),0)</f>
        <v>456458.87241698004</v>
      </c>
      <c r="G266" s="535">
        <v>4531</v>
      </c>
      <c r="H266" s="525">
        <f>IF(D266=1,SUM($G$239:G266),0)</f>
        <v>526521</v>
      </c>
      <c r="I266" s="235">
        <f t="shared" si="69"/>
        <v>-70062.127583019959</v>
      </c>
      <c r="J266" s="227"/>
      <c r="K266" s="520">
        <f t="shared" si="71"/>
        <v>45897</v>
      </c>
      <c r="L266" s="521">
        <f t="shared" si="71"/>
        <v>45897</v>
      </c>
      <c r="M266" s="524">
        <f t="shared" si="63"/>
        <v>1</v>
      </c>
      <c r="N266" s="525">
        <f>IF(M266=1,'適正原価率表(仕入れお小遣い制度)'!$J$19,0)</f>
        <v>5199.3789943028914</v>
      </c>
      <c r="O266" s="525">
        <f>IF(M266=1,SUM($N$239:N266),0)</f>
        <v>93588.821897452057</v>
      </c>
      <c r="P266" s="535">
        <v>1199</v>
      </c>
      <c r="Q266" s="525">
        <f>IF(M266=1,SUM($P$239:P266),0)</f>
        <v>139023</v>
      </c>
      <c r="R266" s="235">
        <f t="shared" si="64"/>
        <v>-45434.178102547943</v>
      </c>
      <c r="T266" s="526">
        <f t="shared" si="70"/>
        <v>45897</v>
      </c>
    </row>
    <row r="267" spans="2:20" ht="19.25" customHeight="1" outlineLevel="1">
      <c r="B267" s="520">
        <f t="shared" si="68"/>
        <v>45898</v>
      </c>
      <c r="C267" s="233">
        <f t="shared" si="65"/>
        <v>45898</v>
      </c>
      <c r="D267" s="234">
        <f>目標_2025R7!D261</f>
        <v>1</v>
      </c>
      <c r="E267" s="525">
        <f>IF(D267=1,'適正原価率表(仕入れお小遣い制度)'!$J$18,0)</f>
        <v>25358.826245387772</v>
      </c>
      <c r="F267" s="525">
        <f>IF(D267=1,SUM($E$239:E267),0)</f>
        <v>481817.69866236782</v>
      </c>
      <c r="G267" s="535">
        <v>0</v>
      </c>
      <c r="H267" s="525">
        <f>IF(D267=1,SUM($G$239:G267),0)</f>
        <v>526521</v>
      </c>
      <c r="I267" s="235">
        <f t="shared" si="69"/>
        <v>-44703.301337632176</v>
      </c>
      <c r="J267" s="227"/>
      <c r="K267" s="520">
        <f t="shared" si="71"/>
        <v>45898</v>
      </c>
      <c r="L267" s="521">
        <f t="shared" si="71"/>
        <v>45898</v>
      </c>
      <c r="M267" s="524">
        <f t="shared" si="63"/>
        <v>1</v>
      </c>
      <c r="N267" s="525">
        <f>IF(M267=1,'適正原価率表(仕入れお小遣い制度)'!$J$19,0)</f>
        <v>5199.3789943028914</v>
      </c>
      <c r="O267" s="525">
        <f>IF(M267=1,SUM($N$239:N267),0)</f>
        <v>98788.200891754954</v>
      </c>
      <c r="P267" s="535">
        <v>0</v>
      </c>
      <c r="Q267" s="525">
        <f>IF(M267=1,SUM($P$239:P267),0)</f>
        <v>139023</v>
      </c>
      <c r="R267" s="235">
        <f t="shared" si="64"/>
        <v>-40234.799108245046</v>
      </c>
      <c r="T267" s="526">
        <f t="shared" si="70"/>
        <v>45898</v>
      </c>
    </row>
    <row r="268" spans="2:20" ht="19.25" customHeight="1" outlineLevel="1">
      <c r="B268" s="520">
        <f t="shared" si="68"/>
        <v>45899</v>
      </c>
      <c r="C268" s="233">
        <f t="shared" si="65"/>
        <v>45899</v>
      </c>
      <c r="D268" s="234">
        <f>目標_2025R7!D262</f>
        <v>1</v>
      </c>
      <c r="E268" s="525">
        <f>IF(D268=1,'適正原価率表(仕入れお小遣い制度)'!$J$18,0)</f>
        <v>25358.826245387772</v>
      </c>
      <c r="F268" s="525">
        <f>IF(D268=1,SUM($E$239:E268),0)</f>
        <v>507176.52490775561</v>
      </c>
      <c r="G268" s="535"/>
      <c r="H268" s="525">
        <f>IF(D268=1,SUM($G$239:G268),0)</f>
        <v>526521</v>
      </c>
      <c r="I268" s="235">
        <f t="shared" si="69"/>
        <v>-19344.475092244393</v>
      </c>
      <c r="J268" s="227"/>
      <c r="K268" s="520">
        <f t="shared" si="71"/>
        <v>45899</v>
      </c>
      <c r="L268" s="521">
        <f t="shared" si="71"/>
        <v>45899</v>
      </c>
      <c r="M268" s="524">
        <f t="shared" si="63"/>
        <v>1</v>
      </c>
      <c r="N268" s="525">
        <f>IF(M268=1,'適正原価率表(仕入れお小遣い制度)'!$J$19,0)</f>
        <v>5199.3789943028914</v>
      </c>
      <c r="O268" s="525">
        <f>IF(M268=1,SUM($N$239:N268),0)</f>
        <v>103987.57988605785</v>
      </c>
      <c r="P268" s="535"/>
      <c r="Q268" s="525">
        <f>IF(M268=1,SUM($P$239:P268),0)</f>
        <v>139023</v>
      </c>
      <c r="R268" s="235">
        <f t="shared" si="64"/>
        <v>-35035.420113942149</v>
      </c>
      <c r="T268" s="526">
        <f t="shared" si="70"/>
        <v>45899</v>
      </c>
    </row>
    <row r="269" spans="2:20" ht="19.25" customHeight="1" outlineLevel="1">
      <c r="B269" s="520">
        <f t="shared" si="68"/>
        <v>45900</v>
      </c>
      <c r="C269" s="233">
        <f t="shared" si="65"/>
        <v>45900</v>
      </c>
      <c r="D269" s="234">
        <f>目標_2025R7!D263</f>
        <v>0</v>
      </c>
      <c r="E269" s="525">
        <f>IF(D269=1,'適正原価率表(仕入れお小遣い制度)'!$J$18,0)</f>
        <v>0</v>
      </c>
      <c r="F269" s="525">
        <f>IF(D269=1,SUM($E$239:E269),0)</f>
        <v>0</v>
      </c>
      <c r="G269" s="535"/>
      <c r="H269" s="525">
        <f>IF(D269=1,SUM($G$239:G269),0)</f>
        <v>0</v>
      </c>
      <c r="I269" s="235">
        <f t="shared" si="69"/>
        <v>0</v>
      </c>
      <c r="J269" s="227"/>
      <c r="K269" s="520">
        <f t="shared" si="71"/>
        <v>45900</v>
      </c>
      <c r="L269" s="521">
        <f t="shared" si="71"/>
        <v>45900</v>
      </c>
      <c r="M269" s="524">
        <f t="shared" si="63"/>
        <v>0</v>
      </c>
      <c r="N269" s="525">
        <f>IF(M269=1,'適正原価率表(仕入れお小遣い制度)'!$J$19,0)</f>
        <v>0</v>
      </c>
      <c r="O269" s="525">
        <f>IF(M269=1,SUM($N$239:N269),0)</f>
        <v>0</v>
      </c>
      <c r="P269" s="535"/>
      <c r="Q269" s="525">
        <f>IF(M269=1,SUM($P$239:P269),0)</f>
        <v>0</v>
      </c>
      <c r="R269" s="235">
        <f t="shared" si="64"/>
        <v>0</v>
      </c>
      <c r="T269" s="526">
        <f t="shared" si="70"/>
        <v>45900</v>
      </c>
    </row>
    <row r="270" spans="2:20" ht="19.25" customHeight="1" outlineLevel="1">
      <c r="B270" s="860" t="s">
        <v>211</v>
      </c>
      <c r="C270" s="861"/>
      <c r="D270" s="862"/>
      <c r="E270" s="528">
        <f>SUM(E239:E269)</f>
        <v>507176.52490775561</v>
      </c>
      <c r="F270" s="514"/>
      <c r="G270" s="515"/>
      <c r="H270" s="515"/>
      <c r="I270" s="515"/>
      <c r="J270" s="227"/>
      <c r="K270" s="860" t="s">
        <v>211</v>
      </c>
      <c r="L270" s="861"/>
      <c r="M270" s="862"/>
      <c r="N270" s="528">
        <f>SUM(N239:N269)</f>
        <v>103987.57988605785</v>
      </c>
      <c r="O270" s="514"/>
      <c r="P270" s="515"/>
      <c r="Q270" s="515"/>
      <c r="R270" s="515"/>
    </row>
    <row r="271" spans="2:20">
      <c r="G271" s="219">
        <v>37043</v>
      </c>
      <c r="P271" s="219">
        <v>43993</v>
      </c>
    </row>
    <row r="272" spans="2:20" s="231" customFormat="1">
      <c r="B272" s="863" t="s">
        <v>254</v>
      </c>
      <c r="C272" s="864"/>
      <c r="D272" s="865"/>
      <c r="E272" s="228" t="s">
        <v>129</v>
      </c>
      <c r="F272" s="229" t="s">
        <v>130</v>
      </c>
      <c r="G272" s="229">
        <v>35909</v>
      </c>
      <c r="H272" s="229" t="s">
        <v>132</v>
      </c>
      <c r="I272" s="229" t="s">
        <v>133</v>
      </c>
      <c r="J272" s="230"/>
      <c r="K272" s="866" t="str">
        <f>B272</f>
        <v>9月</v>
      </c>
      <c r="L272" s="866"/>
      <c r="M272" s="866"/>
      <c r="N272" s="228" t="s">
        <v>134</v>
      </c>
      <c r="O272" s="229" t="s">
        <v>135</v>
      </c>
      <c r="P272" s="229">
        <v>25839</v>
      </c>
      <c r="Q272" s="229" t="s">
        <v>137</v>
      </c>
      <c r="R272" s="229" t="s">
        <v>133</v>
      </c>
    </row>
    <row r="273" spans="2:20" ht="19.25" customHeight="1" outlineLevel="1">
      <c r="B273" s="520">
        <f>B269+1</f>
        <v>45901</v>
      </c>
      <c r="C273" s="233">
        <f>B273</f>
        <v>45901</v>
      </c>
      <c r="D273" s="234">
        <f>目標_2025R7!D264</f>
        <v>1</v>
      </c>
      <c r="E273" s="525">
        <f>IF(D273=1,'適正原価率表(仕入れお小遣い制度)'!$J$20,0)</f>
        <v>30509.119810858789</v>
      </c>
      <c r="F273" s="525">
        <f>IF(D273=1,E273,0)</f>
        <v>30509.119810858789</v>
      </c>
      <c r="G273" s="535">
        <v>11337</v>
      </c>
      <c r="H273" s="525">
        <f>IF(D273=1,G273,0)</f>
        <v>11337</v>
      </c>
      <c r="I273" s="235">
        <f>IF(D273=1,F273-H273,0)</f>
        <v>19172.119810858789</v>
      </c>
      <c r="J273" s="227"/>
      <c r="K273" s="520">
        <f>B273</f>
        <v>45901</v>
      </c>
      <c r="L273" s="521">
        <f>C273</f>
        <v>45901</v>
      </c>
      <c r="M273" s="524">
        <f t="shared" ref="M273:M302" si="72">D273</f>
        <v>1</v>
      </c>
      <c r="N273" s="525">
        <f>IF(M273=1,'適正原価率表(仕入れお小遣い制度)'!$J$21,0)</f>
        <v>6186.9025822344929</v>
      </c>
      <c r="O273" s="525">
        <f>IF(M273=1,N273,0)</f>
        <v>6186.9025822344929</v>
      </c>
      <c r="P273" s="535">
        <v>62609</v>
      </c>
      <c r="Q273" s="525">
        <f>IF(M273=1,P273,0)</f>
        <v>62609</v>
      </c>
      <c r="R273" s="235">
        <f t="shared" ref="R273:R302" si="73">IF(D273=1,O273-Q273,0)</f>
        <v>-56422.097417765508</v>
      </c>
      <c r="T273" s="526">
        <f>T269+1</f>
        <v>45901</v>
      </c>
    </row>
    <row r="274" spans="2:20" ht="19.25" customHeight="1" outlineLevel="1">
      <c r="B274" s="520">
        <f>B273+1</f>
        <v>45902</v>
      </c>
      <c r="C274" s="233">
        <f t="shared" ref="C274:C302" si="74">B274</f>
        <v>45902</v>
      </c>
      <c r="D274" s="234">
        <f>目標_2025R7!D265</f>
        <v>1</v>
      </c>
      <c r="E274" s="525">
        <f>IF(D274=1,'適正原価率表(仕入れお小遣い制度)'!$J$20,0)</f>
        <v>30509.119810858789</v>
      </c>
      <c r="F274" s="525">
        <f>IF(D274=1,SUM($E$273:E274),0)</f>
        <v>61018.239621717577</v>
      </c>
      <c r="G274" s="535">
        <v>56402</v>
      </c>
      <c r="H274" s="525">
        <f>IF(D274=1,SUM($G$273:G274),0)</f>
        <v>67739</v>
      </c>
      <c r="I274" s="235">
        <f>IF(D274=1,F274-H274,0)</f>
        <v>-6720.7603782824226</v>
      </c>
      <c r="J274" s="227"/>
      <c r="K274" s="520">
        <f t="shared" ref="K274:K294" si="75">B274</f>
        <v>45902</v>
      </c>
      <c r="L274" s="521">
        <f t="shared" ref="L274:L294" si="76">C274</f>
        <v>45902</v>
      </c>
      <c r="M274" s="524">
        <f t="shared" si="72"/>
        <v>1</v>
      </c>
      <c r="N274" s="525">
        <f>IF(M274=1,'適正原価率表(仕入れお小遣い制度)'!$J$21,0)</f>
        <v>6186.9025822344929</v>
      </c>
      <c r="O274" s="525">
        <f>IF(M274=1,SUM($N$273:N274),0)</f>
        <v>12373.805164468986</v>
      </c>
      <c r="P274" s="535">
        <v>0</v>
      </c>
      <c r="Q274" s="525">
        <f>IF(M274=1,SUM($P$273:P274),0)</f>
        <v>62609</v>
      </c>
      <c r="R274" s="235">
        <f t="shared" si="73"/>
        <v>-50235.194835531016</v>
      </c>
      <c r="T274" s="526">
        <f>T273+1</f>
        <v>45902</v>
      </c>
    </row>
    <row r="275" spans="2:20" ht="19.25" customHeight="1" outlineLevel="1">
      <c r="B275" s="520">
        <f t="shared" ref="B275:B302" si="77">B274+1</f>
        <v>45903</v>
      </c>
      <c r="C275" s="233">
        <f t="shared" si="74"/>
        <v>45903</v>
      </c>
      <c r="D275" s="234">
        <f>目標_2025R7!D266</f>
        <v>1</v>
      </c>
      <c r="E275" s="525">
        <f>IF(D275=1,'適正原価率表(仕入れお小遣い制度)'!$J$20,0)</f>
        <v>30509.119810858789</v>
      </c>
      <c r="F275" s="525">
        <f>IF(D275=1,SUM($E$273:E275),0)</f>
        <v>91527.35943257637</v>
      </c>
      <c r="G275" s="535">
        <v>29739</v>
      </c>
      <c r="H275" s="525">
        <f>IF(D275=1,SUM($G$273:G275),0)</f>
        <v>97478</v>
      </c>
      <c r="I275" s="235">
        <f t="shared" ref="I275:I302" si="78">IF(D275=1,F275-H275,0)</f>
        <v>-5950.6405674236303</v>
      </c>
      <c r="J275" s="227"/>
      <c r="K275" s="520">
        <f t="shared" si="75"/>
        <v>45903</v>
      </c>
      <c r="L275" s="521">
        <f t="shared" si="76"/>
        <v>45903</v>
      </c>
      <c r="M275" s="524">
        <f t="shared" si="72"/>
        <v>1</v>
      </c>
      <c r="N275" s="525">
        <f>IF(M275=1,'適正原価率表(仕入れお小遣い制度)'!$J$21,0)</f>
        <v>6186.9025822344929</v>
      </c>
      <c r="O275" s="525">
        <f>IF(M275=1,SUM($N$273:N275),0)</f>
        <v>18560.70774670348</v>
      </c>
      <c r="P275" s="535">
        <v>17298</v>
      </c>
      <c r="Q275" s="525">
        <f>IF(M275=1,SUM($P$273:P275),0)</f>
        <v>79907</v>
      </c>
      <c r="R275" s="235">
        <f t="shared" si="73"/>
        <v>-61346.292253296517</v>
      </c>
      <c r="T275" s="526">
        <f t="shared" ref="T275:T302" si="79">T274+1</f>
        <v>45903</v>
      </c>
    </row>
    <row r="276" spans="2:20" ht="19.25" customHeight="1" outlineLevel="1">
      <c r="B276" s="520">
        <f t="shared" si="77"/>
        <v>45904</v>
      </c>
      <c r="C276" s="233">
        <f t="shared" si="74"/>
        <v>45904</v>
      </c>
      <c r="D276" s="234">
        <f>目標_2025R7!D267</f>
        <v>1</v>
      </c>
      <c r="E276" s="525">
        <f>IF(D276=1,'適正原価率表(仕入れお小遣い制度)'!$J$20,0)</f>
        <v>30509.119810858789</v>
      </c>
      <c r="F276" s="525">
        <f>IF(D276=1,SUM($E$273:E276),0)</f>
        <v>122036.47924343515</v>
      </c>
      <c r="G276" s="535">
        <v>14557</v>
      </c>
      <c r="H276" s="525">
        <f>IF(D276=1,SUM($G$273:G276),0)</f>
        <v>112035</v>
      </c>
      <c r="I276" s="235">
        <f t="shared" si="78"/>
        <v>10001.479243435155</v>
      </c>
      <c r="J276" s="227"/>
      <c r="K276" s="520">
        <f t="shared" si="75"/>
        <v>45904</v>
      </c>
      <c r="L276" s="521">
        <f t="shared" si="76"/>
        <v>45904</v>
      </c>
      <c r="M276" s="524">
        <f t="shared" si="72"/>
        <v>1</v>
      </c>
      <c r="N276" s="525">
        <f>IF(M276=1,'適正原価率表(仕入れお小遣い制度)'!$J$21,0)</f>
        <v>6186.9025822344929</v>
      </c>
      <c r="O276" s="525">
        <f>IF(M276=1,SUM($N$273:N276),0)</f>
        <v>24747.610328937972</v>
      </c>
      <c r="P276" s="535">
        <v>0</v>
      </c>
      <c r="Q276" s="525">
        <f>IF(M276=1,SUM($P$273:P276),0)</f>
        <v>79907</v>
      </c>
      <c r="R276" s="235">
        <f t="shared" si="73"/>
        <v>-55159.389671062032</v>
      </c>
      <c r="T276" s="526">
        <f t="shared" si="79"/>
        <v>45904</v>
      </c>
    </row>
    <row r="277" spans="2:20" ht="19.25" customHeight="1" outlineLevel="1">
      <c r="B277" s="520">
        <f t="shared" si="77"/>
        <v>45905</v>
      </c>
      <c r="C277" s="233">
        <f t="shared" si="74"/>
        <v>45905</v>
      </c>
      <c r="D277" s="234">
        <f>目標_2025R7!D268</f>
        <v>1</v>
      </c>
      <c r="E277" s="525">
        <f>IF(D277=1,'適正原価率表(仕入れお小遣い制度)'!$J$20,0)</f>
        <v>30509.119810858789</v>
      </c>
      <c r="F277" s="525">
        <f>IF(D277=1,SUM($E$273:E277),0)</f>
        <v>152545.59905429394</v>
      </c>
      <c r="G277" s="535">
        <v>0</v>
      </c>
      <c r="H277" s="525">
        <f>IF(D277=1,SUM($G$273:G277),0)</f>
        <v>112035</v>
      </c>
      <c r="I277" s="235">
        <f t="shared" si="78"/>
        <v>40510.59905429394</v>
      </c>
      <c r="J277" s="227"/>
      <c r="K277" s="520">
        <f t="shared" si="75"/>
        <v>45905</v>
      </c>
      <c r="L277" s="521">
        <f t="shared" si="76"/>
        <v>45905</v>
      </c>
      <c r="M277" s="524">
        <f t="shared" si="72"/>
        <v>1</v>
      </c>
      <c r="N277" s="525">
        <f>IF(M277=1,'適正原価率表(仕入れお小遣い制度)'!$J$21,0)</f>
        <v>6186.9025822344929</v>
      </c>
      <c r="O277" s="525">
        <f>IF(M277=1,SUM($N$273:N277),0)</f>
        <v>30934.512911172464</v>
      </c>
      <c r="P277" s="535">
        <v>0</v>
      </c>
      <c r="Q277" s="525">
        <f>IF(M277=1,SUM($P$273:P277),0)</f>
        <v>79907</v>
      </c>
      <c r="R277" s="235">
        <f t="shared" si="73"/>
        <v>-48972.487088827533</v>
      </c>
      <c r="T277" s="526">
        <f t="shared" si="79"/>
        <v>45905</v>
      </c>
    </row>
    <row r="278" spans="2:20" ht="19.25" customHeight="1" outlineLevel="1">
      <c r="B278" s="520">
        <f t="shared" si="77"/>
        <v>45906</v>
      </c>
      <c r="C278" s="233">
        <f t="shared" si="74"/>
        <v>45906</v>
      </c>
      <c r="D278" s="234">
        <f>目標_2025R7!D269</f>
        <v>1</v>
      </c>
      <c r="E278" s="525">
        <f>IF(D278=1,'適正原価率表(仕入れお小遣い制度)'!$J$20,0)</f>
        <v>30509.119810858789</v>
      </c>
      <c r="F278" s="525">
        <f>IF(D278=1,SUM($E$273:E278),0)</f>
        <v>183054.71886515274</v>
      </c>
      <c r="G278" s="535">
        <v>45002</v>
      </c>
      <c r="H278" s="525">
        <f>IF(D278=1,SUM($G$273:G278),0)</f>
        <v>157037</v>
      </c>
      <c r="I278" s="235">
        <f t="shared" si="78"/>
        <v>26017.718865152739</v>
      </c>
      <c r="J278" s="227"/>
      <c r="K278" s="520">
        <f t="shared" si="75"/>
        <v>45906</v>
      </c>
      <c r="L278" s="521">
        <f t="shared" si="76"/>
        <v>45906</v>
      </c>
      <c r="M278" s="524">
        <f t="shared" si="72"/>
        <v>1</v>
      </c>
      <c r="N278" s="525">
        <f>IF(M278=1,'適正原価率表(仕入れお小遣い制度)'!$J$21,0)</f>
        <v>6186.9025822344929</v>
      </c>
      <c r="O278" s="525">
        <f>IF(M278=1,SUM($N$273:N278),0)</f>
        <v>37121.415493406959</v>
      </c>
      <c r="P278" s="535">
        <v>9010</v>
      </c>
      <c r="Q278" s="525">
        <f>IF(M278=1,SUM($P$273:P278),0)</f>
        <v>88917</v>
      </c>
      <c r="R278" s="235">
        <f t="shared" si="73"/>
        <v>-51795.584506593041</v>
      </c>
      <c r="T278" s="526">
        <f t="shared" si="79"/>
        <v>45906</v>
      </c>
    </row>
    <row r="279" spans="2:20" ht="19.25" customHeight="1" outlineLevel="1">
      <c r="B279" s="520">
        <f t="shared" si="77"/>
        <v>45907</v>
      </c>
      <c r="C279" s="233">
        <f t="shared" si="74"/>
        <v>45907</v>
      </c>
      <c r="D279" s="234">
        <f>目標_2025R7!D270</f>
        <v>0</v>
      </c>
      <c r="E279" s="525">
        <f>IF(D279=1,'適正原価率表(仕入れお小遣い制度)'!$J$20,0)</f>
        <v>0</v>
      </c>
      <c r="F279" s="525">
        <f>IF(D279=1,SUM($E$273:E279),0)</f>
        <v>0</v>
      </c>
      <c r="G279" s="535">
        <v>39854</v>
      </c>
      <c r="H279" s="525">
        <f>IF(D279=1,SUM($G$273:G279),0)</f>
        <v>0</v>
      </c>
      <c r="I279" s="235">
        <f t="shared" si="78"/>
        <v>0</v>
      </c>
      <c r="J279" s="227"/>
      <c r="K279" s="520">
        <f t="shared" si="75"/>
        <v>45907</v>
      </c>
      <c r="L279" s="521">
        <f t="shared" si="76"/>
        <v>45907</v>
      </c>
      <c r="M279" s="524">
        <f t="shared" si="72"/>
        <v>0</v>
      </c>
      <c r="N279" s="525">
        <f>IF(M279=1,'適正原価率表(仕入れお小遣い制度)'!$J$21,0)</f>
        <v>0</v>
      </c>
      <c r="O279" s="525">
        <f>IF(M279=1,SUM($N$273:N279),0)</f>
        <v>0</v>
      </c>
      <c r="P279" s="535">
        <v>3181</v>
      </c>
      <c r="Q279" s="525">
        <f>IF(M279=1,SUM($P$273:P279),0)</f>
        <v>0</v>
      </c>
      <c r="R279" s="235">
        <f t="shared" si="73"/>
        <v>0</v>
      </c>
      <c r="T279" s="526">
        <f t="shared" si="79"/>
        <v>45907</v>
      </c>
    </row>
    <row r="280" spans="2:20" ht="19.25" customHeight="1" outlineLevel="1">
      <c r="B280" s="520">
        <f t="shared" si="77"/>
        <v>45908</v>
      </c>
      <c r="C280" s="233">
        <f t="shared" si="74"/>
        <v>45908</v>
      </c>
      <c r="D280" s="234">
        <f>目標_2025R7!D271</f>
        <v>1</v>
      </c>
      <c r="E280" s="525">
        <f>IF(D280=1,'適正原価率表(仕入れお小遣い制度)'!$J$20,0)</f>
        <v>30509.119810858789</v>
      </c>
      <c r="F280" s="525">
        <f>IF(D280=1,SUM($E$273:E280),0)</f>
        <v>213563.83867601154</v>
      </c>
      <c r="G280" s="535">
        <v>45722</v>
      </c>
      <c r="H280" s="525">
        <f>IF(D280=1,SUM($G$273:G280),0)</f>
        <v>242613</v>
      </c>
      <c r="I280" s="235">
        <f t="shared" si="78"/>
        <v>-29049.161323988461</v>
      </c>
      <c r="J280" s="227"/>
      <c r="K280" s="520">
        <f t="shared" si="75"/>
        <v>45908</v>
      </c>
      <c r="L280" s="521">
        <f t="shared" si="76"/>
        <v>45908</v>
      </c>
      <c r="M280" s="524">
        <f t="shared" si="72"/>
        <v>1</v>
      </c>
      <c r="N280" s="525">
        <f>IF(M280=1,'適正原価率表(仕入れお小遣い制度)'!$J$21,0)</f>
        <v>6186.9025822344929</v>
      </c>
      <c r="O280" s="525">
        <f>IF(M280=1,SUM($N$273:N280),0)</f>
        <v>43308.318075641451</v>
      </c>
      <c r="P280" s="535">
        <v>35053</v>
      </c>
      <c r="Q280" s="525">
        <f>IF(M280=1,SUM($P$273:P280),0)</f>
        <v>127151</v>
      </c>
      <c r="R280" s="235">
        <f t="shared" si="73"/>
        <v>-83842.681924358549</v>
      </c>
      <c r="T280" s="526">
        <f t="shared" si="79"/>
        <v>45908</v>
      </c>
    </row>
    <row r="281" spans="2:20" ht="19.25" customHeight="1" outlineLevel="1">
      <c r="B281" s="520">
        <f t="shared" si="77"/>
        <v>45909</v>
      </c>
      <c r="C281" s="233">
        <f t="shared" si="74"/>
        <v>45909</v>
      </c>
      <c r="D281" s="234">
        <f>目標_2025R7!D272</f>
        <v>1</v>
      </c>
      <c r="E281" s="525">
        <f>IF(D281=1,'適正原価率表(仕入れお小遣い制度)'!$J$20,0)</f>
        <v>30509.119810858789</v>
      </c>
      <c r="F281" s="525">
        <f>IF(D281=1,SUM($E$273:E281),0)</f>
        <v>244072.95848687034</v>
      </c>
      <c r="G281" s="535">
        <v>48738</v>
      </c>
      <c r="H281" s="525">
        <f>IF(D281=1,SUM($G$273:G281),0)</f>
        <v>291351</v>
      </c>
      <c r="I281" s="235">
        <f t="shared" si="78"/>
        <v>-47278.041513129661</v>
      </c>
      <c r="J281" s="227"/>
      <c r="K281" s="520">
        <f t="shared" si="75"/>
        <v>45909</v>
      </c>
      <c r="L281" s="521">
        <f t="shared" si="76"/>
        <v>45909</v>
      </c>
      <c r="M281" s="524">
        <f t="shared" si="72"/>
        <v>1</v>
      </c>
      <c r="N281" s="525">
        <f>IF(M281=1,'適正原価率表(仕入れお小遣い制度)'!$J$21,0)</f>
        <v>6186.9025822344929</v>
      </c>
      <c r="O281" s="525">
        <f>IF(M281=1,SUM($N$273:N281),0)</f>
        <v>49495.220657875943</v>
      </c>
      <c r="P281" s="535">
        <v>7631</v>
      </c>
      <c r="Q281" s="525">
        <f>IF(M281=1,SUM($P$273:P281),0)</f>
        <v>134782</v>
      </c>
      <c r="R281" s="235">
        <f t="shared" si="73"/>
        <v>-85286.779342124064</v>
      </c>
      <c r="T281" s="526">
        <f t="shared" si="79"/>
        <v>45909</v>
      </c>
    </row>
    <row r="282" spans="2:20" ht="19.25" customHeight="1" outlineLevel="1">
      <c r="B282" s="520">
        <f t="shared" si="77"/>
        <v>45910</v>
      </c>
      <c r="C282" s="233">
        <f t="shared" si="74"/>
        <v>45910</v>
      </c>
      <c r="D282" s="234">
        <f>目標_2025R7!D273</f>
        <v>1</v>
      </c>
      <c r="E282" s="525">
        <f>IF(D282=1,'適正原価率表(仕入れお小遣い制度)'!$J$20,0)</f>
        <v>30509.119810858789</v>
      </c>
      <c r="F282" s="525">
        <f>IF(D282=1,SUM($E$273:E282),0)</f>
        <v>274582.07829772914</v>
      </c>
      <c r="G282" s="535">
        <v>76550</v>
      </c>
      <c r="H282" s="525">
        <f>IF(D282=1,SUM($G$273:G282),0)</f>
        <v>367901</v>
      </c>
      <c r="I282" s="235">
        <f t="shared" si="78"/>
        <v>-93318.921702270862</v>
      </c>
      <c r="J282" s="227"/>
      <c r="K282" s="520">
        <f t="shared" si="75"/>
        <v>45910</v>
      </c>
      <c r="L282" s="521">
        <f t="shared" si="76"/>
        <v>45910</v>
      </c>
      <c r="M282" s="524">
        <f t="shared" si="72"/>
        <v>1</v>
      </c>
      <c r="N282" s="525">
        <f>IF(M282=1,'適正原価率表(仕入れお小遣い制度)'!$J$21,0)</f>
        <v>6186.9025822344929</v>
      </c>
      <c r="O282" s="525">
        <f>IF(M282=1,SUM($N$273:N282),0)</f>
        <v>55682.123240110435</v>
      </c>
      <c r="P282" s="535">
        <v>34424</v>
      </c>
      <c r="Q282" s="525">
        <f>IF(M282=1,SUM($P$273:P282),0)</f>
        <v>169206</v>
      </c>
      <c r="R282" s="235">
        <f t="shared" si="73"/>
        <v>-113523.87675988956</v>
      </c>
      <c r="T282" s="526">
        <f t="shared" si="79"/>
        <v>45910</v>
      </c>
    </row>
    <row r="283" spans="2:20" ht="19.25" customHeight="1" outlineLevel="1">
      <c r="B283" s="520">
        <f t="shared" si="77"/>
        <v>45911</v>
      </c>
      <c r="C283" s="233">
        <f t="shared" si="74"/>
        <v>45911</v>
      </c>
      <c r="D283" s="234">
        <f>目標_2025R7!D274</f>
        <v>1</v>
      </c>
      <c r="E283" s="525">
        <f>IF(D283=1,'適正原価率表(仕入れお小遣い制度)'!$J$20,0)</f>
        <v>30509.119810858789</v>
      </c>
      <c r="F283" s="525">
        <f>IF(D283=1,SUM($E$273:E283),0)</f>
        <v>305091.19810858794</v>
      </c>
      <c r="G283" s="535">
        <v>22208</v>
      </c>
      <c r="H283" s="525">
        <f>IF(D283=1,SUM($G$273:G283),0)</f>
        <v>390109</v>
      </c>
      <c r="I283" s="235">
        <f t="shared" si="78"/>
        <v>-85017.801891412062</v>
      </c>
      <c r="J283" s="227"/>
      <c r="K283" s="520">
        <f t="shared" si="75"/>
        <v>45911</v>
      </c>
      <c r="L283" s="521">
        <f t="shared" si="76"/>
        <v>45911</v>
      </c>
      <c r="M283" s="524">
        <f t="shared" si="72"/>
        <v>1</v>
      </c>
      <c r="N283" s="525">
        <f>IF(M283=1,'適正原価率表(仕入れお小遣い制度)'!$J$21,0)</f>
        <v>6186.9025822344929</v>
      </c>
      <c r="O283" s="525">
        <f>IF(M283=1,SUM($N$273:N283),0)</f>
        <v>61869.025822344927</v>
      </c>
      <c r="P283" s="535">
        <v>22011</v>
      </c>
      <c r="Q283" s="525">
        <f>IF(M283=1,SUM($P$273:P283),0)</f>
        <v>191217</v>
      </c>
      <c r="R283" s="235">
        <f t="shared" si="73"/>
        <v>-129347.97417765507</v>
      </c>
      <c r="T283" s="526">
        <f t="shared" si="79"/>
        <v>45911</v>
      </c>
    </row>
    <row r="284" spans="2:20" ht="19.25" customHeight="1" outlineLevel="1">
      <c r="B284" s="520">
        <f t="shared" si="77"/>
        <v>45912</v>
      </c>
      <c r="C284" s="233">
        <f t="shared" si="74"/>
        <v>45912</v>
      </c>
      <c r="D284" s="234">
        <f>目標_2025R7!D275</f>
        <v>1</v>
      </c>
      <c r="E284" s="525">
        <f>IF(D284=1,'適正原価率表(仕入れお小遣い制度)'!$J$20,0)</f>
        <v>30509.119810858789</v>
      </c>
      <c r="F284" s="525">
        <f>IF(D284=1,SUM($E$273:E284),0)</f>
        <v>335600.31791944674</v>
      </c>
      <c r="G284" s="535">
        <v>0</v>
      </c>
      <c r="H284" s="525">
        <f>IF(D284=1,SUM($G$273:G284),0)</f>
        <v>390109</v>
      </c>
      <c r="I284" s="235">
        <f t="shared" si="78"/>
        <v>-54508.682080553262</v>
      </c>
      <c r="J284" s="227"/>
      <c r="K284" s="520">
        <f t="shared" si="75"/>
        <v>45912</v>
      </c>
      <c r="L284" s="521">
        <f t="shared" si="76"/>
        <v>45912</v>
      </c>
      <c r="M284" s="524">
        <f t="shared" si="72"/>
        <v>1</v>
      </c>
      <c r="N284" s="525">
        <f>IF(M284=1,'適正原価率表(仕入れお小遣い制度)'!$J$21,0)</f>
        <v>6186.9025822344929</v>
      </c>
      <c r="O284" s="525">
        <f>IF(M284=1,SUM($N$273:N284),0)</f>
        <v>68055.928404579419</v>
      </c>
      <c r="P284" s="535">
        <v>0</v>
      </c>
      <c r="Q284" s="525">
        <f>IF(M284=1,SUM($P$273:P284),0)</f>
        <v>191217</v>
      </c>
      <c r="R284" s="235">
        <f t="shared" si="73"/>
        <v>-123161.07159542058</v>
      </c>
      <c r="T284" s="526">
        <f t="shared" si="79"/>
        <v>45912</v>
      </c>
    </row>
    <row r="285" spans="2:20" ht="19.25" customHeight="1" outlineLevel="1">
      <c r="B285" s="520">
        <f t="shared" si="77"/>
        <v>45913</v>
      </c>
      <c r="C285" s="233">
        <f t="shared" si="74"/>
        <v>45913</v>
      </c>
      <c r="D285" s="234">
        <f>目標_2025R7!D276</f>
        <v>1</v>
      </c>
      <c r="E285" s="525">
        <f>IF(D285=1,'適正原価率表(仕入れお小遣い制度)'!$J$20,0)</f>
        <v>30509.119810858789</v>
      </c>
      <c r="F285" s="525">
        <f>IF(D285=1,SUM($E$273:E285),0)</f>
        <v>366109.43773030554</v>
      </c>
      <c r="G285" s="535">
        <v>0</v>
      </c>
      <c r="H285" s="525">
        <f>IF(D285=1,SUM($G$273:G285),0)</f>
        <v>390109</v>
      </c>
      <c r="I285" s="235">
        <f t="shared" si="78"/>
        <v>-23999.562269694463</v>
      </c>
      <c r="J285" s="227"/>
      <c r="K285" s="520">
        <f t="shared" si="75"/>
        <v>45913</v>
      </c>
      <c r="L285" s="521">
        <f t="shared" si="76"/>
        <v>45913</v>
      </c>
      <c r="M285" s="524">
        <f t="shared" si="72"/>
        <v>1</v>
      </c>
      <c r="N285" s="525">
        <f>IF(M285=1,'適正原価率表(仕入れお小遣い制度)'!$J$21,0)</f>
        <v>6186.9025822344929</v>
      </c>
      <c r="O285" s="525">
        <f>IF(M285=1,SUM($N$273:N285),0)</f>
        <v>74242.830986813919</v>
      </c>
      <c r="P285" s="535">
        <v>0</v>
      </c>
      <c r="Q285" s="525">
        <f>IF(M285=1,SUM($P$273:P285),0)</f>
        <v>191217</v>
      </c>
      <c r="R285" s="235">
        <f t="shared" si="73"/>
        <v>-116974.16901318608</v>
      </c>
      <c r="T285" s="526">
        <f t="shared" si="79"/>
        <v>45913</v>
      </c>
    </row>
    <row r="286" spans="2:20" ht="19.25" customHeight="1" outlineLevel="1">
      <c r="B286" s="520">
        <f t="shared" si="77"/>
        <v>45914</v>
      </c>
      <c r="C286" s="233">
        <f t="shared" si="74"/>
        <v>45914</v>
      </c>
      <c r="D286" s="234">
        <f>目標_2025R7!D277</f>
        <v>0</v>
      </c>
      <c r="E286" s="525">
        <f>IF(D286=1,'適正原価率表(仕入れお小遣い制度)'!$J$20,0)</f>
        <v>0</v>
      </c>
      <c r="F286" s="525">
        <f>IF(D286=1,SUM($E$273:E286),0)</f>
        <v>0</v>
      </c>
      <c r="G286" s="535">
        <v>95470</v>
      </c>
      <c r="H286" s="525">
        <f>IF(D286=1,SUM($G$273:G286),0)</f>
        <v>0</v>
      </c>
      <c r="I286" s="235">
        <f t="shared" si="78"/>
        <v>0</v>
      </c>
      <c r="J286" s="227"/>
      <c r="K286" s="520">
        <f t="shared" si="75"/>
        <v>45914</v>
      </c>
      <c r="L286" s="521">
        <f t="shared" si="76"/>
        <v>45914</v>
      </c>
      <c r="M286" s="524">
        <f t="shared" si="72"/>
        <v>0</v>
      </c>
      <c r="N286" s="525">
        <f>IF(M286=1,'適正原価率表(仕入れお小遣い制度)'!$J$21,0)</f>
        <v>0</v>
      </c>
      <c r="O286" s="525">
        <f>IF(M286=1,SUM($N$273:N286),0)</f>
        <v>0</v>
      </c>
      <c r="P286" s="535">
        <v>28726</v>
      </c>
      <c r="Q286" s="525">
        <f>IF(M286=1,SUM($P$273:P286),0)</f>
        <v>0</v>
      </c>
      <c r="R286" s="235">
        <f t="shared" si="73"/>
        <v>0</v>
      </c>
      <c r="T286" s="526">
        <f t="shared" si="79"/>
        <v>45914</v>
      </c>
    </row>
    <row r="287" spans="2:20" ht="19.25" customHeight="1" outlineLevel="1">
      <c r="B287" s="520">
        <f t="shared" si="77"/>
        <v>45915</v>
      </c>
      <c r="C287" s="233">
        <f t="shared" si="74"/>
        <v>45915</v>
      </c>
      <c r="D287" s="234">
        <f>目標_2025R7!D278</f>
        <v>0</v>
      </c>
      <c r="E287" s="525">
        <f>IF(D287=1,'適正原価率表(仕入れお小遣い制度)'!$J$20,0)</f>
        <v>0</v>
      </c>
      <c r="F287" s="525">
        <f>IF(D287=1,SUM($E$273:E287),0)</f>
        <v>0</v>
      </c>
      <c r="G287" s="535">
        <v>27390</v>
      </c>
      <c r="H287" s="525">
        <f>IF(D287=1,SUM($G$273:G287),0)</f>
        <v>0</v>
      </c>
      <c r="I287" s="235">
        <f t="shared" si="78"/>
        <v>0</v>
      </c>
      <c r="J287" s="227"/>
      <c r="K287" s="520">
        <f t="shared" si="75"/>
        <v>45915</v>
      </c>
      <c r="L287" s="521">
        <f t="shared" si="76"/>
        <v>45915</v>
      </c>
      <c r="M287" s="524">
        <f t="shared" si="72"/>
        <v>0</v>
      </c>
      <c r="N287" s="525">
        <f>IF(M287=1,'適正原価率表(仕入れお小遣い制度)'!$J$21,0)</f>
        <v>0</v>
      </c>
      <c r="O287" s="525">
        <f>IF(M287=1,SUM($N$273:N287),0)</f>
        <v>0</v>
      </c>
      <c r="P287" s="535">
        <v>8705</v>
      </c>
      <c r="Q287" s="525">
        <f>IF(M287=1,SUM($P$273:P287),0)</f>
        <v>0</v>
      </c>
      <c r="R287" s="235">
        <f t="shared" si="73"/>
        <v>0</v>
      </c>
      <c r="T287" s="526">
        <f t="shared" si="79"/>
        <v>45915</v>
      </c>
    </row>
    <row r="288" spans="2:20" ht="19.25" customHeight="1" outlineLevel="1">
      <c r="B288" s="520">
        <f t="shared" si="77"/>
        <v>45916</v>
      </c>
      <c r="C288" s="233">
        <f t="shared" si="74"/>
        <v>45916</v>
      </c>
      <c r="D288" s="234">
        <f>目標_2025R7!D279</f>
        <v>1</v>
      </c>
      <c r="E288" s="525">
        <f>IF(D288=1,'適正原価率表(仕入れお小遣い制度)'!$J$20,0)</f>
        <v>30509.119810858789</v>
      </c>
      <c r="F288" s="525">
        <f>IF(D288=1,SUM($E$273:E288),0)</f>
        <v>396618.55754116434</v>
      </c>
      <c r="G288" s="535">
        <v>109489</v>
      </c>
      <c r="H288" s="525">
        <f>IF(D288=1,SUM($G$273:G288),0)</f>
        <v>622458</v>
      </c>
      <c r="I288" s="235">
        <f t="shared" si="78"/>
        <v>-225839.44245883566</v>
      </c>
      <c r="J288" s="227"/>
      <c r="K288" s="520">
        <f t="shared" si="75"/>
        <v>45916</v>
      </c>
      <c r="L288" s="521">
        <f t="shared" si="76"/>
        <v>45916</v>
      </c>
      <c r="M288" s="524">
        <f t="shared" si="72"/>
        <v>1</v>
      </c>
      <c r="N288" s="525">
        <f>IF(M288=1,'適正原価率表(仕入れお小遣い制度)'!$J$21,0)</f>
        <v>6186.9025822344929</v>
      </c>
      <c r="O288" s="525">
        <f>IF(M288=1,SUM($N$273:N288),0)</f>
        <v>80429.733569048418</v>
      </c>
      <c r="P288" s="535">
        <v>14511</v>
      </c>
      <c r="Q288" s="525">
        <f>IF(M288=1,SUM($P$273:P288),0)</f>
        <v>243159</v>
      </c>
      <c r="R288" s="235">
        <f t="shared" si="73"/>
        <v>-162729.2664309516</v>
      </c>
      <c r="T288" s="526">
        <f t="shared" si="79"/>
        <v>45916</v>
      </c>
    </row>
    <row r="289" spans="2:20" ht="19.25" customHeight="1" outlineLevel="1">
      <c r="B289" s="520">
        <f t="shared" si="77"/>
        <v>45917</v>
      </c>
      <c r="C289" s="233">
        <f t="shared" si="74"/>
        <v>45917</v>
      </c>
      <c r="D289" s="234">
        <f>目標_2025R7!D280</f>
        <v>1</v>
      </c>
      <c r="E289" s="525">
        <f>IF(D289=1,'適正原価率表(仕入れお小遣い制度)'!$J$20,0)</f>
        <v>30509.119810858789</v>
      </c>
      <c r="F289" s="525">
        <f>IF(D289=1,SUM($E$273:E289),0)</f>
        <v>427127.67735202314</v>
      </c>
      <c r="G289" s="535">
        <v>40880</v>
      </c>
      <c r="H289" s="525">
        <f>IF(D289=1,SUM($G$273:G289),0)</f>
        <v>663338</v>
      </c>
      <c r="I289" s="235">
        <f t="shared" si="78"/>
        <v>-236210.32264797686</v>
      </c>
      <c r="J289" s="227"/>
      <c r="K289" s="520">
        <f t="shared" si="75"/>
        <v>45917</v>
      </c>
      <c r="L289" s="521">
        <f t="shared" si="76"/>
        <v>45917</v>
      </c>
      <c r="M289" s="524">
        <f t="shared" si="72"/>
        <v>1</v>
      </c>
      <c r="N289" s="525">
        <f>IF(M289=1,'適正原価率表(仕入れお小遣い制度)'!$J$21,0)</f>
        <v>6186.9025822344929</v>
      </c>
      <c r="O289" s="525">
        <f>IF(M289=1,SUM($N$273:N289),0)</f>
        <v>86616.636151282917</v>
      </c>
      <c r="P289" s="535">
        <v>30332</v>
      </c>
      <c r="Q289" s="525">
        <f>IF(M289=1,SUM($P$273:P289),0)</f>
        <v>273491</v>
      </c>
      <c r="R289" s="235">
        <f t="shared" si="73"/>
        <v>-186874.36384871707</v>
      </c>
      <c r="T289" s="526">
        <f t="shared" si="79"/>
        <v>45917</v>
      </c>
    </row>
    <row r="290" spans="2:20" ht="19.25" customHeight="1" outlineLevel="1">
      <c r="B290" s="520">
        <f t="shared" si="77"/>
        <v>45918</v>
      </c>
      <c r="C290" s="233">
        <f t="shared" si="74"/>
        <v>45918</v>
      </c>
      <c r="D290" s="234">
        <f>目標_2025R7!D281</f>
        <v>1</v>
      </c>
      <c r="E290" s="525">
        <f>IF(D290=1,'適正原価率表(仕入れお小遣い制度)'!$J$20,0)</f>
        <v>30509.119810858789</v>
      </c>
      <c r="F290" s="525">
        <f>IF(D290=1,SUM($E$273:E290),0)</f>
        <v>457636.79716288194</v>
      </c>
      <c r="G290" s="535">
        <v>21312</v>
      </c>
      <c r="H290" s="525">
        <f>IF(D290=1,SUM($G$273:G290),0)</f>
        <v>684650</v>
      </c>
      <c r="I290" s="235">
        <f t="shared" si="78"/>
        <v>-227013.20283711806</v>
      </c>
      <c r="J290" s="227"/>
      <c r="K290" s="520">
        <f t="shared" si="75"/>
        <v>45918</v>
      </c>
      <c r="L290" s="521">
        <f t="shared" si="76"/>
        <v>45918</v>
      </c>
      <c r="M290" s="524">
        <f t="shared" si="72"/>
        <v>1</v>
      </c>
      <c r="N290" s="525">
        <f>IF(M290=1,'適正原価率表(仕入れお小遣い制度)'!$J$21,0)</f>
        <v>6186.9025822344929</v>
      </c>
      <c r="O290" s="525">
        <f>IF(M290=1,SUM($N$273:N290),0)</f>
        <v>92803.538733517416</v>
      </c>
      <c r="P290" s="535">
        <v>470</v>
      </c>
      <c r="Q290" s="525">
        <f>IF(M290=1,SUM($P$273:P290),0)</f>
        <v>273961</v>
      </c>
      <c r="R290" s="235">
        <f t="shared" si="73"/>
        <v>-181157.4612664826</v>
      </c>
      <c r="T290" s="526">
        <f t="shared" si="79"/>
        <v>45918</v>
      </c>
    </row>
    <row r="291" spans="2:20" ht="19.25" customHeight="1" outlineLevel="1">
      <c r="B291" s="520">
        <f t="shared" si="77"/>
        <v>45919</v>
      </c>
      <c r="C291" s="233">
        <f t="shared" si="74"/>
        <v>45919</v>
      </c>
      <c r="D291" s="234">
        <f>目標_2025R7!D282</f>
        <v>1</v>
      </c>
      <c r="E291" s="525">
        <f>IF(D291=1,'適正原価率表(仕入れお小遣い制度)'!$J$20,0)</f>
        <v>30509.119810858789</v>
      </c>
      <c r="F291" s="525">
        <f>IF(D291=1,SUM($E$273:E291),0)</f>
        <v>488145.91697374074</v>
      </c>
      <c r="G291" s="535">
        <v>0</v>
      </c>
      <c r="H291" s="525">
        <f>IF(D291=1,SUM($G$273:G291),0)</f>
        <v>684650</v>
      </c>
      <c r="I291" s="235">
        <f t="shared" si="78"/>
        <v>-196504.08302625926</v>
      </c>
      <c r="J291" s="227"/>
      <c r="K291" s="520">
        <f t="shared" si="75"/>
        <v>45919</v>
      </c>
      <c r="L291" s="521">
        <f t="shared" si="76"/>
        <v>45919</v>
      </c>
      <c r="M291" s="524">
        <f t="shared" si="72"/>
        <v>1</v>
      </c>
      <c r="N291" s="525">
        <f>IF(M291=1,'適正原価率表(仕入れお小遣い制度)'!$J$21,0)</f>
        <v>6186.9025822344929</v>
      </c>
      <c r="O291" s="525">
        <f>IF(M291=1,SUM($N$273:N291),0)</f>
        <v>98990.441315751916</v>
      </c>
      <c r="P291" s="535">
        <v>0</v>
      </c>
      <c r="Q291" s="525">
        <f>IF(M291=1,SUM($P$273:P291),0)</f>
        <v>273961</v>
      </c>
      <c r="R291" s="235">
        <f t="shared" si="73"/>
        <v>-174970.55868424807</v>
      </c>
      <c r="T291" s="526">
        <f t="shared" si="79"/>
        <v>45919</v>
      </c>
    </row>
    <row r="292" spans="2:20" ht="19.25" customHeight="1" outlineLevel="1">
      <c r="B292" s="520">
        <f t="shared" si="77"/>
        <v>45920</v>
      </c>
      <c r="C292" s="233">
        <f t="shared" si="74"/>
        <v>45920</v>
      </c>
      <c r="D292" s="234">
        <f>目標_2025R7!D283</f>
        <v>1</v>
      </c>
      <c r="E292" s="525">
        <f>IF(D292=1,'適正原価率表(仕入れお小遣い制度)'!$J$20,0)</f>
        <v>30509.119810858789</v>
      </c>
      <c r="F292" s="525">
        <f>IF(D292=1,SUM($E$273:E292),0)</f>
        <v>518655.03678459954</v>
      </c>
      <c r="G292" s="535">
        <v>55716</v>
      </c>
      <c r="H292" s="525">
        <f>IF(D292=1,SUM($G$273:G292),0)</f>
        <v>740366</v>
      </c>
      <c r="I292" s="235">
        <f t="shared" si="78"/>
        <v>-221710.96321540046</v>
      </c>
      <c r="J292" s="227"/>
      <c r="K292" s="520">
        <f t="shared" si="75"/>
        <v>45920</v>
      </c>
      <c r="L292" s="521">
        <f t="shared" si="76"/>
        <v>45920</v>
      </c>
      <c r="M292" s="524">
        <f t="shared" si="72"/>
        <v>1</v>
      </c>
      <c r="N292" s="525">
        <f>IF(M292=1,'適正原価率表(仕入れお小遣い制度)'!$J$21,0)</f>
        <v>6186.9025822344929</v>
      </c>
      <c r="O292" s="525">
        <f>IF(M292=1,SUM($N$273:N292),0)</f>
        <v>105177.34389798641</v>
      </c>
      <c r="P292" s="535">
        <v>15753</v>
      </c>
      <c r="Q292" s="525">
        <f>IF(M292=1,SUM($P$273:P292),0)</f>
        <v>289714</v>
      </c>
      <c r="R292" s="235">
        <f t="shared" si="73"/>
        <v>-184536.6561020136</v>
      </c>
      <c r="T292" s="526">
        <f t="shared" si="79"/>
        <v>45920</v>
      </c>
    </row>
    <row r="293" spans="2:20" ht="19.25" customHeight="1" outlineLevel="1">
      <c r="B293" s="520">
        <f t="shared" si="77"/>
        <v>45921</v>
      </c>
      <c r="C293" s="233">
        <f t="shared" si="74"/>
        <v>45921</v>
      </c>
      <c r="D293" s="234">
        <f>目標_2025R7!D284</f>
        <v>0</v>
      </c>
      <c r="E293" s="525">
        <f>IF(D293=1,'適正原価率表(仕入れお小遣い制度)'!$J$20,0)</f>
        <v>0</v>
      </c>
      <c r="F293" s="525">
        <f>IF(D293=1,SUM($E$273:E293),0)</f>
        <v>0</v>
      </c>
      <c r="G293" s="535">
        <v>0</v>
      </c>
      <c r="H293" s="525">
        <f>IF(D293=1,SUM($G$273:G293),0)</f>
        <v>0</v>
      </c>
      <c r="I293" s="235">
        <f t="shared" si="78"/>
        <v>0</v>
      </c>
      <c r="J293" s="227"/>
      <c r="K293" s="520">
        <f t="shared" si="75"/>
        <v>45921</v>
      </c>
      <c r="L293" s="521">
        <f t="shared" si="76"/>
        <v>45921</v>
      </c>
      <c r="M293" s="524">
        <f t="shared" si="72"/>
        <v>0</v>
      </c>
      <c r="N293" s="525">
        <f>IF(M293=1,'適正原価率表(仕入れお小遣い制度)'!$J$21,0)</f>
        <v>0</v>
      </c>
      <c r="O293" s="525">
        <f>IF(M293=1,SUM($N$273:N293),0)</f>
        <v>0</v>
      </c>
      <c r="P293" s="535">
        <v>0</v>
      </c>
      <c r="Q293" s="525">
        <f>IF(M293=1,SUM($P$273:P293),0)</f>
        <v>0</v>
      </c>
      <c r="R293" s="235">
        <f t="shared" si="73"/>
        <v>0</v>
      </c>
      <c r="T293" s="526">
        <f t="shared" si="79"/>
        <v>45921</v>
      </c>
    </row>
    <row r="294" spans="2:20" ht="19.25" customHeight="1" outlineLevel="1">
      <c r="B294" s="520">
        <f t="shared" si="77"/>
        <v>45922</v>
      </c>
      <c r="C294" s="233">
        <f t="shared" si="74"/>
        <v>45922</v>
      </c>
      <c r="D294" s="234">
        <f>目標_2025R7!D285</f>
        <v>1</v>
      </c>
      <c r="E294" s="525">
        <f>IF(D294=1,'適正原価率表(仕入れお小遣い制度)'!$J$20,0)</f>
        <v>30509.119810858789</v>
      </c>
      <c r="F294" s="525">
        <f>IF(D294=1,SUM($E$273:E294),0)</f>
        <v>549164.15659545828</v>
      </c>
      <c r="G294" s="535">
        <v>70225</v>
      </c>
      <c r="H294" s="525">
        <f>IF(D294=1,SUM($G$273:G294),0)</f>
        <v>810591</v>
      </c>
      <c r="I294" s="235">
        <f t="shared" si="78"/>
        <v>-261426.84340454172</v>
      </c>
      <c r="J294" s="227"/>
      <c r="K294" s="520">
        <f t="shared" si="75"/>
        <v>45922</v>
      </c>
      <c r="L294" s="521">
        <f t="shared" si="76"/>
        <v>45922</v>
      </c>
      <c r="M294" s="524">
        <f t="shared" si="72"/>
        <v>1</v>
      </c>
      <c r="N294" s="525">
        <f>IF(M294=1,'適正原価率表(仕入れお小遣い制度)'!$J$21,0)</f>
        <v>6186.9025822344929</v>
      </c>
      <c r="O294" s="525">
        <f>IF(M294=1,SUM($N$273:N294),0)</f>
        <v>111364.24648022091</v>
      </c>
      <c r="P294" s="535">
        <v>17638</v>
      </c>
      <c r="Q294" s="525">
        <f>IF(M294=1,SUM($P$273:P294),0)</f>
        <v>307352</v>
      </c>
      <c r="R294" s="235">
        <f t="shared" si="73"/>
        <v>-195987.75351977907</v>
      </c>
      <c r="T294" s="526">
        <f t="shared" si="79"/>
        <v>45922</v>
      </c>
    </row>
    <row r="295" spans="2:20" ht="19.25" customHeight="1" outlineLevel="1">
      <c r="B295" s="520">
        <f t="shared" si="77"/>
        <v>45923</v>
      </c>
      <c r="C295" s="233">
        <f>B295</f>
        <v>45923</v>
      </c>
      <c r="D295" s="234">
        <f>目標_2025R7!D286</f>
        <v>0</v>
      </c>
      <c r="E295" s="525">
        <f>IF(D295=1,'適正原価率表(仕入れお小遣い制度)'!$J$20,0)</f>
        <v>0</v>
      </c>
      <c r="F295" s="525">
        <f>IF(D295=1,SUM($E$273:E295),0)</f>
        <v>0</v>
      </c>
      <c r="G295" s="535">
        <v>45907</v>
      </c>
      <c r="H295" s="525">
        <f>IF(D295=1,SUM($G$273:G295),0)</f>
        <v>0</v>
      </c>
      <c r="I295" s="235">
        <f t="shared" si="78"/>
        <v>0</v>
      </c>
      <c r="J295" s="227"/>
      <c r="K295" s="520">
        <f>B295</f>
        <v>45923</v>
      </c>
      <c r="L295" s="521">
        <f>C295</f>
        <v>45923</v>
      </c>
      <c r="M295" s="524">
        <f t="shared" si="72"/>
        <v>0</v>
      </c>
      <c r="N295" s="525">
        <f>IF(M295=1,'適正原価率表(仕入れお小遣い制度)'!$J$21,0)</f>
        <v>0</v>
      </c>
      <c r="O295" s="525">
        <f>IF(M295=1,SUM($N$273:N295),0)</f>
        <v>0</v>
      </c>
      <c r="P295" s="535">
        <v>9589</v>
      </c>
      <c r="Q295" s="525">
        <f>IF(M295=1,SUM($P$273:P295),0)</f>
        <v>0</v>
      </c>
      <c r="R295" s="235">
        <f t="shared" si="73"/>
        <v>0</v>
      </c>
      <c r="T295" s="526">
        <f t="shared" si="79"/>
        <v>45923</v>
      </c>
    </row>
    <row r="296" spans="2:20" ht="19.25" customHeight="1" outlineLevel="1">
      <c r="B296" s="520">
        <f t="shared" si="77"/>
        <v>45924</v>
      </c>
      <c r="C296" s="233">
        <f t="shared" si="74"/>
        <v>45924</v>
      </c>
      <c r="D296" s="234">
        <f>目標_2025R7!D287</f>
        <v>1</v>
      </c>
      <c r="E296" s="525">
        <f>IF(D296=1,'適正原価率表(仕入れお小遣い制度)'!$J$20,0)</f>
        <v>30509.119810858789</v>
      </c>
      <c r="F296" s="525">
        <f>IF(D296=1,SUM($E$273:E296),0)</f>
        <v>579673.27640631702</v>
      </c>
      <c r="G296" s="535">
        <v>26113</v>
      </c>
      <c r="H296" s="525">
        <f>IF(D296=1,SUM($G$273:G296),0)</f>
        <v>882611</v>
      </c>
      <c r="I296" s="235">
        <f t="shared" si="78"/>
        <v>-302937.72359368298</v>
      </c>
      <c r="J296" s="227"/>
      <c r="K296" s="520">
        <f t="shared" ref="K296:K302" si="80">B296</f>
        <v>45924</v>
      </c>
      <c r="L296" s="521">
        <f t="shared" ref="L296:L302" si="81">C296</f>
        <v>45924</v>
      </c>
      <c r="M296" s="524">
        <f t="shared" si="72"/>
        <v>1</v>
      </c>
      <c r="N296" s="525">
        <f>IF(M296=1,'適正原価率表(仕入れお小遣い制度)'!$J$21,0)</f>
        <v>6186.9025822344929</v>
      </c>
      <c r="O296" s="525">
        <f>IF(M296=1,SUM($N$273:N296),0)</f>
        <v>117551.14906245541</v>
      </c>
      <c r="P296" s="535">
        <v>17863</v>
      </c>
      <c r="Q296" s="525">
        <f>IF(M296=1,SUM($P$273:P296),0)</f>
        <v>334804</v>
      </c>
      <c r="R296" s="235">
        <f t="shared" si="73"/>
        <v>-217252.8509375446</v>
      </c>
      <c r="T296" s="526">
        <f t="shared" si="79"/>
        <v>45924</v>
      </c>
    </row>
    <row r="297" spans="2:20" ht="19.25" customHeight="1" outlineLevel="1">
      <c r="B297" s="520">
        <f t="shared" si="77"/>
        <v>45925</v>
      </c>
      <c r="C297" s="233">
        <f t="shared" si="74"/>
        <v>45925</v>
      </c>
      <c r="D297" s="234">
        <f>目標_2025R7!D288</f>
        <v>1</v>
      </c>
      <c r="E297" s="525">
        <f>IF(D297=1,'適正原価率表(仕入れお小遣い制度)'!$J$20,0)</f>
        <v>30509.119810858789</v>
      </c>
      <c r="F297" s="525">
        <f>IF(D297=1,SUM($E$273:E297),0)</f>
        <v>610182.39621717576</v>
      </c>
      <c r="G297" s="535">
        <v>0</v>
      </c>
      <c r="H297" s="525">
        <f>IF(D297=1,SUM($G$273:G297),0)</f>
        <v>882611</v>
      </c>
      <c r="I297" s="235">
        <f t="shared" si="78"/>
        <v>-272428.60378282424</v>
      </c>
      <c r="J297" s="227"/>
      <c r="K297" s="520">
        <f t="shared" si="80"/>
        <v>45925</v>
      </c>
      <c r="L297" s="521">
        <f t="shared" si="81"/>
        <v>45925</v>
      </c>
      <c r="M297" s="524">
        <f t="shared" si="72"/>
        <v>1</v>
      </c>
      <c r="N297" s="525">
        <f>IF(M297=1,'適正原価率表(仕入れお小遣い制度)'!$J$21,0)</f>
        <v>6186.9025822344929</v>
      </c>
      <c r="O297" s="525">
        <f>IF(M297=1,SUM($N$273:N297),0)</f>
        <v>123738.05164468991</v>
      </c>
      <c r="P297" s="535">
        <v>0</v>
      </c>
      <c r="Q297" s="525">
        <f>IF(M297=1,SUM($P$273:P297),0)</f>
        <v>334804</v>
      </c>
      <c r="R297" s="235">
        <f t="shared" si="73"/>
        <v>-211065.94835531007</v>
      </c>
      <c r="T297" s="526">
        <f t="shared" si="79"/>
        <v>45925</v>
      </c>
    </row>
    <row r="298" spans="2:20" ht="19.25" customHeight="1" outlineLevel="1">
      <c r="B298" s="520">
        <f t="shared" si="77"/>
        <v>45926</v>
      </c>
      <c r="C298" s="233">
        <f t="shared" si="74"/>
        <v>45926</v>
      </c>
      <c r="D298" s="234">
        <f>目標_2025R7!D289</f>
        <v>1</v>
      </c>
      <c r="E298" s="525">
        <f>IF(D298=1,'適正原価率表(仕入れお小遣い制度)'!$J$20,0)</f>
        <v>30509.119810858789</v>
      </c>
      <c r="F298" s="525">
        <f>IF(D298=1,SUM($E$273:E298),0)</f>
        <v>640691.5160280345</v>
      </c>
      <c r="G298" s="535">
        <v>0</v>
      </c>
      <c r="H298" s="525">
        <f>IF(D298=1,SUM($G$273:G298),0)</f>
        <v>882611</v>
      </c>
      <c r="I298" s="235">
        <f t="shared" si="78"/>
        <v>-241919.4839719655</v>
      </c>
      <c r="J298" s="227"/>
      <c r="K298" s="520">
        <f t="shared" si="80"/>
        <v>45926</v>
      </c>
      <c r="L298" s="521">
        <f t="shared" si="81"/>
        <v>45926</v>
      </c>
      <c r="M298" s="524">
        <f t="shared" si="72"/>
        <v>1</v>
      </c>
      <c r="N298" s="525">
        <f>IF(M298=1,'適正原価率表(仕入れお小遣い制度)'!$J$21,0)</f>
        <v>6186.9025822344929</v>
      </c>
      <c r="O298" s="525">
        <f>IF(M298=1,SUM($N$273:N298),0)</f>
        <v>129924.95422692441</v>
      </c>
      <c r="P298" s="535">
        <v>0</v>
      </c>
      <c r="Q298" s="525">
        <f>IF(M298=1,SUM($P$273:P298),0)</f>
        <v>334804</v>
      </c>
      <c r="R298" s="235">
        <f t="shared" si="73"/>
        <v>-204879.0457730756</v>
      </c>
      <c r="T298" s="526">
        <f t="shared" si="79"/>
        <v>45926</v>
      </c>
    </row>
    <row r="299" spans="2:20" ht="19.25" customHeight="1" outlineLevel="1">
      <c r="B299" s="520">
        <f t="shared" si="77"/>
        <v>45927</v>
      </c>
      <c r="C299" s="233">
        <f t="shared" si="74"/>
        <v>45927</v>
      </c>
      <c r="D299" s="234">
        <f>目標_2025R7!D290</f>
        <v>0</v>
      </c>
      <c r="E299" s="525">
        <f>IF(D299=1,'適正原価率表(仕入れお小遣い制度)'!$J$20,0)</f>
        <v>0</v>
      </c>
      <c r="F299" s="525">
        <f>IF(D299=1,SUM($E$273:E299),0)</f>
        <v>0</v>
      </c>
      <c r="G299" s="535">
        <v>30588</v>
      </c>
      <c r="H299" s="525">
        <f>IF(D299=1,SUM($G$273:G299),0)</f>
        <v>0</v>
      </c>
      <c r="I299" s="235">
        <f t="shared" si="78"/>
        <v>0</v>
      </c>
      <c r="J299" s="227"/>
      <c r="K299" s="520">
        <f t="shared" si="80"/>
        <v>45927</v>
      </c>
      <c r="L299" s="521">
        <f t="shared" si="81"/>
        <v>45927</v>
      </c>
      <c r="M299" s="524">
        <f t="shared" si="72"/>
        <v>0</v>
      </c>
      <c r="N299" s="525">
        <f>IF(M299=1,'適正原価率表(仕入れお小遣い制度)'!$J$21,0)</f>
        <v>0</v>
      </c>
      <c r="O299" s="525">
        <f>IF(M299=1,SUM($N$273:N299),0)</f>
        <v>0</v>
      </c>
      <c r="P299" s="535">
        <v>9510</v>
      </c>
      <c r="Q299" s="525">
        <f>IF(M299=1,SUM($P$273:P299),0)</f>
        <v>0</v>
      </c>
      <c r="R299" s="235">
        <f t="shared" si="73"/>
        <v>0</v>
      </c>
      <c r="T299" s="526">
        <f t="shared" si="79"/>
        <v>45927</v>
      </c>
    </row>
    <row r="300" spans="2:20" ht="19.25" customHeight="1" outlineLevel="1">
      <c r="B300" s="520">
        <f t="shared" si="77"/>
        <v>45928</v>
      </c>
      <c r="C300" s="233">
        <f t="shared" si="74"/>
        <v>45928</v>
      </c>
      <c r="D300" s="234">
        <f>目標_2025R7!D291</f>
        <v>0</v>
      </c>
      <c r="E300" s="525">
        <f>IF(D300=1,'適正原価率表(仕入れお小遣い制度)'!$J$20,0)</f>
        <v>0</v>
      </c>
      <c r="F300" s="525">
        <f>IF(D300=1,SUM($E$273:E300),0)</f>
        <v>0</v>
      </c>
      <c r="G300" s="535">
        <v>18903</v>
      </c>
      <c r="H300" s="525">
        <f>IF(D300=1,SUM($G$273:G300),0)</f>
        <v>0</v>
      </c>
      <c r="I300" s="235">
        <f t="shared" si="78"/>
        <v>0</v>
      </c>
      <c r="J300" s="227"/>
      <c r="K300" s="520">
        <f t="shared" si="80"/>
        <v>45928</v>
      </c>
      <c r="L300" s="521">
        <f t="shared" si="81"/>
        <v>45928</v>
      </c>
      <c r="M300" s="524">
        <f t="shared" si="72"/>
        <v>0</v>
      </c>
      <c r="N300" s="525">
        <f>IF(M300=1,'適正原価率表(仕入れお小遣い制度)'!$J$21,0)</f>
        <v>0</v>
      </c>
      <c r="O300" s="525">
        <f>IF(M300=1,SUM($N$273:N300),0)</f>
        <v>0</v>
      </c>
      <c r="P300" s="535">
        <v>0</v>
      </c>
      <c r="Q300" s="525">
        <f>IF(M300=1,SUM($P$273:P300),0)</f>
        <v>0</v>
      </c>
      <c r="R300" s="235">
        <f t="shared" si="73"/>
        <v>0</v>
      </c>
      <c r="T300" s="526">
        <f t="shared" si="79"/>
        <v>45928</v>
      </c>
    </row>
    <row r="301" spans="2:20" ht="19.25" customHeight="1" outlineLevel="1">
      <c r="B301" s="520">
        <f t="shared" si="77"/>
        <v>45929</v>
      </c>
      <c r="C301" s="233">
        <f t="shared" si="74"/>
        <v>45929</v>
      </c>
      <c r="D301" s="234">
        <f>目標_2025R7!D292</f>
        <v>1</v>
      </c>
      <c r="E301" s="525">
        <f>IF(D301=1,'適正原価率表(仕入れお小遣い制度)'!$J$20,0)</f>
        <v>30509.119810858789</v>
      </c>
      <c r="F301" s="525">
        <f>IF(D301=1,SUM($E$273:E301),0)</f>
        <v>671200.63583889324</v>
      </c>
      <c r="G301" s="535">
        <v>0</v>
      </c>
      <c r="H301" s="525">
        <f>IF(D301=1,SUM($G$273:G301),0)</f>
        <v>932102</v>
      </c>
      <c r="I301" s="235">
        <f t="shared" si="78"/>
        <v>-260901.36416110676</v>
      </c>
      <c r="J301" s="227"/>
      <c r="K301" s="520">
        <f t="shared" si="80"/>
        <v>45929</v>
      </c>
      <c r="L301" s="521">
        <f t="shared" si="81"/>
        <v>45929</v>
      </c>
      <c r="M301" s="524">
        <f t="shared" si="72"/>
        <v>1</v>
      </c>
      <c r="N301" s="525">
        <f>IF(M301=1,'適正原価率表(仕入れお小遣い制度)'!$J$21,0)</f>
        <v>6186.9025822344929</v>
      </c>
      <c r="O301" s="525">
        <f>IF(M301=1,SUM($N$273:N301),0)</f>
        <v>136111.8568091589</v>
      </c>
      <c r="P301" s="535">
        <v>0</v>
      </c>
      <c r="Q301" s="525">
        <f>IF(M301=1,SUM($P$273:P301),0)</f>
        <v>344314</v>
      </c>
      <c r="R301" s="235">
        <f t="shared" si="73"/>
        <v>-208202.1431908411</v>
      </c>
      <c r="T301" s="526">
        <f t="shared" si="79"/>
        <v>45929</v>
      </c>
    </row>
    <row r="302" spans="2:20" ht="19.25" customHeight="1" outlineLevel="1">
      <c r="B302" s="520">
        <f t="shared" si="77"/>
        <v>45930</v>
      </c>
      <c r="C302" s="233">
        <f t="shared" si="74"/>
        <v>45930</v>
      </c>
      <c r="D302" s="234">
        <f>目標_2025R7!D293</f>
        <v>1</v>
      </c>
      <c r="E302" s="525">
        <f>IF(D302=1,'適正原価率表(仕入れお小遣い制度)'!$J$20,0)</f>
        <v>30509.119810858789</v>
      </c>
      <c r="F302" s="525">
        <f>IF(D302=1,SUM($E$273:E302),0)</f>
        <v>701709.75564975198</v>
      </c>
      <c r="G302" s="535"/>
      <c r="H302" s="525">
        <f>IF(D302=1,SUM($G$273:G302),0)</f>
        <v>932102</v>
      </c>
      <c r="I302" s="235">
        <f t="shared" si="78"/>
        <v>-230392.24435024802</v>
      </c>
      <c r="J302" s="227"/>
      <c r="K302" s="520">
        <f t="shared" si="80"/>
        <v>45930</v>
      </c>
      <c r="L302" s="521">
        <f t="shared" si="81"/>
        <v>45930</v>
      </c>
      <c r="M302" s="524">
        <f t="shared" si="72"/>
        <v>1</v>
      </c>
      <c r="N302" s="525">
        <f>IF(M302=1,'適正原価率表(仕入れお小遣い制度)'!$J$21,0)</f>
        <v>6186.9025822344929</v>
      </c>
      <c r="O302" s="525">
        <f>IF(M302=1,SUM($N$273:N302),0)</f>
        <v>142298.7593913934</v>
      </c>
      <c r="P302" s="535"/>
      <c r="Q302" s="525">
        <f>IF(M302=1,SUM($P$273:P302),0)</f>
        <v>344314</v>
      </c>
      <c r="R302" s="235">
        <f t="shared" si="73"/>
        <v>-202015.2406086066</v>
      </c>
      <c r="T302" s="526">
        <f t="shared" si="79"/>
        <v>45930</v>
      </c>
    </row>
    <row r="303" spans="2:20" ht="19.25" customHeight="1" outlineLevel="1">
      <c r="B303" s="860" t="s">
        <v>211</v>
      </c>
      <c r="C303" s="861"/>
      <c r="D303" s="862"/>
      <c r="E303" s="528">
        <f>SUM(E273:E302)</f>
        <v>701709.75564975198</v>
      </c>
      <c r="F303" s="514"/>
      <c r="G303" s="515"/>
      <c r="H303" s="515"/>
      <c r="I303" s="515"/>
      <c r="J303" s="227"/>
      <c r="K303" s="860" t="s">
        <v>211</v>
      </c>
      <c r="L303" s="861"/>
      <c r="M303" s="862"/>
      <c r="N303" s="528">
        <f>SUM(N273:N302)</f>
        <v>142298.7593913934</v>
      </c>
      <c r="O303" s="514"/>
      <c r="P303" s="515"/>
      <c r="Q303" s="515"/>
      <c r="R303" s="515"/>
    </row>
    <row r="304" spans="2:20">
      <c r="G304" s="219">
        <v>37054</v>
      </c>
      <c r="P304" s="219">
        <v>39181</v>
      </c>
    </row>
    <row r="305" spans="2:20" s="231" customFormat="1">
      <c r="B305" s="863" t="s">
        <v>255</v>
      </c>
      <c r="C305" s="864"/>
      <c r="D305" s="865"/>
      <c r="E305" s="228" t="s">
        <v>129</v>
      </c>
      <c r="F305" s="229" t="s">
        <v>130</v>
      </c>
      <c r="G305" s="229">
        <v>57458</v>
      </c>
      <c r="H305" s="229" t="s">
        <v>132</v>
      </c>
      <c r="I305" s="229" t="s">
        <v>133</v>
      </c>
      <c r="J305" s="230"/>
      <c r="K305" s="866" t="str">
        <f>B305</f>
        <v>10月</v>
      </c>
      <c r="L305" s="866"/>
      <c r="M305" s="866"/>
      <c r="N305" s="228" t="s">
        <v>134</v>
      </c>
      <c r="O305" s="229" t="s">
        <v>135</v>
      </c>
      <c r="P305" s="229">
        <v>22445</v>
      </c>
      <c r="Q305" s="229" t="s">
        <v>137</v>
      </c>
      <c r="R305" s="229" t="s">
        <v>133</v>
      </c>
    </row>
    <row r="306" spans="2:20" ht="19.25" customHeight="1" outlineLevel="1">
      <c r="B306" s="520">
        <f>B302+1</f>
        <v>45931</v>
      </c>
      <c r="C306" s="233">
        <f>B306</f>
        <v>45931</v>
      </c>
      <c r="D306" s="234">
        <f>目標_2025R7!D294</f>
        <v>1</v>
      </c>
      <c r="E306" s="525">
        <f>IF(D306=1,'適正原価率表(仕入れお小遣い制度)'!$J$22,0)</f>
        <v>45533.795013351795</v>
      </c>
      <c r="F306" s="525">
        <f>IF(D306=1,E306,0)</f>
        <v>45533.795013351795</v>
      </c>
      <c r="G306" s="535">
        <v>60551</v>
      </c>
      <c r="H306" s="525">
        <f>IF(D306=1,G306,0)</f>
        <v>60551</v>
      </c>
      <c r="I306" s="235">
        <f>IF(D306=1,F306-H306,0)</f>
        <v>-15017.204986648205</v>
      </c>
      <c r="J306" s="227"/>
      <c r="K306" s="520">
        <f>B306</f>
        <v>45931</v>
      </c>
      <c r="L306" s="521">
        <f>C306</f>
        <v>45931</v>
      </c>
      <c r="M306" s="524">
        <f t="shared" ref="M306:M336" si="82">D306</f>
        <v>1</v>
      </c>
      <c r="N306" s="525">
        <f>IF(M306=1,'適正原価率表(仕入れお小遣い制度)'!$J$23,0)</f>
        <v>9433.6103419759929</v>
      </c>
      <c r="O306" s="525">
        <f>IF(M306=1,N306,0)</f>
        <v>9433.6103419759929</v>
      </c>
      <c r="P306" s="535">
        <v>30390</v>
      </c>
      <c r="Q306" s="525">
        <f>IF(M306=1,P306,0)</f>
        <v>30390</v>
      </c>
      <c r="R306" s="235">
        <f t="shared" ref="R306:R336" si="83">IF(D306=1,O306-Q306,0)</f>
        <v>-20956.389658024007</v>
      </c>
      <c r="T306" s="526">
        <f>T302+1</f>
        <v>45931</v>
      </c>
    </row>
    <row r="307" spans="2:20" ht="19.25" customHeight="1" outlineLevel="1">
      <c r="B307" s="520">
        <f>B306+1</f>
        <v>45932</v>
      </c>
      <c r="C307" s="233">
        <f t="shared" ref="C307:C336" si="84">B307</f>
        <v>45932</v>
      </c>
      <c r="D307" s="234">
        <f>目標_2025R7!D295</f>
        <v>1</v>
      </c>
      <c r="E307" s="525">
        <f>IF(D307=1,'適正原価率表(仕入れお小遣い制度)'!$J$22,0)</f>
        <v>45533.795013351795</v>
      </c>
      <c r="F307" s="525">
        <f>IF(D307=1,SUM($E$306:E307),0)</f>
        <v>91067.59002670359</v>
      </c>
      <c r="G307" s="535">
        <v>41006</v>
      </c>
      <c r="H307" s="525">
        <f>IF(D307=1,SUM($G$306:G307),0)</f>
        <v>101557</v>
      </c>
      <c r="I307" s="235">
        <f>IF(D307=1,F307-H307,0)</f>
        <v>-10489.40997329641</v>
      </c>
      <c r="J307" s="227"/>
      <c r="K307" s="520">
        <f t="shared" ref="K307:K330" si="85">B307</f>
        <v>45932</v>
      </c>
      <c r="L307" s="521">
        <f t="shared" ref="L307:L330" si="86">C307</f>
        <v>45932</v>
      </c>
      <c r="M307" s="524">
        <f t="shared" si="82"/>
        <v>1</v>
      </c>
      <c r="N307" s="525">
        <f>IF(M307=1,'適正原価率表(仕入れお小遣い制度)'!$J$23,0)</f>
        <v>9433.6103419759929</v>
      </c>
      <c r="O307" s="525">
        <f>IF(M307=1,SUM($N$306:N307),0)</f>
        <v>18867.220683951986</v>
      </c>
      <c r="P307" s="535">
        <v>30548</v>
      </c>
      <c r="Q307" s="525">
        <f>IF(M307=1,SUM($P$306:P307),0)</f>
        <v>60938</v>
      </c>
      <c r="R307" s="235">
        <f t="shared" si="83"/>
        <v>-42070.779316048014</v>
      </c>
      <c r="T307" s="526">
        <f>T306+1</f>
        <v>45932</v>
      </c>
    </row>
    <row r="308" spans="2:20" ht="19.25" customHeight="1" outlineLevel="1">
      <c r="B308" s="520">
        <f t="shared" ref="B308:B336" si="87">B307+1</f>
        <v>45933</v>
      </c>
      <c r="C308" s="233">
        <f t="shared" si="84"/>
        <v>45933</v>
      </c>
      <c r="D308" s="234">
        <f>目標_2025R7!D296</f>
        <v>1</v>
      </c>
      <c r="E308" s="525">
        <f>IF(D308=1,'適正原価率表(仕入れお小遣い制度)'!$J$22,0)</f>
        <v>45533.795013351795</v>
      </c>
      <c r="F308" s="525">
        <f>IF(D308=1,SUM($E$306:E308),0)</f>
        <v>136601.38504005538</v>
      </c>
      <c r="G308" s="535">
        <v>0</v>
      </c>
      <c r="H308" s="525">
        <f>IF(D308=1,SUM($G$306:G308),0)</f>
        <v>101557</v>
      </c>
      <c r="I308" s="235">
        <f t="shared" ref="I308:I336" si="88">IF(D308=1,F308-H308,0)</f>
        <v>35044.385040055378</v>
      </c>
      <c r="J308" s="227"/>
      <c r="K308" s="520">
        <f t="shared" si="85"/>
        <v>45933</v>
      </c>
      <c r="L308" s="521">
        <f t="shared" si="86"/>
        <v>45933</v>
      </c>
      <c r="M308" s="524">
        <f t="shared" si="82"/>
        <v>1</v>
      </c>
      <c r="N308" s="525">
        <f>IF(M308=1,'適正原価率表(仕入れお小遣い制度)'!$J$23,0)</f>
        <v>9433.6103419759929</v>
      </c>
      <c r="O308" s="525">
        <f>IF(M308=1,SUM($N$306:N308),0)</f>
        <v>28300.831025927979</v>
      </c>
      <c r="P308" s="535">
        <v>0</v>
      </c>
      <c r="Q308" s="525">
        <f>IF(M308=1,SUM($P$306:P308),0)</f>
        <v>60938</v>
      </c>
      <c r="R308" s="235">
        <f t="shared" si="83"/>
        <v>-32637.168974072021</v>
      </c>
      <c r="T308" s="526">
        <f t="shared" ref="T308:T336" si="89">T307+1</f>
        <v>45933</v>
      </c>
    </row>
    <row r="309" spans="2:20" ht="19.25" customHeight="1" outlineLevel="1">
      <c r="B309" s="520">
        <f t="shared" si="87"/>
        <v>45934</v>
      </c>
      <c r="C309" s="233">
        <f t="shared" si="84"/>
        <v>45934</v>
      </c>
      <c r="D309" s="234">
        <f>目標_2025R7!D297</f>
        <v>1</v>
      </c>
      <c r="E309" s="525">
        <f>IF(D309=1,'適正原価率表(仕入れお小遣い制度)'!$J$22,0)</f>
        <v>45533.795013351795</v>
      </c>
      <c r="F309" s="525">
        <f>IF(D309=1,SUM($E$306:E309),0)</f>
        <v>182135.18005340718</v>
      </c>
      <c r="G309" s="535">
        <v>37911</v>
      </c>
      <c r="H309" s="525">
        <f>IF(D309=1,SUM($G$306:G309),0)</f>
        <v>139468</v>
      </c>
      <c r="I309" s="235">
        <f t="shared" si="88"/>
        <v>42667.180053407181</v>
      </c>
      <c r="J309" s="227"/>
      <c r="K309" s="520">
        <f t="shared" si="85"/>
        <v>45934</v>
      </c>
      <c r="L309" s="521">
        <f t="shared" si="86"/>
        <v>45934</v>
      </c>
      <c r="M309" s="524">
        <f t="shared" si="82"/>
        <v>1</v>
      </c>
      <c r="N309" s="525">
        <f>IF(M309=1,'適正原価率表(仕入れお小遣い制度)'!$J$23,0)</f>
        <v>9433.6103419759929</v>
      </c>
      <c r="O309" s="525">
        <f>IF(M309=1,SUM($N$306:N309),0)</f>
        <v>37734.441367903972</v>
      </c>
      <c r="P309" s="535">
        <v>52597</v>
      </c>
      <c r="Q309" s="525">
        <f>IF(M309=1,SUM($P$306:P309),0)</f>
        <v>113535</v>
      </c>
      <c r="R309" s="235">
        <f t="shared" si="83"/>
        <v>-75800.558632096028</v>
      </c>
      <c r="T309" s="526">
        <f t="shared" si="89"/>
        <v>45934</v>
      </c>
    </row>
    <row r="310" spans="2:20" ht="19.25" customHeight="1" outlineLevel="1">
      <c r="B310" s="520">
        <f t="shared" si="87"/>
        <v>45935</v>
      </c>
      <c r="C310" s="233">
        <f t="shared" si="84"/>
        <v>45935</v>
      </c>
      <c r="D310" s="234">
        <f>目標_2025R7!D298</f>
        <v>0</v>
      </c>
      <c r="E310" s="525">
        <f>IF(D310=1,'適正原価率表(仕入れお小遣い制度)'!$J$22,0)</f>
        <v>0</v>
      </c>
      <c r="F310" s="525">
        <f>IF(D310=1,SUM($E$306:E310),0)</f>
        <v>0</v>
      </c>
      <c r="G310" s="535">
        <v>23290</v>
      </c>
      <c r="H310" s="525">
        <f>IF(D310=1,SUM($G$306:G310),0)</f>
        <v>0</v>
      </c>
      <c r="I310" s="235">
        <f t="shared" si="88"/>
        <v>0</v>
      </c>
      <c r="J310" s="227"/>
      <c r="K310" s="520">
        <f t="shared" si="85"/>
        <v>45935</v>
      </c>
      <c r="L310" s="521">
        <f t="shared" si="86"/>
        <v>45935</v>
      </c>
      <c r="M310" s="524">
        <f t="shared" si="82"/>
        <v>0</v>
      </c>
      <c r="N310" s="525">
        <f>IF(M310=1,'適正原価率表(仕入れお小遣い制度)'!$J$23,0)</f>
        <v>0</v>
      </c>
      <c r="O310" s="525">
        <f>IF(M310=1,SUM($N$306:N310),0)</f>
        <v>0</v>
      </c>
      <c r="P310" s="535">
        <v>2540</v>
      </c>
      <c r="Q310" s="525">
        <f>IF(M310=1,SUM($P$306:P310),0)</f>
        <v>0</v>
      </c>
      <c r="R310" s="235">
        <f t="shared" si="83"/>
        <v>0</v>
      </c>
      <c r="T310" s="526">
        <f t="shared" si="89"/>
        <v>45935</v>
      </c>
    </row>
    <row r="311" spans="2:20" ht="19.25" customHeight="1" outlineLevel="1">
      <c r="B311" s="520">
        <f t="shared" si="87"/>
        <v>45936</v>
      </c>
      <c r="C311" s="233">
        <f t="shared" si="84"/>
        <v>45936</v>
      </c>
      <c r="D311" s="234">
        <f>目標_2025R7!D299</f>
        <v>1</v>
      </c>
      <c r="E311" s="525">
        <f>IF(D311=1,'適正原価率表(仕入れお小遣い制度)'!$J$22,0)</f>
        <v>45533.795013351795</v>
      </c>
      <c r="F311" s="525">
        <f>IF(D311=1,SUM($E$306:E311),0)</f>
        <v>227668.97506675898</v>
      </c>
      <c r="G311" s="535">
        <v>23477</v>
      </c>
      <c r="H311" s="525">
        <f>IF(D311=1,SUM($G$306:G311),0)</f>
        <v>186235</v>
      </c>
      <c r="I311" s="235">
        <f t="shared" si="88"/>
        <v>41433.975066758983</v>
      </c>
      <c r="J311" s="227"/>
      <c r="K311" s="520">
        <f t="shared" si="85"/>
        <v>45936</v>
      </c>
      <c r="L311" s="521">
        <f t="shared" si="86"/>
        <v>45936</v>
      </c>
      <c r="M311" s="524">
        <f t="shared" si="82"/>
        <v>1</v>
      </c>
      <c r="N311" s="525">
        <f>IF(M311=1,'適正原価率表(仕入れお小遣い制度)'!$J$23,0)</f>
        <v>9433.6103419759929</v>
      </c>
      <c r="O311" s="525">
        <f>IF(M311=1,SUM($N$306:N311),0)</f>
        <v>47168.051709879961</v>
      </c>
      <c r="P311" s="535">
        <v>0</v>
      </c>
      <c r="Q311" s="525">
        <f>IF(M311=1,SUM($P$306:P311),0)</f>
        <v>116075</v>
      </c>
      <c r="R311" s="235">
        <f t="shared" si="83"/>
        <v>-68906.948290120039</v>
      </c>
      <c r="T311" s="526">
        <f t="shared" si="89"/>
        <v>45936</v>
      </c>
    </row>
    <row r="312" spans="2:20" ht="19.25" customHeight="1" outlineLevel="1">
      <c r="B312" s="520">
        <f t="shared" si="87"/>
        <v>45937</v>
      </c>
      <c r="C312" s="233">
        <f t="shared" si="84"/>
        <v>45937</v>
      </c>
      <c r="D312" s="234">
        <f>目標_2025R7!D300</f>
        <v>1</v>
      </c>
      <c r="E312" s="525">
        <f>IF(D312=1,'適正原価率表(仕入れお小遣い制度)'!$J$22,0)</f>
        <v>45533.795013351795</v>
      </c>
      <c r="F312" s="525">
        <f>IF(D312=1,SUM($E$306:E312),0)</f>
        <v>273202.77008011076</v>
      </c>
      <c r="G312" s="535">
        <v>54321</v>
      </c>
      <c r="H312" s="525">
        <f>IF(D312=1,SUM($G$306:G312),0)</f>
        <v>240556</v>
      </c>
      <c r="I312" s="235">
        <f t="shared" si="88"/>
        <v>32646.770080110757</v>
      </c>
      <c r="J312" s="227"/>
      <c r="K312" s="520">
        <f t="shared" si="85"/>
        <v>45937</v>
      </c>
      <c r="L312" s="521">
        <f t="shared" si="86"/>
        <v>45937</v>
      </c>
      <c r="M312" s="524">
        <f t="shared" si="82"/>
        <v>1</v>
      </c>
      <c r="N312" s="525">
        <f>IF(M312=1,'適正原価率表(仕入れお小遣い制度)'!$J$23,0)</f>
        <v>9433.6103419759929</v>
      </c>
      <c r="O312" s="525">
        <f>IF(M312=1,SUM($N$306:N312),0)</f>
        <v>56601.66205185595</v>
      </c>
      <c r="P312" s="535">
        <v>704</v>
      </c>
      <c r="Q312" s="525">
        <f>IF(M312=1,SUM($P$306:P312),0)</f>
        <v>116779</v>
      </c>
      <c r="R312" s="235">
        <f t="shared" si="83"/>
        <v>-60177.33794814405</v>
      </c>
      <c r="T312" s="526">
        <f t="shared" si="89"/>
        <v>45937</v>
      </c>
    </row>
    <row r="313" spans="2:20" ht="19.25" customHeight="1" outlineLevel="1">
      <c r="B313" s="520">
        <f t="shared" si="87"/>
        <v>45938</v>
      </c>
      <c r="C313" s="233">
        <f t="shared" si="84"/>
        <v>45938</v>
      </c>
      <c r="D313" s="234">
        <f>目標_2025R7!D301</f>
        <v>1</v>
      </c>
      <c r="E313" s="525">
        <f>IF(D313=1,'適正原価率表(仕入れお小遣い制度)'!$J$22,0)</f>
        <v>45533.795013351795</v>
      </c>
      <c r="F313" s="525">
        <f>IF(D313=1,SUM($E$306:E313),0)</f>
        <v>318736.56509346253</v>
      </c>
      <c r="G313" s="535">
        <v>49807</v>
      </c>
      <c r="H313" s="525">
        <f>IF(D313=1,SUM($G$306:G313),0)</f>
        <v>290363</v>
      </c>
      <c r="I313" s="235">
        <f t="shared" si="88"/>
        <v>28373.56509346253</v>
      </c>
      <c r="J313" s="227"/>
      <c r="K313" s="520">
        <f t="shared" si="85"/>
        <v>45938</v>
      </c>
      <c r="L313" s="521">
        <f t="shared" si="86"/>
        <v>45938</v>
      </c>
      <c r="M313" s="524">
        <f t="shared" si="82"/>
        <v>1</v>
      </c>
      <c r="N313" s="525">
        <f>IF(M313=1,'適正原価率表(仕入れお小遣い制度)'!$J$23,0)</f>
        <v>9433.6103419759929</v>
      </c>
      <c r="O313" s="525">
        <f>IF(M313=1,SUM($N$306:N313),0)</f>
        <v>66035.27239383194</v>
      </c>
      <c r="P313" s="535">
        <v>46244</v>
      </c>
      <c r="Q313" s="525">
        <f>IF(M313=1,SUM($P$306:P313),0)</f>
        <v>163023</v>
      </c>
      <c r="R313" s="235">
        <f t="shared" si="83"/>
        <v>-96987.72760616806</v>
      </c>
      <c r="T313" s="526">
        <f t="shared" si="89"/>
        <v>45938</v>
      </c>
    </row>
    <row r="314" spans="2:20" ht="19.25" customHeight="1" outlineLevel="1">
      <c r="B314" s="520">
        <f t="shared" si="87"/>
        <v>45939</v>
      </c>
      <c r="C314" s="233">
        <f t="shared" si="84"/>
        <v>45939</v>
      </c>
      <c r="D314" s="234">
        <f>目標_2025R7!D302</f>
        <v>1</v>
      </c>
      <c r="E314" s="525">
        <f>IF(D314=1,'適正原価率表(仕入れお小遣い制度)'!$J$22,0)</f>
        <v>45533.795013351795</v>
      </c>
      <c r="F314" s="525">
        <f>IF(D314=1,SUM($E$306:E314),0)</f>
        <v>364270.3601068143</v>
      </c>
      <c r="G314" s="535">
        <v>22959</v>
      </c>
      <c r="H314" s="525">
        <f>IF(D314=1,SUM($G$306:G314),0)</f>
        <v>313322</v>
      </c>
      <c r="I314" s="235">
        <f t="shared" si="88"/>
        <v>50948.360106814303</v>
      </c>
      <c r="J314" s="227"/>
      <c r="K314" s="520">
        <f t="shared" si="85"/>
        <v>45939</v>
      </c>
      <c r="L314" s="521">
        <f t="shared" si="86"/>
        <v>45939</v>
      </c>
      <c r="M314" s="524">
        <f t="shared" si="82"/>
        <v>1</v>
      </c>
      <c r="N314" s="525">
        <f>IF(M314=1,'適正原価率表(仕入れお小遣い制度)'!$J$23,0)</f>
        <v>9433.6103419759929</v>
      </c>
      <c r="O314" s="525">
        <f>IF(M314=1,SUM($N$306:N314),0)</f>
        <v>75468.882735807929</v>
      </c>
      <c r="P314" s="535">
        <v>0</v>
      </c>
      <c r="Q314" s="525">
        <f>IF(M314=1,SUM($P$306:P314),0)</f>
        <v>163023</v>
      </c>
      <c r="R314" s="235">
        <f t="shared" si="83"/>
        <v>-87554.117264192071</v>
      </c>
      <c r="T314" s="526">
        <f t="shared" si="89"/>
        <v>45939</v>
      </c>
    </row>
    <row r="315" spans="2:20" ht="19.25" customHeight="1" outlineLevel="1">
      <c r="B315" s="520">
        <f t="shared" si="87"/>
        <v>45940</v>
      </c>
      <c r="C315" s="233">
        <f t="shared" si="84"/>
        <v>45940</v>
      </c>
      <c r="D315" s="234">
        <f>目標_2025R7!D303</f>
        <v>1</v>
      </c>
      <c r="E315" s="525">
        <f>IF(D315=1,'適正原価率表(仕入れお小遣い制度)'!$J$22,0)</f>
        <v>45533.795013351795</v>
      </c>
      <c r="F315" s="525">
        <f>IF(D315=1,SUM($E$306:E315),0)</f>
        <v>409804.15512016608</v>
      </c>
      <c r="G315" s="535">
        <v>0</v>
      </c>
      <c r="H315" s="525">
        <f>IF(D315=1,SUM($G$306:G315),0)</f>
        <v>313322</v>
      </c>
      <c r="I315" s="235">
        <f t="shared" si="88"/>
        <v>96482.155120166077</v>
      </c>
      <c r="J315" s="227"/>
      <c r="K315" s="520">
        <f t="shared" si="85"/>
        <v>45940</v>
      </c>
      <c r="L315" s="521">
        <f t="shared" si="86"/>
        <v>45940</v>
      </c>
      <c r="M315" s="524">
        <f t="shared" si="82"/>
        <v>1</v>
      </c>
      <c r="N315" s="525">
        <f>IF(M315=1,'適正原価率表(仕入れお小遣い制度)'!$J$23,0)</f>
        <v>9433.6103419759929</v>
      </c>
      <c r="O315" s="525">
        <f>IF(M315=1,SUM($N$306:N315),0)</f>
        <v>84902.493077783918</v>
      </c>
      <c r="P315" s="535">
        <v>0</v>
      </c>
      <c r="Q315" s="525">
        <f>IF(M315=1,SUM($P$306:P315),0)</f>
        <v>163023</v>
      </c>
      <c r="R315" s="235">
        <f t="shared" si="83"/>
        <v>-78120.506922216082</v>
      </c>
      <c r="T315" s="526">
        <f t="shared" si="89"/>
        <v>45940</v>
      </c>
    </row>
    <row r="316" spans="2:20" ht="19.25" customHeight="1" outlineLevel="1">
      <c r="B316" s="520">
        <f t="shared" si="87"/>
        <v>45941</v>
      </c>
      <c r="C316" s="233">
        <f t="shared" si="84"/>
        <v>45941</v>
      </c>
      <c r="D316" s="234">
        <f>目標_2025R7!D304</f>
        <v>1</v>
      </c>
      <c r="E316" s="525">
        <f>IF(D316=1,'適正原価率表(仕入れお小遣い制度)'!$J$22,0)</f>
        <v>45533.795013351795</v>
      </c>
      <c r="F316" s="525">
        <f>IF(D316=1,SUM($E$306:E316),0)</f>
        <v>455337.95013351785</v>
      </c>
      <c r="G316" s="535">
        <v>0</v>
      </c>
      <c r="H316" s="525">
        <f>IF(D316=1,SUM($G$306:G316),0)</f>
        <v>313322</v>
      </c>
      <c r="I316" s="235">
        <f t="shared" si="88"/>
        <v>142015.95013351785</v>
      </c>
      <c r="J316" s="227"/>
      <c r="K316" s="520">
        <f t="shared" si="85"/>
        <v>45941</v>
      </c>
      <c r="L316" s="521">
        <f t="shared" si="86"/>
        <v>45941</v>
      </c>
      <c r="M316" s="524">
        <f t="shared" si="82"/>
        <v>1</v>
      </c>
      <c r="N316" s="525">
        <f>IF(M316=1,'適正原価率表(仕入れお小遣い制度)'!$J$23,0)</f>
        <v>9433.6103419759929</v>
      </c>
      <c r="O316" s="525">
        <f>IF(M316=1,SUM($N$306:N316),0)</f>
        <v>94336.103419759907</v>
      </c>
      <c r="P316" s="535">
        <v>0</v>
      </c>
      <c r="Q316" s="525">
        <f>IF(M316=1,SUM($P$306:P316),0)</f>
        <v>163023</v>
      </c>
      <c r="R316" s="235">
        <f t="shared" si="83"/>
        <v>-68686.896580240093</v>
      </c>
      <c r="T316" s="526">
        <f t="shared" si="89"/>
        <v>45941</v>
      </c>
    </row>
    <row r="317" spans="2:20" ht="19.25" customHeight="1" outlineLevel="1">
      <c r="B317" s="520">
        <f t="shared" si="87"/>
        <v>45942</v>
      </c>
      <c r="C317" s="233">
        <f t="shared" si="84"/>
        <v>45942</v>
      </c>
      <c r="D317" s="234">
        <f>目標_2025R7!D305</f>
        <v>0</v>
      </c>
      <c r="E317" s="525">
        <f>IF(D317=1,'適正原価率表(仕入れお小遣い制度)'!$J$22,0)</f>
        <v>0</v>
      </c>
      <c r="F317" s="525">
        <f>IF(D317=1,SUM($E$306:E317),0)</f>
        <v>0</v>
      </c>
      <c r="G317" s="535">
        <v>22357</v>
      </c>
      <c r="H317" s="525">
        <f>IF(D317=1,SUM($G$306:G317),0)</f>
        <v>0</v>
      </c>
      <c r="I317" s="235">
        <f t="shared" si="88"/>
        <v>0</v>
      </c>
      <c r="J317" s="227"/>
      <c r="K317" s="520">
        <f t="shared" si="85"/>
        <v>45942</v>
      </c>
      <c r="L317" s="521">
        <f t="shared" si="86"/>
        <v>45942</v>
      </c>
      <c r="M317" s="524">
        <f t="shared" si="82"/>
        <v>0</v>
      </c>
      <c r="N317" s="525">
        <f>IF(M317=1,'適正原価率表(仕入れお小遣い制度)'!$J$23,0)</f>
        <v>0</v>
      </c>
      <c r="O317" s="525">
        <f>IF(M317=1,SUM($N$306:N317),0)</f>
        <v>0</v>
      </c>
      <c r="P317" s="535">
        <v>0</v>
      </c>
      <c r="Q317" s="525">
        <f>IF(M317=1,SUM($P$306:P317),0)</f>
        <v>0</v>
      </c>
      <c r="R317" s="235">
        <f t="shared" si="83"/>
        <v>0</v>
      </c>
      <c r="T317" s="526">
        <f t="shared" si="89"/>
        <v>45942</v>
      </c>
    </row>
    <row r="318" spans="2:20" ht="19.25" customHeight="1" outlineLevel="1">
      <c r="B318" s="520">
        <f t="shared" si="87"/>
        <v>45943</v>
      </c>
      <c r="C318" s="233">
        <f t="shared" si="84"/>
        <v>45943</v>
      </c>
      <c r="D318" s="234">
        <f>目標_2025R7!D306</f>
        <v>0</v>
      </c>
      <c r="E318" s="525">
        <f>IF(D318=1,'適正原価率表(仕入れお小遣い制度)'!$J$22,0)</f>
        <v>0</v>
      </c>
      <c r="F318" s="525">
        <f>IF(D318=1,SUM($E$306:E318),0)</f>
        <v>0</v>
      </c>
      <c r="G318" s="535">
        <v>50243</v>
      </c>
      <c r="H318" s="525">
        <f>IF(D318=1,SUM($G$306:G318),0)</f>
        <v>0</v>
      </c>
      <c r="I318" s="235">
        <f t="shared" si="88"/>
        <v>0</v>
      </c>
      <c r="J318" s="227"/>
      <c r="K318" s="520">
        <f t="shared" si="85"/>
        <v>45943</v>
      </c>
      <c r="L318" s="521">
        <f t="shared" si="86"/>
        <v>45943</v>
      </c>
      <c r="M318" s="524">
        <f t="shared" si="82"/>
        <v>0</v>
      </c>
      <c r="N318" s="525">
        <f>IF(M318=1,'適正原価率表(仕入れお小遣い制度)'!$J$23,0)</f>
        <v>0</v>
      </c>
      <c r="O318" s="525">
        <f>IF(M318=1,SUM($N$306:N318),0)</f>
        <v>0</v>
      </c>
      <c r="P318" s="535">
        <v>16232</v>
      </c>
      <c r="Q318" s="525">
        <f>IF(M318=1,SUM($P$306:P318),0)</f>
        <v>0</v>
      </c>
      <c r="R318" s="235">
        <f t="shared" si="83"/>
        <v>0</v>
      </c>
      <c r="T318" s="526">
        <f t="shared" si="89"/>
        <v>45943</v>
      </c>
    </row>
    <row r="319" spans="2:20" ht="19.25" customHeight="1" outlineLevel="1">
      <c r="B319" s="520">
        <f t="shared" si="87"/>
        <v>45944</v>
      </c>
      <c r="C319" s="233">
        <f t="shared" si="84"/>
        <v>45944</v>
      </c>
      <c r="D319" s="234">
        <f>目標_2025R7!D307</f>
        <v>1</v>
      </c>
      <c r="E319" s="525">
        <f>IF(D319=1,'適正原価率表(仕入れお小遣い制度)'!$J$22,0)</f>
        <v>45533.795013351795</v>
      </c>
      <c r="F319" s="525">
        <f>IF(D319=1,SUM($E$306:E319),0)</f>
        <v>500871.74514686962</v>
      </c>
      <c r="G319" s="535">
        <v>53758</v>
      </c>
      <c r="H319" s="525">
        <f>IF(D319=1,SUM($G$306:G319),0)</f>
        <v>439680</v>
      </c>
      <c r="I319" s="235">
        <f t="shared" si="88"/>
        <v>61191.745146869624</v>
      </c>
      <c r="J319" s="227"/>
      <c r="K319" s="520">
        <f t="shared" si="85"/>
        <v>45944</v>
      </c>
      <c r="L319" s="521">
        <f t="shared" si="86"/>
        <v>45944</v>
      </c>
      <c r="M319" s="524">
        <f t="shared" si="82"/>
        <v>1</v>
      </c>
      <c r="N319" s="525">
        <f>IF(M319=1,'適正原価率表(仕入れお小遣い制度)'!$J$23,0)</f>
        <v>9433.6103419759929</v>
      </c>
      <c r="O319" s="525">
        <f>IF(M319=1,SUM($N$306:N319),0)</f>
        <v>103769.7137617359</v>
      </c>
      <c r="P319" s="535">
        <v>3274</v>
      </c>
      <c r="Q319" s="525">
        <f>IF(M319=1,SUM($P$306:P319),0)</f>
        <v>182529</v>
      </c>
      <c r="R319" s="235">
        <f t="shared" si="83"/>
        <v>-78759.286238264103</v>
      </c>
      <c r="T319" s="526">
        <f t="shared" si="89"/>
        <v>45944</v>
      </c>
    </row>
    <row r="320" spans="2:20" ht="19.25" customHeight="1" outlineLevel="1">
      <c r="B320" s="520">
        <f t="shared" si="87"/>
        <v>45945</v>
      </c>
      <c r="C320" s="233">
        <f t="shared" si="84"/>
        <v>45945</v>
      </c>
      <c r="D320" s="234">
        <f>目標_2025R7!D308</f>
        <v>1</v>
      </c>
      <c r="E320" s="525">
        <f>IF(D320=1,'適正原価率表(仕入れお小遣い制度)'!$J$22,0)</f>
        <v>45533.795013351795</v>
      </c>
      <c r="F320" s="525">
        <f>IF(D320=1,SUM($E$306:E320),0)</f>
        <v>546405.5401602214</v>
      </c>
      <c r="G320" s="535">
        <v>32873</v>
      </c>
      <c r="H320" s="525">
        <f>IF(D320=1,SUM($G$306:G320),0)</f>
        <v>472553</v>
      </c>
      <c r="I320" s="235">
        <f t="shared" si="88"/>
        <v>73852.540160221397</v>
      </c>
      <c r="J320" s="227"/>
      <c r="K320" s="520">
        <f t="shared" si="85"/>
        <v>45945</v>
      </c>
      <c r="L320" s="521">
        <f t="shared" si="86"/>
        <v>45945</v>
      </c>
      <c r="M320" s="524">
        <f t="shared" si="82"/>
        <v>1</v>
      </c>
      <c r="N320" s="525">
        <f>IF(M320=1,'適正原価率表(仕入れお小遣い制度)'!$J$23,0)</f>
        <v>9433.6103419759929</v>
      </c>
      <c r="O320" s="525">
        <f>IF(M320=1,SUM($N$306:N320),0)</f>
        <v>113203.32410371189</v>
      </c>
      <c r="P320" s="535">
        <v>35113</v>
      </c>
      <c r="Q320" s="525">
        <f>IF(M320=1,SUM($P$306:P320),0)</f>
        <v>217642</v>
      </c>
      <c r="R320" s="235">
        <f t="shared" si="83"/>
        <v>-104438.67589628811</v>
      </c>
      <c r="T320" s="526">
        <f t="shared" si="89"/>
        <v>45945</v>
      </c>
    </row>
    <row r="321" spans="2:20" ht="19.25" customHeight="1" outlineLevel="1">
      <c r="B321" s="520">
        <f t="shared" si="87"/>
        <v>45946</v>
      </c>
      <c r="C321" s="233">
        <f t="shared" si="84"/>
        <v>45946</v>
      </c>
      <c r="D321" s="234">
        <f>目標_2025R7!D309</f>
        <v>1</v>
      </c>
      <c r="E321" s="525">
        <f>IF(D321=1,'適正原価率表(仕入れお小遣い制度)'!$J$22,0)</f>
        <v>45533.795013351795</v>
      </c>
      <c r="F321" s="525">
        <f>IF(D321=1,SUM($E$306:E321),0)</f>
        <v>591939.33517357323</v>
      </c>
      <c r="G321" s="535">
        <v>31494</v>
      </c>
      <c r="H321" s="525">
        <f>IF(D321=1,SUM($G$306:G321),0)</f>
        <v>504047</v>
      </c>
      <c r="I321" s="235">
        <f t="shared" si="88"/>
        <v>87892.335173573229</v>
      </c>
      <c r="J321" s="227"/>
      <c r="K321" s="520">
        <f t="shared" si="85"/>
        <v>45946</v>
      </c>
      <c r="L321" s="521">
        <f t="shared" si="86"/>
        <v>45946</v>
      </c>
      <c r="M321" s="524">
        <f t="shared" si="82"/>
        <v>1</v>
      </c>
      <c r="N321" s="525">
        <f>IF(M321=1,'適正原価率表(仕入れお小遣い制度)'!$J$23,0)</f>
        <v>9433.6103419759929</v>
      </c>
      <c r="O321" s="525">
        <f>IF(M321=1,SUM($N$306:N321),0)</f>
        <v>122636.93444568788</v>
      </c>
      <c r="P321" s="535">
        <v>0</v>
      </c>
      <c r="Q321" s="525">
        <f>IF(M321=1,SUM($P$306:P321),0)</f>
        <v>217642</v>
      </c>
      <c r="R321" s="235">
        <f t="shared" si="83"/>
        <v>-95005.065554312125</v>
      </c>
      <c r="T321" s="526">
        <f t="shared" si="89"/>
        <v>45946</v>
      </c>
    </row>
    <row r="322" spans="2:20" ht="19.25" customHeight="1" outlineLevel="1">
      <c r="B322" s="520">
        <f t="shared" si="87"/>
        <v>45947</v>
      </c>
      <c r="C322" s="233">
        <f t="shared" si="84"/>
        <v>45947</v>
      </c>
      <c r="D322" s="234">
        <f>目標_2025R7!D310</f>
        <v>1</v>
      </c>
      <c r="E322" s="525">
        <f>IF(D322=1,'適正原価率表(仕入れお小遣い制度)'!$J$22,0)</f>
        <v>45533.795013351795</v>
      </c>
      <c r="F322" s="525">
        <f>IF(D322=1,SUM($E$306:E322),0)</f>
        <v>637473.13018692506</v>
      </c>
      <c r="G322" s="535">
        <v>0</v>
      </c>
      <c r="H322" s="525">
        <f>IF(D322=1,SUM($G$306:G322),0)</f>
        <v>504047</v>
      </c>
      <c r="I322" s="235">
        <f t="shared" si="88"/>
        <v>133426.13018692506</v>
      </c>
      <c r="J322" s="227"/>
      <c r="K322" s="520">
        <f t="shared" si="85"/>
        <v>45947</v>
      </c>
      <c r="L322" s="521">
        <f t="shared" si="86"/>
        <v>45947</v>
      </c>
      <c r="M322" s="524">
        <f t="shared" si="82"/>
        <v>1</v>
      </c>
      <c r="N322" s="525">
        <f>IF(M322=1,'適正原価率表(仕入れお小遣い制度)'!$J$23,0)</f>
        <v>9433.6103419759929</v>
      </c>
      <c r="O322" s="525">
        <f>IF(M322=1,SUM($N$306:N322),0)</f>
        <v>132070.54478766388</v>
      </c>
      <c r="P322" s="535">
        <v>0</v>
      </c>
      <c r="Q322" s="525">
        <f>IF(M322=1,SUM($P$306:P322),0)</f>
        <v>217642</v>
      </c>
      <c r="R322" s="235">
        <f t="shared" si="83"/>
        <v>-85571.455212336121</v>
      </c>
      <c r="T322" s="526">
        <f t="shared" si="89"/>
        <v>45947</v>
      </c>
    </row>
    <row r="323" spans="2:20" ht="19.25" customHeight="1" outlineLevel="1">
      <c r="B323" s="520">
        <f t="shared" si="87"/>
        <v>45948</v>
      </c>
      <c r="C323" s="233">
        <f t="shared" si="84"/>
        <v>45948</v>
      </c>
      <c r="D323" s="234">
        <f>目標_2025R7!D311</f>
        <v>1</v>
      </c>
      <c r="E323" s="525">
        <f>IF(D323=1,'適正原価率表(仕入れお小遣い制度)'!$J$22,0)</f>
        <v>45533.795013351795</v>
      </c>
      <c r="F323" s="525">
        <f>IF(D323=1,SUM($E$306:E323),0)</f>
        <v>683006.92520027689</v>
      </c>
      <c r="G323" s="535">
        <v>45926</v>
      </c>
      <c r="H323" s="525">
        <f>IF(D323=1,SUM($G$306:G323),0)</f>
        <v>549973</v>
      </c>
      <c r="I323" s="235">
        <f t="shared" si="88"/>
        <v>133033.92520027689</v>
      </c>
      <c r="J323" s="227"/>
      <c r="K323" s="520">
        <f t="shared" si="85"/>
        <v>45948</v>
      </c>
      <c r="L323" s="521">
        <f t="shared" si="86"/>
        <v>45948</v>
      </c>
      <c r="M323" s="524">
        <f t="shared" si="82"/>
        <v>1</v>
      </c>
      <c r="N323" s="525">
        <f>IF(M323=1,'適正原価率表(仕入れお小遣い制度)'!$J$23,0)</f>
        <v>9433.6103419759929</v>
      </c>
      <c r="O323" s="525">
        <f>IF(M323=1,SUM($N$306:N323),0)</f>
        <v>141504.15512963987</v>
      </c>
      <c r="P323" s="535">
        <v>9281</v>
      </c>
      <c r="Q323" s="525">
        <f>IF(M323=1,SUM($P$306:P323),0)</f>
        <v>226923</v>
      </c>
      <c r="R323" s="235">
        <f t="shared" si="83"/>
        <v>-85418.844870360132</v>
      </c>
      <c r="T323" s="526">
        <f t="shared" si="89"/>
        <v>45948</v>
      </c>
    </row>
    <row r="324" spans="2:20" ht="19.25" customHeight="1" outlineLevel="1">
      <c r="B324" s="520">
        <f t="shared" si="87"/>
        <v>45949</v>
      </c>
      <c r="C324" s="233">
        <f t="shared" si="84"/>
        <v>45949</v>
      </c>
      <c r="D324" s="234">
        <f>目標_2025R7!D312</f>
        <v>0</v>
      </c>
      <c r="E324" s="525">
        <f>IF(D324=1,'適正原価率表(仕入れお小遣い制度)'!$J$22,0)</f>
        <v>0</v>
      </c>
      <c r="F324" s="525">
        <f>IF(D324=1,SUM($E$306:E324),0)</f>
        <v>0</v>
      </c>
      <c r="G324" s="535">
        <v>26554</v>
      </c>
      <c r="H324" s="525">
        <f>IF(D324=1,SUM($G$306:G324),0)</f>
        <v>0</v>
      </c>
      <c r="I324" s="235">
        <f t="shared" si="88"/>
        <v>0</v>
      </c>
      <c r="J324" s="227"/>
      <c r="K324" s="520">
        <f t="shared" si="85"/>
        <v>45949</v>
      </c>
      <c r="L324" s="521">
        <f t="shared" si="86"/>
        <v>45949</v>
      </c>
      <c r="M324" s="524">
        <f t="shared" si="82"/>
        <v>0</v>
      </c>
      <c r="N324" s="525">
        <f>IF(M324=1,'適正原価率表(仕入れお小遣い制度)'!$J$23,0)</f>
        <v>0</v>
      </c>
      <c r="O324" s="525">
        <f>IF(M324=1,SUM($N$306:N324),0)</f>
        <v>0</v>
      </c>
      <c r="P324" s="535">
        <v>8906</v>
      </c>
      <c r="Q324" s="525">
        <f>IF(M324=1,SUM($P$306:P324),0)</f>
        <v>0</v>
      </c>
      <c r="R324" s="235">
        <f t="shared" si="83"/>
        <v>0</v>
      </c>
      <c r="T324" s="526">
        <f t="shared" si="89"/>
        <v>45949</v>
      </c>
    </row>
    <row r="325" spans="2:20" ht="19.25" customHeight="1" outlineLevel="1">
      <c r="B325" s="520">
        <f t="shared" si="87"/>
        <v>45950</v>
      </c>
      <c r="C325" s="233">
        <f t="shared" si="84"/>
        <v>45950</v>
      </c>
      <c r="D325" s="234">
        <f>目標_2025R7!D313</f>
        <v>1</v>
      </c>
      <c r="E325" s="525">
        <f>IF(D325=1,'適正原価率表(仕入れお小遣い制度)'!$J$22,0)</f>
        <v>45533.795013351795</v>
      </c>
      <c r="F325" s="525">
        <f>IF(D325=1,SUM($E$306:E325),0)</f>
        <v>728540.72021362872</v>
      </c>
      <c r="G325" s="535">
        <v>33142</v>
      </c>
      <c r="H325" s="525">
        <f>IF(D325=1,SUM($G$306:G325),0)</f>
        <v>609669</v>
      </c>
      <c r="I325" s="235">
        <f t="shared" si="88"/>
        <v>118871.72021362872</v>
      </c>
      <c r="J325" s="227"/>
      <c r="K325" s="520">
        <f t="shared" si="85"/>
        <v>45950</v>
      </c>
      <c r="L325" s="521">
        <f t="shared" si="86"/>
        <v>45950</v>
      </c>
      <c r="M325" s="524">
        <f t="shared" si="82"/>
        <v>1</v>
      </c>
      <c r="N325" s="525">
        <f>IF(M325=1,'適正原価率表(仕入れお小遣い制度)'!$J$23,0)</f>
        <v>9433.6103419759929</v>
      </c>
      <c r="O325" s="525">
        <f>IF(M325=1,SUM($N$306:N325),0)</f>
        <v>150937.76547161586</v>
      </c>
      <c r="P325" s="535">
        <v>0</v>
      </c>
      <c r="Q325" s="525">
        <f>IF(M325=1,SUM($P$306:P325),0)</f>
        <v>235829</v>
      </c>
      <c r="R325" s="235">
        <f t="shared" si="83"/>
        <v>-84891.234528384142</v>
      </c>
      <c r="T325" s="526">
        <f t="shared" si="89"/>
        <v>45950</v>
      </c>
    </row>
    <row r="326" spans="2:20" ht="19.25" customHeight="1" outlineLevel="1">
      <c r="B326" s="520">
        <f t="shared" si="87"/>
        <v>45951</v>
      </c>
      <c r="C326" s="233">
        <f t="shared" si="84"/>
        <v>45951</v>
      </c>
      <c r="D326" s="234">
        <f>目標_2025R7!D314</f>
        <v>1</v>
      </c>
      <c r="E326" s="525">
        <f>IF(D326=1,'適正原価率表(仕入れお小遣い制度)'!$J$22,0)</f>
        <v>45533.795013351795</v>
      </c>
      <c r="F326" s="525">
        <f>IF(D326=1,SUM($E$306:E326),0)</f>
        <v>774074.51522698055</v>
      </c>
      <c r="G326" s="535">
        <v>31865</v>
      </c>
      <c r="H326" s="525">
        <f>IF(D326=1,SUM($G$306:G326),0)</f>
        <v>641534</v>
      </c>
      <c r="I326" s="235">
        <f t="shared" si="88"/>
        <v>132540.51522698055</v>
      </c>
      <c r="J326" s="227"/>
      <c r="K326" s="520">
        <f t="shared" si="85"/>
        <v>45951</v>
      </c>
      <c r="L326" s="521">
        <f t="shared" si="86"/>
        <v>45951</v>
      </c>
      <c r="M326" s="524">
        <f t="shared" si="82"/>
        <v>1</v>
      </c>
      <c r="N326" s="525">
        <f>IF(M326=1,'適正原価率表(仕入れお小遣い制度)'!$J$23,0)</f>
        <v>9433.6103419759929</v>
      </c>
      <c r="O326" s="525">
        <f>IF(M326=1,SUM($N$306:N326),0)</f>
        <v>160371.37581359185</v>
      </c>
      <c r="P326" s="535">
        <v>36827</v>
      </c>
      <c r="Q326" s="525">
        <f>IF(M326=1,SUM($P$306:P326),0)</f>
        <v>272656</v>
      </c>
      <c r="R326" s="235">
        <f t="shared" si="83"/>
        <v>-112284.62418640815</v>
      </c>
      <c r="T326" s="526">
        <f t="shared" si="89"/>
        <v>45951</v>
      </c>
    </row>
    <row r="327" spans="2:20" ht="19.25" customHeight="1" outlineLevel="1">
      <c r="B327" s="520">
        <f t="shared" si="87"/>
        <v>45952</v>
      </c>
      <c r="C327" s="233">
        <f t="shared" si="84"/>
        <v>45952</v>
      </c>
      <c r="D327" s="234">
        <f>目標_2025R7!D315</f>
        <v>1</v>
      </c>
      <c r="E327" s="525">
        <f>IF(D327=1,'適正原価率表(仕入れお小遣い制度)'!$J$22,0)</f>
        <v>45533.795013351795</v>
      </c>
      <c r="F327" s="525">
        <f>IF(D327=1,SUM($E$306:E327),0)</f>
        <v>819608.31024033239</v>
      </c>
      <c r="G327" s="535">
        <v>15198</v>
      </c>
      <c r="H327" s="525">
        <f>IF(D327=1,SUM($G$306:G327),0)</f>
        <v>656732</v>
      </c>
      <c r="I327" s="235">
        <f t="shared" si="88"/>
        <v>162876.31024033239</v>
      </c>
      <c r="J327" s="227"/>
      <c r="K327" s="520">
        <f t="shared" si="85"/>
        <v>45952</v>
      </c>
      <c r="L327" s="521">
        <f t="shared" si="86"/>
        <v>45952</v>
      </c>
      <c r="M327" s="524">
        <f t="shared" si="82"/>
        <v>1</v>
      </c>
      <c r="N327" s="525">
        <f>IF(M327=1,'適正原価率表(仕入れお小遣い制度)'!$J$23,0)</f>
        <v>9433.6103419759929</v>
      </c>
      <c r="O327" s="525">
        <f>IF(M327=1,SUM($N$306:N327),0)</f>
        <v>169804.98615556784</v>
      </c>
      <c r="P327" s="535">
        <v>25938</v>
      </c>
      <c r="Q327" s="525">
        <f>IF(M327=1,SUM($P$306:P327),0)</f>
        <v>298594</v>
      </c>
      <c r="R327" s="235">
        <f t="shared" si="83"/>
        <v>-128789.01384443216</v>
      </c>
      <c r="T327" s="526">
        <f t="shared" si="89"/>
        <v>45952</v>
      </c>
    </row>
    <row r="328" spans="2:20" ht="19.25" customHeight="1" outlineLevel="1">
      <c r="B328" s="520">
        <f t="shared" si="87"/>
        <v>45953</v>
      </c>
      <c r="C328" s="233">
        <f t="shared" si="84"/>
        <v>45953</v>
      </c>
      <c r="D328" s="234">
        <f>目標_2025R7!D316</f>
        <v>1</v>
      </c>
      <c r="E328" s="525">
        <f>IF(D328=1,'適正原価率表(仕入れお小遣い制度)'!$J$22,0)</f>
        <v>45533.795013351795</v>
      </c>
      <c r="F328" s="525">
        <f>IF(D328=1,SUM($E$306:E328),0)</f>
        <v>865142.10525368422</v>
      </c>
      <c r="G328" s="535">
        <v>19093</v>
      </c>
      <c r="H328" s="525">
        <f>IF(D328=1,SUM($G$306:G328),0)</f>
        <v>675825</v>
      </c>
      <c r="I328" s="235">
        <f t="shared" si="88"/>
        <v>189317.10525368422</v>
      </c>
      <c r="J328" s="227"/>
      <c r="K328" s="520">
        <f t="shared" si="85"/>
        <v>45953</v>
      </c>
      <c r="L328" s="521">
        <f t="shared" si="86"/>
        <v>45953</v>
      </c>
      <c r="M328" s="524">
        <f t="shared" si="82"/>
        <v>1</v>
      </c>
      <c r="N328" s="525">
        <f>IF(M328=1,'適正原価率表(仕入れお小遣い制度)'!$J$23,0)</f>
        <v>9433.6103419759929</v>
      </c>
      <c r="O328" s="525">
        <f>IF(M328=1,SUM($N$306:N328),0)</f>
        <v>179238.59649754383</v>
      </c>
      <c r="P328" s="535">
        <v>0</v>
      </c>
      <c r="Q328" s="525">
        <f>IF(M328=1,SUM($P$306:P328),0)</f>
        <v>298594</v>
      </c>
      <c r="R328" s="235">
        <f t="shared" si="83"/>
        <v>-119355.40350245617</v>
      </c>
      <c r="T328" s="526">
        <f t="shared" si="89"/>
        <v>45953</v>
      </c>
    </row>
    <row r="329" spans="2:20" ht="19.25" customHeight="1" outlineLevel="1">
      <c r="B329" s="520">
        <f t="shared" si="87"/>
        <v>45954</v>
      </c>
      <c r="C329" s="233">
        <f t="shared" si="84"/>
        <v>45954</v>
      </c>
      <c r="D329" s="234">
        <f>目標_2025R7!D317</f>
        <v>1</v>
      </c>
      <c r="E329" s="525">
        <f>IF(D329=1,'適正原価率表(仕入れお小遣い制度)'!$J$22,0)</f>
        <v>45533.795013351795</v>
      </c>
      <c r="F329" s="525">
        <f>IF(D329=1,SUM($E$306:E329),0)</f>
        <v>910675.90026703605</v>
      </c>
      <c r="G329" s="535">
        <v>0</v>
      </c>
      <c r="H329" s="525">
        <f>IF(D329=1,SUM($G$306:G329),0)</f>
        <v>675825</v>
      </c>
      <c r="I329" s="235">
        <f t="shared" si="88"/>
        <v>234850.90026703605</v>
      </c>
      <c r="J329" s="227"/>
      <c r="K329" s="520">
        <f t="shared" si="85"/>
        <v>45954</v>
      </c>
      <c r="L329" s="521">
        <f t="shared" si="86"/>
        <v>45954</v>
      </c>
      <c r="M329" s="524">
        <f t="shared" si="82"/>
        <v>1</v>
      </c>
      <c r="N329" s="525">
        <f>IF(M329=1,'適正原価率表(仕入れお小遣い制度)'!$J$23,0)</f>
        <v>9433.6103419759929</v>
      </c>
      <c r="O329" s="525">
        <f>IF(M329=1,SUM($N$306:N329),0)</f>
        <v>188672.20683951981</v>
      </c>
      <c r="P329" s="535">
        <v>0</v>
      </c>
      <c r="Q329" s="525">
        <f>IF(M329=1,SUM($P$306:P329),0)</f>
        <v>298594</v>
      </c>
      <c r="R329" s="235">
        <f t="shared" si="83"/>
        <v>-109921.79316048019</v>
      </c>
      <c r="T329" s="526">
        <f t="shared" si="89"/>
        <v>45954</v>
      </c>
    </row>
    <row r="330" spans="2:20" ht="19.25" customHeight="1" outlineLevel="1">
      <c r="B330" s="520">
        <f t="shared" si="87"/>
        <v>45955</v>
      </c>
      <c r="C330" s="233">
        <f t="shared" si="84"/>
        <v>45955</v>
      </c>
      <c r="D330" s="234">
        <f>目標_2025R7!D318</f>
        <v>1</v>
      </c>
      <c r="E330" s="525">
        <f>IF(D330=1,'適正原価率表(仕入れお小遣い制度)'!$J$22,0)</f>
        <v>45533.795013351795</v>
      </c>
      <c r="F330" s="525">
        <f>IF(D330=1,SUM($E$306:E330),0)</f>
        <v>956209.69528038788</v>
      </c>
      <c r="G330" s="535">
        <v>68055</v>
      </c>
      <c r="H330" s="525">
        <f>IF(D330=1,SUM($G$306:G330),0)</f>
        <v>743880</v>
      </c>
      <c r="I330" s="235">
        <f t="shared" si="88"/>
        <v>212329.69528038788</v>
      </c>
      <c r="J330" s="227"/>
      <c r="K330" s="520">
        <f t="shared" si="85"/>
        <v>45955</v>
      </c>
      <c r="L330" s="521">
        <f t="shared" si="86"/>
        <v>45955</v>
      </c>
      <c r="M330" s="524">
        <f t="shared" si="82"/>
        <v>1</v>
      </c>
      <c r="N330" s="525">
        <f>IF(M330=1,'適正原価率表(仕入れお小遣い制度)'!$J$23,0)</f>
        <v>9433.6103419759929</v>
      </c>
      <c r="O330" s="525">
        <f>IF(M330=1,SUM($N$306:N330),0)</f>
        <v>198105.8171814958</v>
      </c>
      <c r="P330" s="535">
        <v>2631</v>
      </c>
      <c r="Q330" s="525">
        <f>IF(M330=1,SUM($P$306:P330),0)</f>
        <v>301225</v>
      </c>
      <c r="R330" s="235">
        <f t="shared" si="83"/>
        <v>-103119.1828185042</v>
      </c>
      <c r="T330" s="526">
        <f t="shared" si="89"/>
        <v>45955</v>
      </c>
    </row>
    <row r="331" spans="2:20" ht="19.25" customHeight="1" outlineLevel="1">
      <c r="B331" s="520">
        <f t="shared" si="87"/>
        <v>45956</v>
      </c>
      <c r="C331" s="233">
        <f>B331</f>
        <v>45956</v>
      </c>
      <c r="D331" s="234">
        <f>目標_2025R7!D319</f>
        <v>0</v>
      </c>
      <c r="E331" s="525">
        <f>IF(D331=1,'適正原価率表(仕入れお小遣い制度)'!$J$22,0)</f>
        <v>0</v>
      </c>
      <c r="F331" s="525">
        <f>IF(D331=1,SUM($E$306:E331),0)</f>
        <v>0</v>
      </c>
      <c r="G331" s="535">
        <v>32806</v>
      </c>
      <c r="H331" s="525">
        <f>IF(D331=1,SUM($G$306:G331),0)</f>
        <v>0</v>
      </c>
      <c r="I331" s="235">
        <f t="shared" si="88"/>
        <v>0</v>
      </c>
      <c r="J331" s="227"/>
      <c r="K331" s="520">
        <f t="shared" ref="K331:L336" si="90">B331</f>
        <v>45956</v>
      </c>
      <c r="L331" s="521">
        <f t="shared" si="90"/>
        <v>45956</v>
      </c>
      <c r="M331" s="524">
        <f t="shared" si="82"/>
        <v>0</v>
      </c>
      <c r="N331" s="525">
        <f>IF(M331=1,'適正原価率表(仕入れお小遣い制度)'!$J$23,0)</f>
        <v>0</v>
      </c>
      <c r="O331" s="525">
        <f>IF(M331=1,SUM($N$306:N331),0)</f>
        <v>0</v>
      </c>
      <c r="P331" s="535">
        <v>8871</v>
      </c>
      <c r="Q331" s="525">
        <f>IF(M331=1,SUM($P$306:P331),0)</f>
        <v>0</v>
      </c>
      <c r="R331" s="235">
        <f t="shared" si="83"/>
        <v>0</v>
      </c>
      <c r="T331" s="526">
        <f t="shared" si="89"/>
        <v>45956</v>
      </c>
    </row>
    <row r="332" spans="2:20" ht="19.25" customHeight="1" outlineLevel="1">
      <c r="B332" s="520">
        <f t="shared" si="87"/>
        <v>45957</v>
      </c>
      <c r="C332" s="233">
        <f t="shared" si="84"/>
        <v>45957</v>
      </c>
      <c r="D332" s="234">
        <f>目標_2025R7!D320</f>
        <v>1</v>
      </c>
      <c r="E332" s="525">
        <f>IF(D332=1,'適正原価率表(仕入れお小遣い制度)'!$J$22,0)</f>
        <v>45533.795013351795</v>
      </c>
      <c r="F332" s="525">
        <f>IF(D332=1,SUM($E$306:E332),0)</f>
        <v>1001743.4902937397</v>
      </c>
      <c r="G332" s="535">
        <v>28352</v>
      </c>
      <c r="H332" s="525">
        <f>IF(D332=1,SUM($G$306:G332),0)</f>
        <v>805038</v>
      </c>
      <c r="I332" s="235">
        <f t="shared" si="88"/>
        <v>196705.49029373971</v>
      </c>
      <c r="J332" s="227"/>
      <c r="K332" s="520">
        <f t="shared" si="90"/>
        <v>45957</v>
      </c>
      <c r="L332" s="521">
        <f t="shared" si="90"/>
        <v>45957</v>
      </c>
      <c r="M332" s="524">
        <f t="shared" si="82"/>
        <v>1</v>
      </c>
      <c r="N332" s="525">
        <f>IF(M332=1,'適正原価率表(仕入れお小遣い制度)'!$J$23,0)</f>
        <v>9433.6103419759929</v>
      </c>
      <c r="O332" s="525">
        <f>IF(M332=1,SUM($N$306:N332),0)</f>
        <v>207539.42752347179</v>
      </c>
      <c r="P332" s="535">
        <v>897</v>
      </c>
      <c r="Q332" s="525">
        <f>IF(M332=1,SUM($P$306:P332),0)</f>
        <v>310993</v>
      </c>
      <c r="R332" s="235">
        <f t="shared" si="83"/>
        <v>-103453.57247652821</v>
      </c>
      <c r="T332" s="526">
        <f t="shared" si="89"/>
        <v>45957</v>
      </c>
    </row>
    <row r="333" spans="2:20" ht="19.25" customHeight="1" outlineLevel="1">
      <c r="B333" s="520">
        <f t="shared" si="87"/>
        <v>45958</v>
      </c>
      <c r="C333" s="233">
        <f t="shared" si="84"/>
        <v>45958</v>
      </c>
      <c r="D333" s="234">
        <f>目標_2025R7!D321</f>
        <v>1</v>
      </c>
      <c r="E333" s="525">
        <f>IF(D333=1,'適正原価率表(仕入れお小遣い制度)'!$J$22,0)</f>
        <v>45533.795013351795</v>
      </c>
      <c r="F333" s="525">
        <f>IF(D333=1,SUM($E$306:E333),0)</f>
        <v>1047277.2853070915</v>
      </c>
      <c r="G333" s="535">
        <v>41173</v>
      </c>
      <c r="H333" s="525">
        <f>IF(D333=1,SUM($G$306:G333),0)</f>
        <v>846211</v>
      </c>
      <c r="I333" s="235">
        <f t="shared" si="88"/>
        <v>201066.28530709154</v>
      </c>
      <c r="J333" s="227"/>
      <c r="K333" s="520">
        <f t="shared" si="90"/>
        <v>45958</v>
      </c>
      <c r="L333" s="521">
        <f t="shared" si="90"/>
        <v>45958</v>
      </c>
      <c r="M333" s="524">
        <f t="shared" si="82"/>
        <v>1</v>
      </c>
      <c r="N333" s="525">
        <f>IF(M333=1,'適正原価率表(仕入れお小遣い制度)'!$J$23,0)</f>
        <v>9433.6103419759929</v>
      </c>
      <c r="O333" s="525">
        <f>IF(M333=1,SUM($N$306:N333),0)</f>
        <v>216973.03786544778</v>
      </c>
      <c r="P333" s="535">
        <v>12905</v>
      </c>
      <c r="Q333" s="525">
        <f>IF(M333=1,SUM($P$306:P333),0)</f>
        <v>323898</v>
      </c>
      <c r="R333" s="235">
        <f t="shared" si="83"/>
        <v>-106924.96213455222</v>
      </c>
      <c r="T333" s="526">
        <f t="shared" si="89"/>
        <v>45958</v>
      </c>
    </row>
    <row r="334" spans="2:20" ht="19.25" customHeight="1" outlineLevel="1">
      <c r="B334" s="520">
        <f t="shared" si="87"/>
        <v>45959</v>
      </c>
      <c r="C334" s="233">
        <f t="shared" si="84"/>
        <v>45959</v>
      </c>
      <c r="D334" s="234">
        <f>目標_2025R7!D322</f>
        <v>1</v>
      </c>
      <c r="E334" s="525">
        <f>IF(D334=1,'適正原価率表(仕入れお小遣い制度)'!$J$22,0)</f>
        <v>45533.795013351795</v>
      </c>
      <c r="F334" s="525">
        <f>IF(D334=1,SUM($E$306:E334),0)</f>
        <v>1092811.0803204433</v>
      </c>
      <c r="G334" s="535">
        <v>6490</v>
      </c>
      <c r="H334" s="525">
        <f>IF(D334=1,SUM($G$306:G334),0)</f>
        <v>852701</v>
      </c>
      <c r="I334" s="235">
        <f t="shared" si="88"/>
        <v>240110.08032044326</v>
      </c>
      <c r="J334" s="227"/>
      <c r="K334" s="520">
        <f t="shared" si="90"/>
        <v>45959</v>
      </c>
      <c r="L334" s="521">
        <f t="shared" si="90"/>
        <v>45959</v>
      </c>
      <c r="M334" s="524">
        <f t="shared" si="82"/>
        <v>1</v>
      </c>
      <c r="N334" s="525">
        <f>IF(M334=1,'適正原価率表(仕入れお小遣い制度)'!$J$23,0)</f>
        <v>9433.6103419759929</v>
      </c>
      <c r="O334" s="525">
        <f>IF(M334=1,SUM($N$306:N334),0)</f>
        <v>226406.64820742377</v>
      </c>
      <c r="P334" s="535">
        <v>8025</v>
      </c>
      <c r="Q334" s="525">
        <f>IF(M334=1,SUM($P$306:P334),0)</f>
        <v>331923</v>
      </c>
      <c r="R334" s="235">
        <f t="shared" si="83"/>
        <v>-105516.35179257623</v>
      </c>
      <c r="T334" s="526">
        <f t="shared" si="89"/>
        <v>45959</v>
      </c>
    </row>
    <row r="335" spans="2:20" ht="19.25" customHeight="1" outlineLevel="1">
      <c r="B335" s="520">
        <f t="shared" si="87"/>
        <v>45960</v>
      </c>
      <c r="C335" s="233">
        <f t="shared" si="84"/>
        <v>45960</v>
      </c>
      <c r="D335" s="234">
        <f>目標_2025R7!D323</f>
        <v>1</v>
      </c>
      <c r="E335" s="525">
        <f>IF(D335=1,'適正原価率表(仕入れお小遣い制度)'!$J$22,0)</f>
        <v>45533.795013351795</v>
      </c>
      <c r="F335" s="525">
        <f>IF(D335=1,SUM($E$306:E335),0)</f>
        <v>1138344.8753337951</v>
      </c>
      <c r="G335" s="535"/>
      <c r="H335" s="525">
        <f>IF(D335=1,SUM($G$306:G335),0)</f>
        <v>852701</v>
      </c>
      <c r="I335" s="235">
        <f t="shared" si="88"/>
        <v>285643.87533379509</v>
      </c>
      <c r="J335" s="227"/>
      <c r="K335" s="520">
        <f t="shared" si="90"/>
        <v>45960</v>
      </c>
      <c r="L335" s="521">
        <f t="shared" si="90"/>
        <v>45960</v>
      </c>
      <c r="M335" s="524">
        <f t="shared" si="82"/>
        <v>1</v>
      </c>
      <c r="N335" s="525">
        <f>IF(M335=1,'適正原価率表(仕入れお小遣い制度)'!$J$23,0)</f>
        <v>9433.6103419759929</v>
      </c>
      <c r="O335" s="525">
        <f>IF(M335=1,SUM($N$306:N335),0)</f>
        <v>235840.25854939976</v>
      </c>
      <c r="P335" s="535"/>
      <c r="Q335" s="525">
        <f>IF(M335=1,SUM($P$306:P335),0)</f>
        <v>331923</v>
      </c>
      <c r="R335" s="235">
        <f t="shared" si="83"/>
        <v>-96082.741450600239</v>
      </c>
      <c r="T335" s="526">
        <f t="shared" si="89"/>
        <v>45960</v>
      </c>
    </row>
    <row r="336" spans="2:20" ht="19.25" customHeight="1" outlineLevel="1">
      <c r="B336" s="520">
        <f t="shared" si="87"/>
        <v>45961</v>
      </c>
      <c r="C336" s="233">
        <f t="shared" si="84"/>
        <v>45961</v>
      </c>
      <c r="D336" s="234">
        <f>目標_2025R7!D324</f>
        <v>1</v>
      </c>
      <c r="E336" s="525">
        <f>IF(D336=1,'適正原価率表(仕入れお小遣い制度)'!$J$22,0)</f>
        <v>45533.795013351795</v>
      </c>
      <c r="F336" s="525">
        <f>IF(D336=1,SUM($E$306:E336),0)</f>
        <v>1183878.6703471469</v>
      </c>
      <c r="G336" s="535"/>
      <c r="H336" s="525">
        <f>IF(D336=1,SUM($G$306:G336),0)</f>
        <v>852701</v>
      </c>
      <c r="I336" s="235">
        <f t="shared" si="88"/>
        <v>331177.67034714692</v>
      </c>
      <c r="J336" s="227"/>
      <c r="K336" s="520">
        <f t="shared" si="90"/>
        <v>45961</v>
      </c>
      <c r="L336" s="521">
        <f t="shared" si="90"/>
        <v>45961</v>
      </c>
      <c r="M336" s="524">
        <f t="shared" si="82"/>
        <v>1</v>
      </c>
      <c r="N336" s="525">
        <f>IF(M336=1,'適正原価率表(仕入れお小遣い制度)'!$J$23,0)</f>
        <v>9433.6103419759929</v>
      </c>
      <c r="O336" s="525">
        <f>IF(M336=1,SUM($N$306:N336),0)</f>
        <v>245273.86889137575</v>
      </c>
      <c r="P336" s="535"/>
      <c r="Q336" s="525">
        <f>IF(M336=1,SUM($P$306:P336),0)</f>
        <v>331923</v>
      </c>
      <c r="R336" s="235">
        <f t="shared" si="83"/>
        <v>-86649.131108624249</v>
      </c>
      <c r="T336" s="526">
        <f t="shared" si="89"/>
        <v>45961</v>
      </c>
    </row>
    <row r="337" spans="2:20" ht="19.25" customHeight="1" outlineLevel="1">
      <c r="B337" s="860" t="s">
        <v>211</v>
      </c>
      <c r="C337" s="861"/>
      <c r="D337" s="862"/>
      <c r="E337" s="528">
        <f>SUM(E306:E336)</f>
        <v>1183878.6703471469</v>
      </c>
      <c r="F337" s="514"/>
      <c r="G337" s="515"/>
      <c r="H337" s="515"/>
      <c r="I337" s="515"/>
      <c r="J337" s="227"/>
      <c r="K337" s="860" t="s">
        <v>211</v>
      </c>
      <c r="L337" s="861"/>
      <c r="M337" s="862"/>
      <c r="N337" s="528">
        <f>SUM(N306:N336)</f>
        <v>245273.86889137575</v>
      </c>
      <c r="O337" s="514"/>
      <c r="P337" s="515"/>
      <c r="Q337" s="515"/>
      <c r="R337" s="515"/>
    </row>
    <row r="338" spans="2:20">
      <c r="G338" s="219">
        <v>32424</v>
      </c>
      <c r="P338" s="219">
        <v>0</v>
      </c>
    </row>
    <row r="339" spans="2:20" s="231" customFormat="1">
      <c r="B339" s="863" t="s">
        <v>256</v>
      </c>
      <c r="C339" s="864"/>
      <c r="D339" s="865"/>
      <c r="E339" s="228" t="s">
        <v>129</v>
      </c>
      <c r="F339" s="229" t="s">
        <v>130</v>
      </c>
      <c r="G339" s="229">
        <v>0</v>
      </c>
      <c r="H339" s="229" t="s">
        <v>132</v>
      </c>
      <c r="I339" s="229" t="s">
        <v>133</v>
      </c>
      <c r="J339" s="230"/>
      <c r="K339" s="866" t="str">
        <f>B339</f>
        <v>11月</v>
      </c>
      <c r="L339" s="866"/>
      <c r="M339" s="866"/>
      <c r="N339" s="228" t="s">
        <v>134</v>
      </c>
      <c r="O339" s="229" t="s">
        <v>135</v>
      </c>
      <c r="P339" s="229">
        <v>0</v>
      </c>
      <c r="Q339" s="229" t="s">
        <v>137</v>
      </c>
      <c r="R339" s="229" t="s">
        <v>133</v>
      </c>
    </row>
    <row r="340" spans="2:20" ht="19.25" customHeight="1" outlineLevel="1">
      <c r="B340" s="520">
        <f>B336+1</f>
        <v>45962</v>
      </c>
      <c r="C340" s="233">
        <f>B340</f>
        <v>45962</v>
      </c>
      <c r="D340" s="234">
        <f>目標_2025R7!D325</f>
        <v>1</v>
      </c>
      <c r="E340" s="525">
        <f>IF(D340=1,'適正原価率表(仕入れお小遣い制度)'!$J$24,0)</f>
        <v>49975.294247824757</v>
      </c>
      <c r="F340" s="525">
        <f>IF(D340=1,E340,0)</f>
        <v>49975.294247824757</v>
      </c>
      <c r="G340" s="535">
        <v>0</v>
      </c>
      <c r="H340" s="525">
        <f>IF(D340=1,G340,0)</f>
        <v>0</v>
      </c>
      <c r="I340" s="235">
        <f>IF(D340=1,F340-H340,0)</f>
        <v>49975.294247824757</v>
      </c>
      <c r="J340" s="227"/>
      <c r="K340" s="520">
        <f>B340</f>
        <v>45962</v>
      </c>
      <c r="L340" s="521">
        <f>C340</f>
        <v>45962</v>
      </c>
      <c r="M340" s="524">
        <f t="shared" ref="M340:M369" si="91">D340</f>
        <v>1</v>
      </c>
      <c r="N340" s="525">
        <f>IF(M340=1,'適正原価率表(仕入れお小遣い制度)'!$J$25,0)</f>
        <v>10893.663483906301</v>
      </c>
      <c r="O340" s="525">
        <f>IF(M340=1,N340,0)</f>
        <v>10893.663483906301</v>
      </c>
      <c r="P340" s="535">
        <v>0</v>
      </c>
      <c r="Q340" s="525">
        <f>IF(M340=1,P340,0)</f>
        <v>0</v>
      </c>
      <c r="R340" s="235">
        <f t="shared" ref="R340:R369" si="92">IF(D340=1,O340-Q340,0)</f>
        <v>10893.663483906301</v>
      </c>
      <c r="T340" s="526">
        <f>T336+1</f>
        <v>45962</v>
      </c>
    </row>
    <row r="341" spans="2:20" ht="19.25" customHeight="1" outlineLevel="1">
      <c r="B341" s="520">
        <f>B340+1</f>
        <v>45963</v>
      </c>
      <c r="C341" s="233">
        <f t="shared" ref="C341:C369" si="93">B341</f>
        <v>45963</v>
      </c>
      <c r="D341" s="234">
        <f>目標_2025R7!D326</f>
        <v>0</v>
      </c>
      <c r="E341" s="525">
        <f>IF(D341=1,'適正原価率表(仕入れお小遣い制度)'!$J$24,0)</f>
        <v>0</v>
      </c>
      <c r="F341" s="525">
        <f>IF(D341=1,SUM($E$340:E341),0)</f>
        <v>0</v>
      </c>
      <c r="G341" s="535">
        <v>47941</v>
      </c>
      <c r="H341" s="525">
        <f>IF(D341=1,SUM($G$340:G341),0)</f>
        <v>0</v>
      </c>
      <c r="I341" s="235">
        <f>IF(D341=1,F341-H341,0)</f>
        <v>0</v>
      </c>
      <c r="J341" s="227"/>
      <c r="K341" s="520">
        <f t="shared" ref="K341:K361" si="94">B341</f>
        <v>45963</v>
      </c>
      <c r="L341" s="521">
        <f t="shared" ref="L341:L361" si="95">C341</f>
        <v>45963</v>
      </c>
      <c r="M341" s="524">
        <f t="shared" si="91"/>
        <v>0</v>
      </c>
      <c r="N341" s="525">
        <f>IF(M341=1,'適正原価率表(仕入れお小遣い制度)'!$J$25,0)</f>
        <v>0</v>
      </c>
      <c r="O341" s="525">
        <f>IF(M341=1,SUM($N$340:N341),0)</f>
        <v>0</v>
      </c>
      <c r="P341" s="535">
        <v>40074</v>
      </c>
      <c r="Q341" s="525">
        <f>IF(M341=1,SUM($P$340:P341),0)</f>
        <v>0</v>
      </c>
      <c r="R341" s="235">
        <f t="shared" si="92"/>
        <v>0</v>
      </c>
      <c r="T341" s="526">
        <f>T340+1</f>
        <v>45963</v>
      </c>
    </row>
    <row r="342" spans="2:20" ht="19.25" customHeight="1" outlineLevel="1">
      <c r="B342" s="520">
        <f t="shared" ref="B342:B369" si="96">B341+1</f>
        <v>45964</v>
      </c>
      <c r="C342" s="233">
        <f t="shared" si="93"/>
        <v>45964</v>
      </c>
      <c r="D342" s="234">
        <f>目標_2025R7!D327</f>
        <v>0</v>
      </c>
      <c r="E342" s="525">
        <f>IF(D342=1,'適正原価率表(仕入れお小遣い制度)'!$J$24,0)</f>
        <v>0</v>
      </c>
      <c r="F342" s="525">
        <f>IF(D342=1,SUM($E$340:E342),0)</f>
        <v>0</v>
      </c>
      <c r="G342" s="535">
        <v>57417</v>
      </c>
      <c r="H342" s="525">
        <f>IF(D342=1,SUM($G$340:G342),0)</f>
        <v>0</v>
      </c>
      <c r="I342" s="235">
        <f t="shared" ref="I342:I369" si="97">IF(D342=1,F342-H342,0)</f>
        <v>0</v>
      </c>
      <c r="J342" s="227"/>
      <c r="K342" s="520">
        <f t="shared" si="94"/>
        <v>45964</v>
      </c>
      <c r="L342" s="521">
        <f t="shared" si="95"/>
        <v>45964</v>
      </c>
      <c r="M342" s="524">
        <f t="shared" si="91"/>
        <v>0</v>
      </c>
      <c r="N342" s="525">
        <f>IF(M342=1,'適正原価率表(仕入れお小遣い制度)'!$J$25,0)</f>
        <v>0</v>
      </c>
      <c r="O342" s="525">
        <f>IF(M342=1,SUM($N$340:N342),0)</f>
        <v>0</v>
      </c>
      <c r="P342" s="535">
        <v>35407</v>
      </c>
      <c r="Q342" s="525">
        <f>IF(M342=1,SUM($P$340:P342),0)</f>
        <v>0</v>
      </c>
      <c r="R342" s="235">
        <f t="shared" si="92"/>
        <v>0</v>
      </c>
      <c r="T342" s="526">
        <f t="shared" ref="T342:T369" si="98">T341+1</f>
        <v>45964</v>
      </c>
    </row>
    <row r="343" spans="2:20" ht="19.25" customHeight="1" outlineLevel="1">
      <c r="B343" s="520">
        <f t="shared" si="96"/>
        <v>45965</v>
      </c>
      <c r="C343" s="233">
        <f t="shared" si="93"/>
        <v>45965</v>
      </c>
      <c r="D343" s="234">
        <f>目標_2025R7!D328</f>
        <v>1</v>
      </c>
      <c r="E343" s="525">
        <f>IF(D343=1,'適正原価率表(仕入れお小遣い制度)'!$J$24,0)</f>
        <v>49975.294247824757</v>
      </c>
      <c r="F343" s="525">
        <f>IF(D343=1,SUM($E$340:E343),0)</f>
        <v>99950.588495649514</v>
      </c>
      <c r="G343" s="535">
        <v>46179</v>
      </c>
      <c r="H343" s="525">
        <f>IF(D343=1,SUM($G$340:G343),0)</f>
        <v>151537</v>
      </c>
      <c r="I343" s="235">
        <f t="shared" si="97"/>
        <v>-51586.411504350486</v>
      </c>
      <c r="J343" s="227"/>
      <c r="K343" s="520">
        <f t="shared" si="94"/>
        <v>45965</v>
      </c>
      <c r="L343" s="521">
        <f t="shared" si="95"/>
        <v>45965</v>
      </c>
      <c r="M343" s="524">
        <f t="shared" si="91"/>
        <v>1</v>
      </c>
      <c r="N343" s="525">
        <f>IF(M343=1,'適正原価率表(仕入れお小遣い制度)'!$J$25,0)</f>
        <v>10893.663483906301</v>
      </c>
      <c r="O343" s="525">
        <f>IF(M343=1,SUM($N$340:N343),0)</f>
        <v>21787.326967812602</v>
      </c>
      <c r="P343" s="535">
        <v>1500</v>
      </c>
      <c r="Q343" s="525">
        <f>IF(M343=1,SUM($P$340:P343),0)</f>
        <v>76981</v>
      </c>
      <c r="R343" s="235">
        <f t="shared" si="92"/>
        <v>-55193.673032187398</v>
      </c>
      <c r="T343" s="526">
        <f t="shared" si="98"/>
        <v>45965</v>
      </c>
    </row>
    <row r="344" spans="2:20" ht="19.25" customHeight="1" outlineLevel="1">
      <c r="B344" s="520">
        <f t="shared" si="96"/>
        <v>45966</v>
      </c>
      <c r="C344" s="233">
        <f t="shared" si="93"/>
        <v>45966</v>
      </c>
      <c r="D344" s="234">
        <f>目標_2025R7!D329</f>
        <v>1</v>
      </c>
      <c r="E344" s="525">
        <f>IF(D344=1,'適正原価率表(仕入れお小遣い制度)'!$J$24,0)</f>
        <v>49975.294247824757</v>
      </c>
      <c r="F344" s="525">
        <f>IF(D344=1,SUM($E$340:E344),0)</f>
        <v>149925.88274347427</v>
      </c>
      <c r="G344" s="535">
        <v>60657</v>
      </c>
      <c r="H344" s="525">
        <f>IF(D344=1,SUM($G$340:G344),0)</f>
        <v>212194</v>
      </c>
      <c r="I344" s="235">
        <f t="shared" si="97"/>
        <v>-62268.117256525729</v>
      </c>
      <c r="J344" s="227"/>
      <c r="K344" s="520">
        <f t="shared" si="94"/>
        <v>45966</v>
      </c>
      <c r="L344" s="521">
        <f t="shared" si="95"/>
        <v>45966</v>
      </c>
      <c r="M344" s="524">
        <f t="shared" si="91"/>
        <v>1</v>
      </c>
      <c r="N344" s="525">
        <f>IF(M344=1,'適正原価率表(仕入れお小遣い制度)'!$J$25,0)</f>
        <v>10893.663483906301</v>
      </c>
      <c r="O344" s="525">
        <f>IF(M344=1,SUM($N$340:N344),0)</f>
        <v>32680.990451718902</v>
      </c>
      <c r="P344" s="535">
        <v>49780</v>
      </c>
      <c r="Q344" s="525">
        <f>IF(M344=1,SUM($P$340:P344),0)</f>
        <v>126761</v>
      </c>
      <c r="R344" s="235">
        <f t="shared" si="92"/>
        <v>-94080.009548281101</v>
      </c>
      <c r="T344" s="526">
        <f t="shared" si="98"/>
        <v>45966</v>
      </c>
    </row>
    <row r="345" spans="2:20" ht="19.25" customHeight="1" outlineLevel="1">
      <c r="B345" s="520">
        <f t="shared" si="96"/>
        <v>45967</v>
      </c>
      <c r="C345" s="233">
        <f t="shared" si="93"/>
        <v>45967</v>
      </c>
      <c r="D345" s="234">
        <f>目標_2025R7!D330</f>
        <v>1</v>
      </c>
      <c r="E345" s="525">
        <f>IF(D345=1,'適正原価率表(仕入れお小遣い制度)'!$J$24,0)</f>
        <v>49975.294247824757</v>
      </c>
      <c r="F345" s="525">
        <f>IF(D345=1,SUM($E$340:E345),0)</f>
        <v>199901.17699129903</v>
      </c>
      <c r="G345" s="535">
        <v>2830</v>
      </c>
      <c r="H345" s="525">
        <f>IF(D345=1,SUM($G$340:G345),0)</f>
        <v>215024</v>
      </c>
      <c r="I345" s="235">
        <f t="shared" si="97"/>
        <v>-15122.823008700972</v>
      </c>
      <c r="J345" s="227"/>
      <c r="K345" s="520">
        <f t="shared" si="94"/>
        <v>45967</v>
      </c>
      <c r="L345" s="521">
        <f t="shared" si="95"/>
        <v>45967</v>
      </c>
      <c r="M345" s="524">
        <f t="shared" si="91"/>
        <v>1</v>
      </c>
      <c r="N345" s="525">
        <f>IF(M345=1,'適正原価率表(仕入れお小遣い制度)'!$J$25,0)</f>
        <v>10893.663483906301</v>
      </c>
      <c r="O345" s="525">
        <f>IF(M345=1,SUM($N$340:N345),0)</f>
        <v>43574.653935625203</v>
      </c>
      <c r="P345" s="535">
        <v>4816</v>
      </c>
      <c r="Q345" s="525">
        <f>IF(M345=1,SUM($P$340:P345),0)</f>
        <v>131577</v>
      </c>
      <c r="R345" s="235">
        <f t="shared" si="92"/>
        <v>-88002.346064374797</v>
      </c>
      <c r="T345" s="526">
        <f t="shared" si="98"/>
        <v>45967</v>
      </c>
    </row>
    <row r="346" spans="2:20" ht="19.25" customHeight="1" outlineLevel="1">
      <c r="B346" s="520">
        <f t="shared" si="96"/>
        <v>45968</v>
      </c>
      <c r="C346" s="233">
        <f t="shared" si="93"/>
        <v>45968</v>
      </c>
      <c r="D346" s="234">
        <f>目標_2025R7!D331</f>
        <v>1</v>
      </c>
      <c r="E346" s="525">
        <f>IF(D346=1,'適正原価率表(仕入れお小遣い制度)'!$J$24,0)</f>
        <v>49975.294247824757</v>
      </c>
      <c r="F346" s="525">
        <f>IF(D346=1,SUM($E$340:E346),0)</f>
        <v>249876.47123912378</v>
      </c>
      <c r="G346" s="535">
        <v>0</v>
      </c>
      <c r="H346" s="525">
        <f>IF(D346=1,SUM($G$340:G346),0)</f>
        <v>215024</v>
      </c>
      <c r="I346" s="235">
        <f t="shared" si="97"/>
        <v>34852.471239123784</v>
      </c>
      <c r="J346" s="227"/>
      <c r="K346" s="520">
        <f t="shared" si="94"/>
        <v>45968</v>
      </c>
      <c r="L346" s="521">
        <f t="shared" si="95"/>
        <v>45968</v>
      </c>
      <c r="M346" s="524">
        <f t="shared" si="91"/>
        <v>1</v>
      </c>
      <c r="N346" s="525">
        <f>IF(M346=1,'適正原価率表(仕入れお小遣い制度)'!$J$25,0)</f>
        <v>10893.663483906301</v>
      </c>
      <c r="O346" s="525">
        <f>IF(M346=1,SUM($N$340:N346),0)</f>
        <v>54468.317419531508</v>
      </c>
      <c r="P346" s="535">
        <v>0</v>
      </c>
      <c r="Q346" s="525">
        <f>IF(M346=1,SUM($P$340:P346),0)</f>
        <v>131577</v>
      </c>
      <c r="R346" s="235">
        <f t="shared" si="92"/>
        <v>-77108.682580468492</v>
      </c>
      <c r="T346" s="526">
        <f t="shared" si="98"/>
        <v>45968</v>
      </c>
    </row>
    <row r="347" spans="2:20" ht="19.25" customHeight="1" outlineLevel="1">
      <c r="B347" s="520">
        <f t="shared" si="96"/>
        <v>45969</v>
      </c>
      <c r="C347" s="233">
        <f t="shared" si="93"/>
        <v>45969</v>
      </c>
      <c r="D347" s="234">
        <f>目標_2025R7!D332</f>
        <v>1</v>
      </c>
      <c r="E347" s="525">
        <f>IF(D347=1,'適正原価率表(仕入れお小遣い制度)'!$J$24,0)</f>
        <v>49975.294247824757</v>
      </c>
      <c r="F347" s="525">
        <f>IF(D347=1,SUM($E$340:E347),0)</f>
        <v>299851.76548694854</v>
      </c>
      <c r="G347" s="535">
        <v>30925</v>
      </c>
      <c r="H347" s="525">
        <f>IF(D347=1,SUM($G$340:G347),0)</f>
        <v>245949</v>
      </c>
      <c r="I347" s="235">
        <f t="shared" si="97"/>
        <v>53902.765486948541</v>
      </c>
      <c r="J347" s="227"/>
      <c r="K347" s="520">
        <f t="shared" si="94"/>
        <v>45969</v>
      </c>
      <c r="L347" s="521">
        <f t="shared" si="95"/>
        <v>45969</v>
      </c>
      <c r="M347" s="524">
        <f t="shared" si="91"/>
        <v>1</v>
      </c>
      <c r="N347" s="525">
        <f>IF(M347=1,'適正原価率表(仕入れお小遣い制度)'!$J$25,0)</f>
        <v>10893.663483906301</v>
      </c>
      <c r="O347" s="525">
        <f>IF(M347=1,SUM($N$340:N347),0)</f>
        <v>65361.980903437812</v>
      </c>
      <c r="P347" s="535">
        <v>17863</v>
      </c>
      <c r="Q347" s="525">
        <f>IF(M347=1,SUM($P$340:P347),0)</f>
        <v>149440</v>
      </c>
      <c r="R347" s="235">
        <f t="shared" si="92"/>
        <v>-84078.019096562188</v>
      </c>
      <c r="T347" s="526">
        <f t="shared" si="98"/>
        <v>45969</v>
      </c>
    </row>
    <row r="348" spans="2:20" ht="19.25" customHeight="1" outlineLevel="1">
      <c r="B348" s="520">
        <f t="shared" si="96"/>
        <v>45970</v>
      </c>
      <c r="C348" s="233">
        <f t="shared" si="93"/>
        <v>45970</v>
      </c>
      <c r="D348" s="234">
        <f>目標_2025R7!D333</f>
        <v>0</v>
      </c>
      <c r="E348" s="525">
        <f>IF(D348=1,'適正原価率表(仕入れお小遣い制度)'!$J$24,0)</f>
        <v>0</v>
      </c>
      <c r="F348" s="525">
        <f>IF(D348=1,SUM($E$340:E348),0)</f>
        <v>0</v>
      </c>
      <c r="G348" s="535">
        <v>35949</v>
      </c>
      <c r="H348" s="525">
        <f>IF(D348=1,SUM($G$340:G348),0)</f>
        <v>0</v>
      </c>
      <c r="I348" s="235">
        <f t="shared" si="97"/>
        <v>0</v>
      </c>
      <c r="J348" s="227"/>
      <c r="K348" s="520">
        <f t="shared" si="94"/>
        <v>45970</v>
      </c>
      <c r="L348" s="521">
        <f t="shared" si="95"/>
        <v>45970</v>
      </c>
      <c r="M348" s="524">
        <f t="shared" si="91"/>
        <v>0</v>
      </c>
      <c r="N348" s="525">
        <f>IF(M348=1,'適正原価率表(仕入れお小遣い制度)'!$J$25,0)</f>
        <v>0</v>
      </c>
      <c r="O348" s="525">
        <f>IF(M348=1,SUM($N$340:N348),0)</f>
        <v>0</v>
      </c>
      <c r="P348" s="535">
        <v>1339</v>
      </c>
      <c r="Q348" s="525">
        <f>IF(M348=1,SUM($P$340:P348),0)</f>
        <v>0</v>
      </c>
      <c r="R348" s="235">
        <f t="shared" si="92"/>
        <v>0</v>
      </c>
      <c r="T348" s="526">
        <f t="shared" si="98"/>
        <v>45970</v>
      </c>
    </row>
    <row r="349" spans="2:20" ht="19.25" customHeight="1" outlineLevel="1">
      <c r="B349" s="520">
        <f t="shared" si="96"/>
        <v>45971</v>
      </c>
      <c r="C349" s="233">
        <f t="shared" si="93"/>
        <v>45971</v>
      </c>
      <c r="D349" s="234">
        <f>目標_2025R7!D334</f>
        <v>1</v>
      </c>
      <c r="E349" s="525">
        <f>IF(D349=1,'適正原価率表(仕入れお小遣い制度)'!$J$24,0)</f>
        <v>49975.294247824757</v>
      </c>
      <c r="F349" s="525">
        <f>IF(D349=1,SUM($E$340:E349),0)</f>
        <v>349827.0597347733</v>
      </c>
      <c r="G349" s="535">
        <v>25258</v>
      </c>
      <c r="H349" s="525">
        <f>IF(D349=1,SUM($G$340:G349),0)</f>
        <v>307156</v>
      </c>
      <c r="I349" s="235">
        <f t="shared" si="97"/>
        <v>42671.059734773298</v>
      </c>
      <c r="J349" s="227"/>
      <c r="K349" s="520">
        <f t="shared" si="94"/>
        <v>45971</v>
      </c>
      <c r="L349" s="521">
        <f t="shared" si="95"/>
        <v>45971</v>
      </c>
      <c r="M349" s="524">
        <f t="shared" si="91"/>
        <v>1</v>
      </c>
      <c r="N349" s="525">
        <f>IF(M349=1,'適正原価率表(仕入れお小遣い制度)'!$J$25,0)</f>
        <v>10893.663483906301</v>
      </c>
      <c r="O349" s="525">
        <f>IF(M349=1,SUM($N$340:N349),0)</f>
        <v>76255.644387344117</v>
      </c>
      <c r="P349" s="535">
        <v>0</v>
      </c>
      <c r="Q349" s="525">
        <f>IF(M349=1,SUM($P$340:P349),0)</f>
        <v>150779</v>
      </c>
      <c r="R349" s="235">
        <f t="shared" si="92"/>
        <v>-74523.355612655883</v>
      </c>
      <c r="T349" s="526">
        <f t="shared" si="98"/>
        <v>45971</v>
      </c>
    </row>
    <row r="350" spans="2:20" ht="19.25" customHeight="1" outlineLevel="1">
      <c r="B350" s="520">
        <f t="shared" si="96"/>
        <v>45972</v>
      </c>
      <c r="C350" s="233">
        <f t="shared" si="93"/>
        <v>45972</v>
      </c>
      <c r="D350" s="234">
        <f>目標_2025R7!D335</f>
        <v>1</v>
      </c>
      <c r="E350" s="525">
        <f>IF(D350=1,'適正原価率表(仕入れお小遣い制度)'!$J$24,0)</f>
        <v>49975.294247824757</v>
      </c>
      <c r="F350" s="525">
        <f>IF(D350=1,SUM($E$340:E350),0)</f>
        <v>399802.35398259806</v>
      </c>
      <c r="G350" s="535">
        <v>70099</v>
      </c>
      <c r="H350" s="525">
        <f>IF(D350=1,SUM($G$340:G350),0)</f>
        <v>377255</v>
      </c>
      <c r="I350" s="235">
        <f t="shared" si="97"/>
        <v>22547.353982598055</v>
      </c>
      <c r="J350" s="227"/>
      <c r="K350" s="520">
        <f t="shared" si="94"/>
        <v>45972</v>
      </c>
      <c r="L350" s="521">
        <f t="shared" si="95"/>
        <v>45972</v>
      </c>
      <c r="M350" s="524">
        <f t="shared" si="91"/>
        <v>1</v>
      </c>
      <c r="N350" s="525">
        <f>IF(M350=1,'適正原価率表(仕入れお小遣い制度)'!$J$25,0)</f>
        <v>10893.663483906301</v>
      </c>
      <c r="O350" s="525">
        <f>IF(M350=1,SUM($N$340:N350),0)</f>
        <v>87149.307871250421</v>
      </c>
      <c r="P350" s="535">
        <v>21158</v>
      </c>
      <c r="Q350" s="525">
        <f>IF(M350=1,SUM($P$340:P350),0)</f>
        <v>171937</v>
      </c>
      <c r="R350" s="235">
        <f t="shared" si="92"/>
        <v>-84787.692128749579</v>
      </c>
      <c r="T350" s="526">
        <f t="shared" si="98"/>
        <v>45972</v>
      </c>
    </row>
    <row r="351" spans="2:20" ht="19.25" customHeight="1" outlineLevel="1">
      <c r="B351" s="520">
        <f t="shared" si="96"/>
        <v>45973</v>
      </c>
      <c r="C351" s="233">
        <f t="shared" si="93"/>
        <v>45973</v>
      </c>
      <c r="D351" s="234">
        <f>目標_2025R7!D336</f>
        <v>1</v>
      </c>
      <c r="E351" s="525">
        <f>IF(D351=1,'適正原価率表(仕入れお小遣い制度)'!$J$24,0)</f>
        <v>49975.294247824757</v>
      </c>
      <c r="F351" s="525">
        <f>IF(D351=1,SUM($E$340:E351),0)</f>
        <v>449777.64823042281</v>
      </c>
      <c r="G351" s="535">
        <v>59532</v>
      </c>
      <c r="H351" s="525">
        <f>IF(D351=1,SUM($G$340:G351),0)</f>
        <v>436787</v>
      </c>
      <c r="I351" s="235">
        <f t="shared" si="97"/>
        <v>12990.648230422812</v>
      </c>
      <c r="J351" s="227"/>
      <c r="K351" s="520">
        <f t="shared" si="94"/>
        <v>45973</v>
      </c>
      <c r="L351" s="521">
        <f t="shared" si="95"/>
        <v>45973</v>
      </c>
      <c r="M351" s="524">
        <f t="shared" si="91"/>
        <v>1</v>
      </c>
      <c r="N351" s="525">
        <f>IF(M351=1,'適正原価率表(仕入れお小遣い制度)'!$J$25,0)</f>
        <v>10893.663483906301</v>
      </c>
      <c r="O351" s="525">
        <f>IF(M351=1,SUM($N$340:N351),0)</f>
        <v>98042.971355156726</v>
      </c>
      <c r="P351" s="535">
        <v>6240</v>
      </c>
      <c r="Q351" s="525">
        <f>IF(M351=1,SUM($P$340:P351),0)</f>
        <v>178177</v>
      </c>
      <c r="R351" s="235">
        <f t="shared" si="92"/>
        <v>-80134.028644843274</v>
      </c>
      <c r="T351" s="526">
        <f t="shared" si="98"/>
        <v>45973</v>
      </c>
    </row>
    <row r="352" spans="2:20" ht="19.25" customHeight="1" outlineLevel="1">
      <c r="B352" s="520">
        <f t="shared" si="96"/>
        <v>45974</v>
      </c>
      <c r="C352" s="233">
        <f t="shared" si="93"/>
        <v>45974</v>
      </c>
      <c r="D352" s="234">
        <f>目標_2025R7!D337</f>
        <v>1</v>
      </c>
      <c r="E352" s="525">
        <f>IF(D352=1,'適正原価率表(仕入れお小遣い制度)'!$J$24,0)</f>
        <v>49975.294247824757</v>
      </c>
      <c r="F352" s="525">
        <f>IF(D352=1,SUM($E$340:E352),0)</f>
        <v>499752.94247824757</v>
      </c>
      <c r="G352" s="535">
        <v>28082</v>
      </c>
      <c r="H352" s="525">
        <f>IF(D352=1,SUM($G$340:G352),0)</f>
        <v>464869</v>
      </c>
      <c r="I352" s="235">
        <f t="shared" si="97"/>
        <v>34883.942478247569</v>
      </c>
      <c r="J352" s="227"/>
      <c r="K352" s="520">
        <f t="shared" si="94"/>
        <v>45974</v>
      </c>
      <c r="L352" s="521">
        <f t="shared" si="95"/>
        <v>45974</v>
      </c>
      <c r="M352" s="524">
        <f t="shared" si="91"/>
        <v>1</v>
      </c>
      <c r="N352" s="525">
        <f>IF(M352=1,'適正原価率表(仕入れお小遣い制度)'!$J$25,0)</f>
        <v>10893.663483906301</v>
      </c>
      <c r="O352" s="525">
        <f>IF(M352=1,SUM($N$340:N352),0)</f>
        <v>108936.63483906303</v>
      </c>
      <c r="P352" s="535">
        <v>21561</v>
      </c>
      <c r="Q352" s="525">
        <f>IF(M352=1,SUM($P$340:P352),0)</f>
        <v>199738</v>
      </c>
      <c r="R352" s="235">
        <f t="shared" si="92"/>
        <v>-90801.36516093697</v>
      </c>
      <c r="T352" s="526">
        <f t="shared" si="98"/>
        <v>45974</v>
      </c>
    </row>
    <row r="353" spans="2:20" ht="19.25" customHeight="1" outlineLevel="1">
      <c r="B353" s="520">
        <f t="shared" si="96"/>
        <v>45975</v>
      </c>
      <c r="C353" s="233">
        <f t="shared" si="93"/>
        <v>45975</v>
      </c>
      <c r="D353" s="234">
        <f>目標_2025R7!D338</f>
        <v>1</v>
      </c>
      <c r="E353" s="525">
        <f>IF(D353=1,'適正原価率表(仕入れお小遣い制度)'!$J$24,0)</f>
        <v>49975.294247824757</v>
      </c>
      <c r="F353" s="525">
        <f>IF(D353=1,SUM($E$340:E353),0)</f>
        <v>549728.23672607238</v>
      </c>
      <c r="G353" s="535">
        <v>0</v>
      </c>
      <c r="H353" s="525">
        <f>IF(D353=1,SUM($G$340:G353),0)</f>
        <v>464869</v>
      </c>
      <c r="I353" s="235">
        <f t="shared" si="97"/>
        <v>84859.236726072384</v>
      </c>
      <c r="J353" s="227"/>
      <c r="K353" s="520">
        <f t="shared" si="94"/>
        <v>45975</v>
      </c>
      <c r="L353" s="521">
        <f t="shared" si="95"/>
        <v>45975</v>
      </c>
      <c r="M353" s="524">
        <f t="shared" si="91"/>
        <v>1</v>
      </c>
      <c r="N353" s="525">
        <f>IF(M353=1,'適正原価率表(仕入れお小遣い制度)'!$J$25,0)</f>
        <v>10893.663483906301</v>
      </c>
      <c r="O353" s="525">
        <f>IF(M353=1,SUM($N$340:N353),0)</f>
        <v>119830.29832296933</v>
      </c>
      <c r="P353" s="535">
        <v>0</v>
      </c>
      <c r="Q353" s="525">
        <f>IF(M353=1,SUM($P$340:P353),0)</f>
        <v>199738</v>
      </c>
      <c r="R353" s="235">
        <f t="shared" si="92"/>
        <v>-79907.701677030665</v>
      </c>
      <c r="T353" s="526">
        <f t="shared" si="98"/>
        <v>45975</v>
      </c>
    </row>
    <row r="354" spans="2:20" ht="19.25" customHeight="1" outlineLevel="1">
      <c r="B354" s="520">
        <f t="shared" si="96"/>
        <v>45976</v>
      </c>
      <c r="C354" s="233">
        <f t="shared" si="93"/>
        <v>45976</v>
      </c>
      <c r="D354" s="234">
        <f>目標_2025R7!D339</f>
        <v>1</v>
      </c>
      <c r="E354" s="525">
        <f>IF(D354=1,'適正原価率表(仕入れお小遣い制度)'!$J$24,0)</f>
        <v>49975.294247824757</v>
      </c>
      <c r="F354" s="525">
        <f>IF(D354=1,SUM($E$340:E354),0)</f>
        <v>599703.53097389708</v>
      </c>
      <c r="G354" s="535">
        <v>49706</v>
      </c>
      <c r="H354" s="525">
        <f>IF(D354=1,SUM($G$340:G354),0)</f>
        <v>514575</v>
      </c>
      <c r="I354" s="235">
        <f t="shared" si="97"/>
        <v>85128.530973897083</v>
      </c>
      <c r="J354" s="227"/>
      <c r="K354" s="520">
        <f t="shared" si="94"/>
        <v>45976</v>
      </c>
      <c r="L354" s="521">
        <f t="shared" si="95"/>
        <v>45976</v>
      </c>
      <c r="M354" s="524">
        <f t="shared" si="91"/>
        <v>1</v>
      </c>
      <c r="N354" s="525">
        <f>IF(M354=1,'適正原価率表(仕入れお小遣い制度)'!$J$25,0)</f>
        <v>10893.663483906301</v>
      </c>
      <c r="O354" s="525">
        <f>IF(M354=1,SUM($N$340:N354),0)</f>
        <v>130723.96180687564</v>
      </c>
      <c r="P354" s="535">
        <v>6761</v>
      </c>
      <c r="Q354" s="525">
        <f>IF(M354=1,SUM($P$340:P354),0)</f>
        <v>206499</v>
      </c>
      <c r="R354" s="235">
        <f t="shared" si="92"/>
        <v>-75775.038193124361</v>
      </c>
      <c r="T354" s="526">
        <f t="shared" si="98"/>
        <v>45976</v>
      </c>
    </row>
    <row r="355" spans="2:20" ht="19.25" customHeight="1" outlineLevel="1">
      <c r="B355" s="520">
        <f t="shared" si="96"/>
        <v>45977</v>
      </c>
      <c r="C355" s="233">
        <f t="shared" si="93"/>
        <v>45977</v>
      </c>
      <c r="D355" s="234">
        <f>目標_2025R7!D340</f>
        <v>0</v>
      </c>
      <c r="E355" s="525">
        <f>IF(D355=1,'適正原価率表(仕入れお小遣い制度)'!$J$24,0)</f>
        <v>0</v>
      </c>
      <c r="F355" s="525">
        <f>IF(D355=1,SUM($E$340:E355),0)</f>
        <v>0</v>
      </c>
      <c r="G355" s="535">
        <v>42862</v>
      </c>
      <c r="H355" s="525">
        <f>IF(D355=1,SUM($G$340:G355),0)</f>
        <v>0</v>
      </c>
      <c r="I355" s="235">
        <f t="shared" si="97"/>
        <v>0</v>
      </c>
      <c r="J355" s="227"/>
      <c r="K355" s="520">
        <f t="shared" si="94"/>
        <v>45977</v>
      </c>
      <c r="L355" s="521">
        <f t="shared" si="95"/>
        <v>45977</v>
      </c>
      <c r="M355" s="524">
        <f t="shared" si="91"/>
        <v>0</v>
      </c>
      <c r="N355" s="525">
        <f>IF(M355=1,'適正原価率表(仕入れお小遣い制度)'!$J$25,0)</f>
        <v>0</v>
      </c>
      <c r="O355" s="525">
        <f>IF(M355=1,SUM($N$340:N355),0)</f>
        <v>0</v>
      </c>
      <c r="P355" s="535">
        <v>9414</v>
      </c>
      <c r="Q355" s="525">
        <f>IF(M355=1,SUM($P$340:P355),0)</f>
        <v>0</v>
      </c>
      <c r="R355" s="235">
        <f t="shared" si="92"/>
        <v>0</v>
      </c>
      <c r="T355" s="526">
        <f t="shared" si="98"/>
        <v>45977</v>
      </c>
    </row>
    <row r="356" spans="2:20" ht="19.25" customHeight="1" outlineLevel="1">
      <c r="B356" s="520">
        <f t="shared" si="96"/>
        <v>45978</v>
      </c>
      <c r="C356" s="233">
        <f t="shared" si="93"/>
        <v>45978</v>
      </c>
      <c r="D356" s="234">
        <f>目標_2025R7!D341</f>
        <v>1</v>
      </c>
      <c r="E356" s="525">
        <f>IF(D356=1,'適正原価率表(仕入れお小遣い制度)'!$J$24,0)</f>
        <v>49975.294247824757</v>
      </c>
      <c r="F356" s="525">
        <f>IF(D356=1,SUM($E$340:E356),0)</f>
        <v>649678.82522172178</v>
      </c>
      <c r="G356" s="535">
        <v>31339</v>
      </c>
      <c r="H356" s="525">
        <f>IF(D356=1,SUM($G$340:G356),0)</f>
        <v>588776</v>
      </c>
      <c r="I356" s="235">
        <f t="shared" si="97"/>
        <v>60902.825221721781</v>
      </c>
      <c r="J356" s="227"/>
      <c r="K356" s="520">
        <f t="shared" si="94"/>
        <v>45978</v>
      </c>
      <c r="L356" s="521">
        <f t="shared" si="95"/>
        <v>45978</v>
      </c>
      <c r="M356" s="524">
        <f t="shared" si="91"/>
        <v>1</v>
      </c>
      <c r="N356" s="525">
        <f>IF(M356=1,'適正原価率表(仕入れお小遣い制度)'!$J$25,0)</f>
        <v>10893.663483906301</v>
      </c>
      <c r="O356" s="525">
        <f>IF(M356=1,SUM($N$340:N356),0)</f>
        <v>141617.62529078193</v>
      </c>
      <c r="P356" s="535">
        <v>56202</v>
      </c>
      <c r="Q356" s="525">
        <f>IF(M356=1,SUM($P$340:P356),0)</f>
        <v>272115</v>
      </c>
      <c r="R356" s="235">
        <f t="shared" si="92"/>
        <v>-130497.37470921807</v>
      </c>
      <c r="T356" s="526">
        <f t="shared" si="98"/>
        <v>45978</v>
      </c>
    </row>
    <row r="357" spans="2:20" ht="19.25" customHeight="1" outlineLevel="1">
      <c r="B357" s="520">
        <f t="shared" si="96"/>
        <v>45979</v>
      </c>
      <c r="C357" s="233">
        <f t="shared" si="93"/>
        <v>45979</v>
      </c>
      <c r="D357" s="234">
        <f>目標_2025R7!D342</f>
        <v>1</v>
      </c>
      <c r="E357" s="525">
        <f>IF(D357=1,'適正原価率表(仕入れお小遣い制度)'!$J$24,0)</f>
        <v>49975.294247824757</v>
      </c>
      <c r="F357" s="525">
        <f>IF(D357=1,SUM($E$340:E357),0)</f>
        <v>699654.11946954648</v>
      </c>
      <c r="G357" s="535">
        <v>45556</v>
      </c>
      <c r="H357" s="525">
        <f>IF(D357=1,SUM($G$340:G357),0)</f>
        <v>634332</v>
      </c>
      <c r="I357" s="235">
        <f t="shared" si="97"/>
        <v>65322.11946954648</v>
      </c>
      <c r="J357" s="227"/>
      <c r="K357" s="520">
        <f t="shared" si="94"/>
        <v>45979</v>
      </c>
      <c r="L357" s="521">
        <f t="shared" si="95"/>
        <v>45979</v>
      </c>
      <c r="M357" s="524">
        <f t="shared" si="91"/>
        <v>1</v>
      </c>
      <c r="N357" s="525">
        <f>IF(M357=1,'適正原価率表(仕入れお小遣い制度)'!$J$25,0)</f>
        <v>10893.663483906301</v>
      </c>
      <c r="O357" s="525">
        <f>IF(M357=1,SUM($N$340:N357),0)</f>
        <v>152511.28877468823</v>
      </c>
      <c r="P357" s="535">
        <v>23098</v>
      </c>
      <c r="Q357" s="525">
        <f>IF(M357=1,SUM($P$340:P357),0)</f>
        <v>295213</v>
      </c>
      <c r="R357" s="235">
        <f t="shared" si="92"/>
        <v>-142701.71122531177</v>
      </c>
      <c r="T357" s="526">
        <f t="shared" si="98"/>
        <v>45979</v>
      </c>
    </row>
    <row r="358" spans="2:20" ht="19.25" customHeight="1" outlineLevel="1">
      <c r="B358" s="520">
        <f t="shared" si="96"/>
        <v>45980</v>
      </c>
      <c r="C358" s="233">
        <f t="shared" si="93"/>
        <v>45980</v>
      </c>
      <c r="D358" s="234">
        <f>目標_2025R7!D343</f>
        <v>1</v>
      </c>
      <c r="E358" s="525">
        <f>IF(D358=1,'適正原価率表(仕入れお小遣い制度)'!$J$24,0)</f>
        <v>49975.294247824757</v>
      </c>
      <c r="F358" s="525">
        <f>IF(D358=1,SUM($E$340:E358),0)</f>
        <v>749629.41371737118</v>
      </c>
      <c r="G358" s="535">
        <v>58075</v>
      </c>
      <c r="H358" s="525">
        <f>IF(D358=1,SUM($G$340:G358),0)</f>
        <v>692407</v>
      </c>
      <c r="I358" s="235">
        <f t="shared" si="97"/>
        <v>57222.413717371179</v>
      </c>
      <c r="J358" s="227"/>
      <c r="K358" s="520">
        <f t="shared" si="94"/>
        <v>45980</v>
      </c>
      <c r="L358" s="521">
        <f t="shared" si="95"/>
        <v>45980</v>
      </c>
      <c r="M358" s="524">
        <f t="shared" si="91"/>
        <v>1</v>
      </c>
      <c r="N358" s="525">
        <f>IF(M358=1,'適正原価率表(仕入れお小遣い制度)'!$J$25,0)</f>
        <v>10893.663483906301</v>
      </c>
      <c r="O358" s="525">
        <f>IF(M358=1,SUM($N$340:N358),0)</f>
        <v>163404.95225859454</v>
      </c>
      <c r="P358" s="535">
        <v>31580</v>
      </c>
      <c r="Q358" s="525">
        <f>IF(M358=1,SUM($P$340:P358),0)</f>
        <v>326793</v>
      </c>
      <c r="R358" s="235">
        <f t="shared" si="92"/>
        <v>-163388.04774140546</v>
      </c>
      <c r="T358" s="526">
        <f t="shared" si="98"/>
        <v>45980</v>
      </c>
    </row>
    <row r="359" spans="2:20" ht="19.25" customHeight="1" outlineLevel="1">
      <c r="B359" s="520">
        <f t="shared" si="96"/>
        <v>45981</v>
      </c>
      <c r="C359" s="233">
        <f t="shared" si="93"/>
        <v>45981</v>
      </c>
      <c r="D359" s="234">
        <f>目標_2025R7!D344</f>
        <v>1</v>
      </c>
      <c r="E359" s="525">
        <f>IF(D359=1,'適正原価率表(仕入れお小遣い制度)'!$J$24,0)</f>
        <v>49975.294247824757</v>
      </c>
      <c r="F359" s="525">
        <f>IF(D359=1,SUM($E$340:E359),0)</f>
        <v>799604.70796519588</v>
      </c>
      <c r="G359" s="535">
        <v>25276</v>
      </c>
      <c r="H359" s="525">
        <f>IF(D359=1,SUM($G$340:G359),0)</f>
        <v>717683</v>
      </c>
      <c r="I359" s="235">
        <f t="shared" si="97"/>
        <v>81921.707965195877</v>
      </c>
      <c r="J359" s="227"/>
      <c r="K359" s="520">
        <f t="shared" si="94"/>
        <v>45981</v>
      </c>
      <c r="L359" s="521">
        <f t="shared" si="95"/>
        <v>45981</v>
      </c>
      <c r="M359" s="524">
        <f t="shared" si="91"/>
        <v>1</v>
      </c>
      <c r="N359" s="525">
        <f>IF(M359=1,'適正原価率表(仕入れお小遣い制度)'!$J$25,0)</f>
        <v>10893.663483906301</v>
      </c>
      <c r="O359" s="525">
        <f>IF(M359=1,SUM($N$340:N359),0)</f>
        <v>174298.61574250084</v>
      </c>
      <c r="P359" s="535">
        <v>0</v>
      </c>
      <c r="Q359" s="525">
        <f>IF(M359=1,SUM($P$340:P359),0)</f>
        <v>326793</v>
      </c>
      <c r="R359" s="235">
        <f t="shared" si="92"/>
        <v>-152494.38425749916</v>
      </c>
      <c r="T359" s="526">
        <f t="shared" si="98"/>
        <v>45981</v>
      </c>
    </row>
    <row r="360" spans="2:20" ht="19.25" customHeight="1" outlineLevel="1">
      <c r="B360" s="520">
        <f t="shared" si="96"/>
        <v>45982</v>
      </c>
      <c r="C360" s="233">
        <f t="shared" si="93"/>
        <v>45982</v>
      </c>
      <c r="D360" s="234">
        <f>目標_2025R7!D345</f>
        <v>1</v>
      </c>
      <c r="E360" s="525">
        <f>IF(D360=1,'適正原価率表(仕入れお小遣い制度)'!$J$24,0)</f>
        <v>49975.294247824757</v>
      </c>
      <c r="F360" s="525">
        <f>IF(D360=1,SUM($E$340:E360),0)</f>
        <v>849580.00221302058</v>
      </c>
      <c r="G360" s="535">
        <v>0</v>
      </c>
      <c r="H360" s="525">
        <f>IF(D360=1,SUM($G$340:G360),0)</f>
        <v>717683</v>
      </c>
      <c r="I360" s="235">
        <f t="shared" si="97"/>
        <v>131897.00221302058</v>
      </c>
      <c r="J360" s="227"/>
      <c r="K360" s="520">
        <f t="shared" si="94"/>
        <v>45982</v>
      </c>
      <c r="L360" s="521">
        <f t="shared" si="95"/>
        <v>45982</v>
      </c>
      <c r="M360" s="524">
        <f t="shared" si="91"/>
        <v>1</v>
      </c>
      <c r="N360" s="525">
        <f>IF(M360=1,'適正原価率表(仕入れお小遣い制度)'!$J$25,0)</f>
        <v>10893.663483906301</v>
      </c>
      <c r="O360" s="525">
        <f>IF(M360=1,SUM($N$340:N360),0)</f>
        <v>185192.27922640715</v>
      </c>
      <c r="P360" s="535">
        <v>0</v>
      </c>
      <c r="Q360" s="525">
        <f>IF(M360=1,SUM($P$340:P360),0)</f>
        <v>326793</v>
      </c>
      <c r="R360" s="235">
        <f t="shared" si="92"/>
        <v>-141600.72077359285</v>
      </c>
      <c r="T360" s="526">
        <f t="shared" si="98"/>
        <v>45982</v>
      </c>
    </row>
    <row r="361" spans="2:20" ht="19.25" customHeight="1" outlineLevel="1">
      <c r="B361" s="520">
        <f t="shared" si="96"/>
        <v>45983</v>
      </c>
      <c r="C361" s="233">
        <f t="shared" si="93"/>
        <v>45983</v>
      </c>
      <c r="D361" s="234">
        <f>目標_2025R7!D346</f>
        <v>1</v>
      </c>
      <c r="E361" s="525">
        <f>IF(D361=1,'適正原価率表(仕入れお小遣い制度)'!$J$24,0)</f>
        <v>49975.294247824757</v>
      </c>
      <c r="F361" s="525">
        <f>IF(D361=1,SUM($E$340:E361),0)</f>
        <v>899555.29646084527</v>
      </c>
      <c r="G361" s="535">
        <v>0</v>
      </c>
      <c r="H361" s="525">
        <f>IF(D361=1,SUM($G$340:G361),0)</f>
        <v>717683</v>
      </c>
      <c r="I361" s="235">
        <f t="shared" si="97"/>
        <v>181872.29646084527</v>
      </c>
      <c r="J361" s="227"/>
      <c r="K361" s="520">
        <f t="shared" si="94"/>
        <v>45983</v>
      </c>
      <c r="L361" s="521">
        <f t="shared" si="95"/>
        <v>45983</v>
      </c>
      <c r="M361" s="524">
        <f t="shared" si="91"/>
        <v>1</v>
      </c>
      <c r="N361" s="525">
        <f>IF(M361=1,'適正原価率表(仕入れお小遣い制度)'!$J$25,0)</f>
        <v>10893.663483906301</v>
      </c>
      <c r="O361" s="525">
        <f>IF(M361=1,SUM($N$340:N361),0)</f>
        <v>196085.94271031345</v>
      </c>
      <c r="P361" s="535">
        <v>0</v>
      </c>
      <c r="Q361" s="525">
        <f>IF(M361=1,SUM($P$340:P361),0)</f>
        <v>326793</v>
      </c>
      <c r="R361" s="235">
        <f t="shared" si="92"/>
        <v>-130707.05728968655</v>
      </c>
      <c r="T361" s="526">
        <f t="shared" si="98"/>
        <v>45983</v>
      </c>
    </row>
    <row r="362" spans="2:20" ht="19.25" customHeight="1" outlineLevel="1">
      <c r="B362" s="520">
        <f t="shared" si="96"/>
        <v>45984</v>
      </c>
      <c r="C362" s="233">
        <f>B362</f>
        <v>45984</v>
      </c>
      <c r="D362" s="234">
        <f>目標_2025R7!D347</f>
        <v>0</v>
      </c>
      <c r="E362" s="525">
        <f>IF(D362=1,'適正原価率表(仕入れお小遣い制度)'!$J$24,0)</f>
        <v>0</v>
      </c>
      <c r="F362" s="525">
        <f>IF(D362=1,SUM($E$340:E362),0)</f>
        <v>0</v>
      </c>
      <c r="G362" s="535">
        <v>6121</v>
      </c>
      <c r="H362" s="525">
        <f>IF(D362=1,SUM($G$340:G362),0)</f>
        <v>0</v>
      </c>
      <c r="I362" s="235">
        <f t="shared" si="97"/>
        <v>0</v>
      </c>
      <c r="J362" s="227"/>
      <c r="K362" s="520">
        <f>B362</f>
        <v>45984</v>
      </c>
      <c r="L362" s="521">
        <f>C362</f>
        <v>45984</v>
      </c>
      <c r="M362" s="524">
        <f t="shared" si="91"/>
        <v>0</v>
      </c>
      <c r="N362" s="525">
        <f>IF(M362=1,'適正原価率表(仕入れお小遣い制度)'!$J$25,0)</f>
        <v>0</v>
      </c>
      <c r="O362" s="525">
        <f>IF(M362=1,SUM($N$340:N362),0)</f>
        <v>0</v>
      </c>
      <c r="P362" s="535">
        <v>13894</v>
      </c>
      <c r="Q362" s="525">
        <f>IF(M362=1,SUM($P$340:P362),0)</f>
        <v>0</v>
      </c>
      <c r="R362" s="235">
        <f t="shared" si="92"/>
        <v>0</v>
      </c>
      <c r="T362" s="526">
        <f t="shared" si="98"/>
        <v>45984</v>
      </c>
    </row>
    <row r="363" spans="2:20" ht="19.25" customHeight="1" outlineLevel="1">
      <c r="B363" s="520">
        <f t="shared" si="96"/>
        <v>45985</v>
      </c>
      <c r="C363" s="233">
        <f t="shared" si="93"/>
        <v>45985</v>
      </c>
      <c r="D363" s="234">
        <f>目標_2025R7!D348</f>
        <v>0</v>
      </c>
      <c r="E363" s="525">
        <f>IF(D363=1,'適正原価率表(仕入れお小遣い制度)'!$J$24,0)</f>
        <v>0</v>
      </c>
      <c r="F363" s="525">
        <f>IF(D363=1,SUM($E$340:E363),0)</f>
        <v>0</v>
      </c>
      <c r="G363" s="535">
        <v>8409</v>
      </c>
      <c r="H363" s="525">
        <f>IF(D363=1,SUM($G$340:G363),0)</f>
        <v>0</v>
      </c>
      <c r="I363" s="235">
        <f t="shared" si="97"/>
        <v>0</v>
      </c>
      <c r="J363" s="227"/>
      <c r="K363" s="520">
        <f t="shared" ref="K363:K369" si="99">B363</f>
        <v>45985</v>
      </c>
      <c r="L363" s="521">
        <f t="shared" ref="L363:L369" si="100">C363</f>
        <v>45985</v>
      </c>
      <c r="M363" s="524">
        <f t="shared" si="91"/>
        <v>0</v>
      </c>
      <c r="N363" s="525">
        <f>IF(M363=1,'適正原価率表(仕入れお小遣い制度)'!$J$25,0)</f>
        <v>0</v>
      </c>
      <c r="O363" s="525">
        <f>IF(M363=1,SUM($N$340:N363),0)</f>
        <v>0</v>
      </c>
      <c r="P363" s="535">
        <v>5123</v>
      </c>
      <c r="Q363" s="525">
        <f>IF(M363=1,SUM($P$340:P363),0)</f>
        <v>0</v>
      </c>
      <c r="R363" s="235">
        <f t="shared" si="92"/>
        <v>0</v>
      </c>
      <c r="T363" s="526">
        <f t="shared" si="98"/>
        <v>45985</v>
      </c>
    </row>
    <row r="364" spans="2:20" ht="19.25" customHeight="1" outlineLevel="1">
      <c r="B364" s="520">
        <f t="shared" si="96"/>
        <v>45986</v>
      </c>
      <c r="C364" s="233">
        <f t="shared" si="93"/>
        <v>45986</v>
      </c>
      <c r="D364" s="234">
        <f>目標_2025R7!D349</f>
        <v>1</v>
      </c>
      <c r="E364" s="525">
        <f>IF(D364=1,'適正原価率表(仕入れお小遣い制度)'!$J$24,0)</f>
        <v>49975.294247824757</v>
      </c>
      <c r="F364" s="525">
        <f>IF(D364=1,SUM($E$340:E364),0)</f>
        <v>949530.59070866997</v>
      </c>
      <c r="G364" s="535">
        <v>13358</v>
      </c>
      <c r="H364" s="525">
        <f>IF(D364=1,SUM($G$340:G364),0)</f>
        <v>745571</v>
      </c>
      <c r="I364" s="235">
        <f t="shared" si="97"/>
        <v>203959.59070866997</v>
      </c>
      <c r="J364" s="227"/>
      <c r="K364" s="520">
        <f t="shared" si="99"/>
        <v>45986</v>
      </c>
      <c r="L364" s="521">
        <f t="shared" si="100"/>
        <v>45986</v>
      </c>
      <c r="M364" s="524">
        <f t="shared" si="91"/>
        <v>1</v>
      </c>
      <c r="N364" s="525">
        <f>IF(M364=1,'適正原価率表(仕入れお小遣い制度)'!$J$25,0)</f>
        <v>10893.663483906301</v>
      </c>
      <c r="O364" s="525">
        <f>IF(M364=1,SUM($N$340:N364),0)</f>
        <v>206979.60619421976</v>
      </c>
      <c r="P364" s="535">
        <v>7806</v>
      </c>
      <c r="Q364" s="525">
        <f>IF(M364=1,SUM($P$340:P364),0)</f>
        <v>353616</v>
      </c>
      <c r="R364" s="235">
        <f t="shared" si="92"/>
        <v>-146636.39380578024</v>
      </c>
      <c r="T364" s="526">
        <f t="shared" si="98"/>
        <v>45986</v>
      </c>
    </row>
    <row r="365" spans="2:20" ht="19.25" customHeight="1" outlineLevel="1">
      <c r="B365" s="520">
        <f t="shared" si="96"/>
        <v>45987</v>
      </c>
      <c r="C365" s="233">
        <f t="shared" si="93"/>
        <v>45987</v>
      </c>
      <c r="D365" s="234">
        <f>目標_2025R7!D350</f>
        <v>1</v>
      </c>
      <c r="E365" s="525">
        <f>IF(D365=1,'適正原価率表(仕入れお小遣い制度)'!$J$24,0)</f>
        <v>49975.294247824757</v>
      </c>
      <c r="F365" s="525">
        <f>IF(D365=1,SUM($E$340:E365),0)</f>
        <v>999505.88495649467</v>
      </c>
      <c r="G365" s="535">
        <v>22112</v>
      </c>
      <c r="H365" s="525">
        <f>IF(D365=1,SUM($G$340:G365),0)</f>
        <v>767683</v>
      </c>
      <c r="I365" s="235">
        <f t="shared" si="97"/>
        <v>231822.88495649467</v>
      </c>
      <c r="J365" s="227"/>
      <c r="K365" s="520">
        <f t="shared" si="99"/>
        <v>45987</v>
      </c>
      <c r="L365" s="521">
        <f t="shared" si="100"/>
        <v>45987</v>
      </c>
      <c r="M365" s="524">
        <f t="shared" si="91"/>
        <v>1</v>
      </c>
      <c r="N365" s="525">
        <f>IF(M365=1,'適正原価率表(仕入れお小遣い制度)'!$J$25,0)</f>
        <v>10893.663483906301</v>
      </c>
      <c r="O365" s="525">
        <f>IF(M365=1,SUM($N$340:N365),0)</f>
        <v>217873.26967812606</v>
      </c>
      <c r="P365" s="535">
        <v>31250</v>
      </c>
      <c r="Q365" s="525">
        <f>IF(M365=1,SUM($P$340:P365),0)</f>
        <v>384866</v>
      </c>
      <c r="R365" s="235">
        <f t="shared" si="92"/>
        <v>-166992.73032187394</v>
      </c>
      <c r="T365" s="526">
        <f t="shared" si="98"/>
        <v>45987</v>
      </c>
    </row>
    <row r="366" spans="2:20" ht="19.25" customHeight="1" outlineLevel="1">
      <c r="B366" s="520">
        <f t="shared" si="96"/>
        <v>45988</v>
      </c>
      <c r="C366" s="233">
        <f t="shared" si="93"/>
        <v>45988</v>
      </c>
      <c r="D366" s="234">
        <f>目標_2025R7!D351</f>
        <v>1</v>
      </c>
      <c r="E366" s="525">
        <f>IF(D366=1,'適正原価率表(仕入れお小遣い制度)'!$J$24,0)</f>
        <v>49975.294247824757</v>
      </c>
      <c r="F366" s="525">
        <f>IF(D366=1,SUM($E$340:E366),0)</f>
        <v>1049481.1792043194</v>
      </c>
      <c r="G366" s="535">
        <v>0</v>
      </c>
      <c r="H366" s="525">
        <f>IF(D366=1,SUM($G$340:G366),0)</f>
        <v>767683</v>
      </c>
      <c r="I366" s="235">
        <f t="shared" si="97"/>
        <v>281798.17920431937</v>
      </c>
      <c r="J366" s="227"/>
      <c r="K366" s="520">
        <f t="shared" si="99"/>
        <v>45988</v>
      </c>
      <c r="L366" s="521">
        <f t="shared" si="100"/>
        <v>45988</v>
      </c>
      <c r="M366" s="524">
        <f t="shared" si="91"/>
        <v>1</v>
      </c>
      <c r="N366" s="525">
        <f>IF(M366=1,'適正原価率表(仕入れお小遣い制度)'!$J$25,0)</f>
        <v>10893.663483906301</v>
      </c>
      <c r="O366" s="525">
        <f>IF(M366=1,SUM($N$340:N366),0)</f>
        <v>228766.93316203236</v>
      </c>
      <c r="P366" s="535">
        <v>0</v>
      </c>
      <c r="Q366" s="525">
        <f>IF(M366=1,SUM($P$340:P366),0)</f>
        <v>384866</v>
      </c>
      <c r="R366" s="235">
        <f t="shared" si="92"/>
        <v>-156099.06683796764</v>
      </c>
      <c r="T366" s="526">
        <f t="shared" si="98"/>
        <v>45988</v>
      </c>
    </row>
    <row r="367" spans="2:20" ht="19.25" customHeight="1" outlineLevel="1">
      <c r="B367" s="520">
        <f t="shared" si="96"/>
        <v>45989</v>
      </c>
      <c r="C367" s="233">
        <f t="shared" si="93"/>
        <v>45989</v>
      </c>
      <c r="D367" s="234">
        <f>目標_2025R7!D352</f>
        <v>1</v>
      </c>
      <c r="E367" s="525">
        <f>IF(D367=1,'適正原価率表(仕入れお小遣い制度)'!$J$24,0)</f>
        <v>49975.294247824757</v>
      </c>
      <c r="F367" s="525">
        <f>IF(D367=1,SUM($E$340:E367),0)</f>
        <v>1099456.4734521441</v>
      </c>
      <c r="G367" s="535">
        <v>0</v>
      </c>
      <c r="H367" s="525">
        <f>IF(D367=1,SUM($G$340:G367),0)</f>
        <v>767683</v>
      </c>
      <c r="I367" s="235">
        <f t="shared" si="97"/>
        <v>331773.47345214407</v>
      </c>
      <c r="J367" s="227"/>
      <c r="K367" s="520">
        <f t="shared" si="99"/>
        <v>45989</v>
      </c>
      <c r="L367" s="521">
        <f t="shared" si="100"/>
        <v>45989</v>
      </c>
      <c r="M367" s="524">
        <f t="shared" si="91"/>
        <v>1</v>
      </c>
      <c r="N367" s="525">
        <f>IF(M367=1,'適正原価率表(仕入れお小遣い制度)'!$J$25,0)</f>
        <v>10893.663483906301</v>
      </c>
      <c r="O367" s="525">
        <f>IF(M367=1,SUM($N$340:N367),0)</f>
        <v>239660.59664593867</v>
      </c>
      <c r="P367" s="535">
        <v>0</v>
      </c>
      <c r="Q367" s="525">
        <f>IF(M367=1,SUM($P$340:P367),0)</f>
        <v>384866</v>
      </c>
      <c r="R367" s="235">
        <f t="shared" si="92"/>
        <v>-145205.40335406133</v>
      </c>
      <c r="T367" s="526">
        <f t="shared" si="98"/>
        <v>45989</v>
      </c>
    </row>
    <row r="368" spans="2:20" ht="19.25" customHeight="1" outlineLevel="1">
      <c r="B368" s="520">
        <f t="shared" si="96"/>
        <v>45990</v>
      </c>
      <c r="C368" s="233">
        <f t="shared" si="93"/>
        <v>45990</v>
      </c>
      <c r="D368" s="234">
        <f>目標_2025R7!D353</f>
        <v>1</v>
      </c>
      <c r="E368" s="525">
        <f>IF(D368=1,'適正原価率表(仕入れお小遣い制度)'!$J$24,0)</f>
        <v>49975.294247824757</v>
      </c>
      <c r="F368" s="525">
        <f>IF(D368=1,SUM($E$340:E368),0)</f>
        <v>1149431.7676999688</v>
      </c>
      <c r="G368" s="535">
        <v>0</v>
      </c>
      <c r="H368" s="525">
        <f>IF(D368=1,SUM($G$340:G368),0)</f>
        <v>767683</v>
      </c>
      <c r="I368" s="235">
        <f t="shared" si="97"/>
        <v>381748.76769996877</v>
      </c>
      <c r="J368" s="227"/>
      <c r="K368" s="520">
        <f t="shared" si="99"/>
        <v>45990</v>
      </c>
      <c r="L368" s="521">
        <f t="shared" si="100"/>
        <v>45990</v>
      </c>
      <c r="M368" s="524">
        <f t="shared" si="91"/>
        <v>1</v>
      </c>
      <c r="N368" s="525">
        <f>IF(M368=1,'適正原価率表(仕入れお小遣い制度)'!$J$25,0)</f>
        <v>10893.663483906301</v>
      </c>
      <c r="O368" s="525">
        <f>IF(M368=1,SUM($N$340:N368),0)</f>
        <v>250554.26012984497</v>
      </c>
      <c r="P368" s="535">
        <v>0</v>
      </c>
      <c r="Q368" s="525">
        <f>IF(M368=1,SUM($P$340:P368),0)</f>
        <v>384866</v>
      </c>
      <c r="R368" s="235">
        <f t="shared" si="92"/>
        <v>-134311.73987015503</v>
      </c>
      <c r="T368" s="526">
        <f t="shared" si="98"/>
        <v>45990</v>
      </c>
    </row>
    <row r="369" spans="2:20" ht="19.25" customHeight="1" outlineLevel="1">
      <c r="B369" s="520">
        <f t="shared" si="96"/>
        <v>45991</v>
      </c>
      <c r="C369" s="233">
        <f t="shared" si="93"/>
        <v>45991</v>
      </c>
      <c r="D369" s="234">
        <f>目標_2025R7!D354</f>
        <v>0</v>
      </c>
      <c r="E369" s="525">
        <f>IF(D369=1,'適正原価率表(仕入れお小遣い制度)'!$J$24,0)</f>
        <v>0</v>
      </c>
      <c r="F369" s="525">
        <f>IF(D369=1,SUM($E$340:E369),0)</f>
        <v>0</v>
      </c>
      <c r="G369" s="535"/>
      <c r="H369" s="525">
        <f>IF(D369=1,SUM($G$340:G369),0)</f>
        <v>0</v>
      </c>
      <c r="I369" s="235">
        <f t="shared" si="97"/>
        <v>0</v>
      </c>
      <c r="J369" s="227"/>
      <c r="K369" s="520">
        <f t="shared" si="99"/>
        <v>45991</v>
      </c>
      <c r="L369" s="521">
        <f t="shared" si="100"/>
        <v>45991</v>
      </c>
      <c r="M369" s="524">
        <f t="shared" si="91"/>
        <v>0</v>
      </c>
      <c r="N369" s="525">
        <f>IF(M369=1,'適正原価率表(仕入れお小遣い制度)'!$J$25,0)</f>
        <v>0</v>
      </c>
      <c r="O369" s="525">
        <f>IF(M369=1,SUM($N$340:N369),0)</f>
        <v>0</v>
      </c>
      <c r="P369" s="535"/>
      <c r="Q369" s="525">
        <f>IF(M369=1,SUM($P$340:P369),0)</f>
        <v>0</v>
      </c>
      <c r="R369" s="235">
        <f t="shared" si="92"/>
        <v>0</v>
      </c>
      <c r="T369" s="526">
        <f t="shared" si="98"/>
        <v>45991</v>
      </c>
    </row>
    <row r="370" spans="2:20" ht="19.25" customHeight="1" outlineLevel="1">
      <c r="B370" s="860" t="s">
        <v>211</v>
      </c>
      <c r="C370" s="861"/>
      <c r="D370" s="862"/>
      <c r="E370" s="528">
        <f>SUM(E340:E369)</f>
        <v>1149431.7676999688</v>
      </c>
      <c r="F370" s="514"/>
      <c r="G370" s="515"/>
      <c r="H370" s="515"/>
      <c r="I370" s="515"/>
      <c r="J370" s="227"/>
      <c r="K370" s="860" t="s">
        <v>211</v>
      </c>
      <c r="L370" s="861"/>
      <c r="M370" s="862"/>
      <c r="N370" s="528">
        <f>SUM(N340:N369)</f>
        <v>250554.26012984497</v>
      </c>
      <c r="O370" s="514"/>
      <c r="P370" s="515"/>
      <c r="Q370" s="515"/>
      <c r="R370" s="515"/>
    </row>
    <row r="371" spans="2:20">
      <c r="G371" s="219">
        <v>17538</v>
      </c>
      <c r="P371" s="219">
        <v>0</v>
      </c>
    </row>
    <row r="372" spans="2:20" s="231" customFormat="1">
      <c r="B372" s="863" t="s">
        <v>257</v>
      </c>
      <c r="C372" s="864"/>
      <c r="D372" s="865"/>
      <c r="E372" s="228" t="s">
        <v>129</v>
      </c>
      <c r="F372" s="229" t="s">
        <v>130</v>
      </c>
      <c r="G372" s="229">
        <v>63973</v>
      </c>
      <c r="H372" s="229" t="s">
        <v>132</v>
      </c>
      <c r="I372" s="229" t="s">
        <v>133</v>
      </c>
      <c r="J372" s="230"/>
      <c r="K372" s="866" t="str">
        <f>B372</f>
        <v>12月</v>
      </c>
      <c r="L372" s="866"/>
      <c r="M372" s="866"/>
      <c r="N372" s="228" t="s">
        <v>134</v>
      </c>
      <c r="O372" s="229" t="s">
        <v>135</v>
      </c>
      <c r="P372" s="229">
        <v>57385</v>
      </c>
      <c r="Q372" s="229" t="s">
        <v>137</v>
      </c>
      <c r="R372" s="229" t="s">
        <v>133</v>
      </c>
    </row>
    <row r="373" spans="2:20" ht="19.25" customHeight="1" outlineLevel="1">
      <c r="B373" s="520">
        <f>B369+1</f>
        <v>45992</v>
      </c>
      <c r="C373" s="233">
        <f>B373</f>
        <v>45992</v>
      </c>
      <c r="D373" s="234">
        <f>目標_2025R7!D355</f>
        <v>1</v>
      </c>
      <c r="E373" s="525">
        <f>IF(D373=1,'適正原価率表(仕入れお小遣い制度)'!$J$26,0)</f>
        <v>55024.636993841152</v>
      </c>
      <c r="F373" s="525">
        <f>IF(D373=1,E373,0)</f>
        <v>55024.636993841152</v>
      </c>
      <c r="G373" s="535">
        <v>70817</v>
      </c>
      <c r="H373" s="525">
        <f>IF(D373=1,G373,0)</f>
        <v>70817</v>
      </c>
      <c r="I373" s="235">
        <f>IF(D373=1,F373-H373,0)</f>
        <v>-15792.363006158848</v>
      </c>
      <c r="J373" s="227"/>
      <c r="K373" s="520">
        <f>B373</f>
        <v>45992</v>
      </c>
      <c r="L373" s="521">
        <f>C373</f>
        <v>45992</v>
      </c>
      <c r="M373" s="524">
        <f t="shared" ref="M373:M403" si="101">D373</f>
        <v>1</v>
      </c>
      <c r="N373" s="525">
        <f>IF(M373=1,'適正原価率表(仕入れお小遣い制度)'!$J$27,0)</f>
        <v>11948.487618140987</v>
      </c>
      <c r="O373" s="525">
        <f>IF(M373=1,N373,0)</f>
        <v>11948.487618140987</v>
      </c>
      <c r="P373" s="535">
        <v>8025</v>
      </c>
      <c r="Q373" s="525">
        <f>IF(M373=1,P373,0)</f>
        <v>8025</v>
      </c>
      <c r="R373" s="235">
        <f t="shared" ref="R373:R403" si="102">IF(D373=1,O373-Q373,0)</f>
        <v>3923.4876181409873</v>
      </c>
      <c r="T373" s="526">
        <f>T369+1</f>
        <v>45992</v>
      </c>
    </row>
    <row r="374" spans="2:20" ht="19.25" customHeight="1" outlineLevel="1">
      <c r="B374" s="520">
        <f>B373+1</f>
        <v>45993</v>
      </c>
      <c r="C374" s="233">
        <f t="shared" ref="C374:C403" si="103">B374</f>
        <v>45993</v>
      </c>
      <c r="D374" s="234">
        <f>目標_2025R7!D356</f>
        <v>1</v>
      </c>
      <c r="E374" s="525">
        <f>IF(D374=1,'適正原価率表(仕入れお小遣い制度)'!$J$26,0)</f>
        <v>55024.636993841152</v>
      </c>
      <c r="F374" s="525">
        <f>IF(D374=1,SUM($E$373:E374),0)</f>
        <v>110049.2739876823</v>
      </c>
      <c r="G374" s="535">
        <v>88551</v>
      </c>
      <c r="H374" s="525">
        <f>IF(D374=1,SUM($G$373:G374),0)</f>
        <v>159368</v>
      </c>
      <c r="I374" s="235">
        <f>IF(D374=1,F374-H374,0)</f>
        <v>-49318.726012317697</v>
      </c>
      <c r="J374" s="227"/>
      <c r="K374" s="520">
        <f t="shared" ref="K374:K397" si="104">B374</f>
        <v>45993</v>
      </c>
      <c r="L374" s="521">
        <f t="shared" ref="L374:L397" si="105">C374</f>
        <v>45993</v>
      </c>
      <c r="M374" s="524">
        <f t="shared" si="101"/>
        <v>1</v>
      </c>
      <c r="N374" s="525">
        <f>IF(M374=1,'適正原価率表(仕入れお小遣い制度)'!$J$27,0)</f>
        <v>11948.487618140987</v>
      </c>
      <c r="O374" s="525">
        <f>IF(M374=1,SUM($N$373:N374),0)</f>
        <v>23896.975236281975</v>
      </c>
      <c r="P374" s="535">
        <v>30538</v>
      </c>
      <c r="Q374" s="525">
        <f>IF(M374=1,SUM($P$373:P374),0)</f>
        <v>38563</v>
      </c>
      <c r="R374" s="235">
        <f t="shared" si="102"/>
        <v>-14666.024763718025</v>
      </c>
      <c r="T374" s="526">
        <f>T373+1</f>
        <v>45993</v>
      </c>
    </row>
    <row r="375" spans="2:20" ht="19.25" customHeight="1" outlineLevel="1">
      <c r="B375" s="520">
        <f t="shared" ref="B375:B403" si="106">B374+1</f>
        <v>45994</v>
      </c>
      <c r="C375" s="233">
        <f t="shared" si="103"/>
        <v>45994</v>
      </c>
      <c r="D375" s="234">
        <f>目標_2025R7!D357</f>
        <v>1</v>
      </c>
      <c r="E375" s="525">
        <f>IF(D375=1,'適正原価率表(仕入れお小遣い制度)'!$J$26,0)</f>
        <v>55024.636993841152</v>
      </c>
      <c r="F375" s="525">
        <f>IF(D375=1,SUM($E$373:E375),0)</f>
        <v>165073.91098152346</v>
      </c>
      <c r="G375" s="535">
        <v>68167</v>
      </c>
      <c r="H375" s="525">
        <f>IF(D375=1,SUM($G$373:G375),0)</f>
        <v>227535</v>
      </c>
      <c r="I375" s="235">
        <f t="shared" ref="I375:I403" si="107">IF(D375=1,F375-H375,0)</f>
        <v>-62461.089018476545</v>
      </c>
      <c r="J375" s="227"/>
      <c r="K375" s="520">
        <f t="shared" si="104"/>
        <v>45994</v>
      </c>
      <c r="L375" s="521">
        <f t="shared" si="105"/>
        <v>45994</v>
      </c>
      <c r="M375" s="524">
        <f t="shared" si="101"/>
        <v>1</v>
      </c>
      <c r="N375" s="525">
        <f>IF(M375=1,'適正原価率表(仕入れお小遣い制度)'!$J$27,0)</f>
        <v>11948.487618140987</v>
      </c>
      <c r="O375" s="525">
        <f>IF(M375=1,SUM($N$373:N375),0)</f>
        <v>35845.462854422964</v>
      </c>
      <c r="P375" s="535">
        <v>47918</v>
      </c>
      <c r="Q375" s="525">
        <f>IF(M375=1,SUM($P$373:P375),0)</f>
        <v>86481</v>
      </c>
      <c r="R375" s="235">
        <f t="shared" si="102"/>
        <v>-50635.537145577036</v>
      </c>
      <c r="T375" s="526">
        <f t="shared" ref="T375:T403" si="108">T374+1</f>
        <v>45994</v>
      </c>
    </row>
    <row r="376" spans="2:20" ht="19.25" customHeight="1" outlineLevel="1">
      <c r="B376" s="520">
        <f t="shared" si="106"/>
        <v>45995</v>
      </c>
      <c r="C376" s="233">
        <f t="shared" si="103"/>
        <v>45995</v>
      </c>
      <c r="D376" s="234">
        <f>目標_2025R7!D358</f>
        <v>1</v>
      </c>
      <c r="E376" s="525">
        <f>IF(D376=1,'適正原価率表(仕入れお小遣い制度)'!$J$26,0)</f>
        <v>55024.636993841152</v>
      </c>
      <c r="F376" s="525">
        <f>IF(D376=1,SUM($E$373:E376),0)</f>
        <v>220098.54797536461</v>
      </c>
      <c r="G376" s="535">
        <v>34873</v>
      </c>
      <c r="H376" s="525">
        <f>IF(D376=1,SUM($G$373:G376),0)</f>
        <v>262408</v>
      </c>
      <c r="I376" s="235">
        <f t="shared" si="107"/>
        <v>-42309.452024635393</v>
      </c>
      <c r="J376" s="227"/>
      <c r="K376" s="520">
        <f t="shared" si="104"/>
        <v>45995</v>
      </c>
      <c r="L376" s="521">
        <f t="shared" si="105"/>
        <v>45995</v>
      </c>
      <c r="M376" s="524">
        <f t="shared" si="101"/>
        <v>1</v>
      </c>
      <c r="N376" s="525">
        <f>IF(M376=1,'適正原価率表(仕入れお小遣い制度)'!$J$27,0)</f>
        <v>11948.487618140987</v>
      </c>
      <c r="O376" s="525">
        <f>IF(M376=1,SUM($N$373:N376),0)</f>
        <v>47793.950472563949</v>
      </c>
      <c r="P376" s="535">
        <v>1839</v>
      </c>
      <c r="Q376" s="525">
        <f>IF(M376=1,SUM($P$373:P376),0)</f>
        <v>88320</v>
      </c>
      <c r="R376" s="235">
        <f t="shared" si="102"/>
        <v>-40526.049527436051</v>
      </c>
      <c r="T376" s="526">
        <f t="shared" si="108"/>
        <v>45995</v>
      </c>
    </row>
    <row r="377" spans="2:20" ht="19.25" customHeight="1" outlineLevel="1">
      <c r="B377" s="520">
        <f t="shared" si="106"/>
        <v>45996</v>
      </c>
      <c r="C377" s="233">
        <f t="shared" si="103"/>
        <v>45996</v>
      </c>
      <c r="D377" s="234">
        <f>目標_2025R7!D359</f>
        <v>1</v>
      </c>
      <c r="E377" s="525">
        <f>IF(D377=1,'適正原価率表(仕入れお小遣い制度)'!$J$26,0)</f>
        <v>55024.636993841152</v>
      </c>
      <c r="F377" s="525">
        <f>IF(D377=1,SUM($E$373:E377),0)</f>
        <v>275123.18496920576</v>
      </c>
      <c r="G377" s="535">
        <v>6619</v>
      </c>
      <c r="H377" s="525">
        <f>IF(D377=1,SUM($G$373:G377),0)</f>
        <v>269027</v>
      </c>
      <c r="I377" s="235">
        <f t="shared" si="107"/>
        <v>6096.1849692057585</v>
      </c>
      <c r="J377" s="227"/>
      <c r="K377" s="520">
        <f t="shared" si="104"/>
        <v>45996</v>
      </c>
      <c r="L377" s="521">
        <f t="shared" si="105"/>
        <v>45996</v>
      </c>
      <c r="M377" s="524">
        <f t="shared" si="101"/>
        <v>1</v>
      </c>
      <c r="N377" s="525">
        <f>IF(M377=1,'適正原価率表(仕入れお小遣い制度)'!$J$27,0)</f>
        <v>11948.487618140987</v>
      </c>
      <c r="O377" s="525">
        <f>IF(M377=1,SUM($N$373:N377),0)</f>
        <v>59742.438090704934</v>
      </c>
      <c r="P377" s="535">
        <v>0</v>
      </c>
      <c r="Q377" s="525">
        <f>IF(M377=1,SUM($P$373:P377),0)</f>
        <v>88320</v>
      </c>
      <c r="R377" s="235">
        <f t="shared" si="102"/>
        <v>-28577.561909295066</v>
      </c>
      <c r="T377" s="526">
        <f t="shared" si="108"/>
        <v>45996</v>
      </c>
    </row>
    <row r="378" spans="2:20" ht="19.25" customHeight="1" outlineLevel="1">
      <c r="B378" s="520">
        <f t="shared" si="106"/>
        <v>45997</v>
      </c>
      <c r="C378" s="233">
        <f t="shared" si="103"/>
        <v>45997</v>
      </c>
      <c r="D378" s="234">
        <f>目標_2025R7!D360</f>
        <v>1</v>
      </c>
      <c r="E378" s="525">
        <f>IF(D378=1,'適正原価率表(仕入れお小遣い制度)'!$J$26,0)</f>
        <v>55024.636993841152</v>
      </c>
      <c r="F378" s="525">
        <f>IF(D378=1,SUM($E$373:E378),0)</f>
        <v>330147.82196304691</v>
      </c>
      <c r="G378" s="535">
        <v>64359</v>
      </c>
      <c r="H378" s="525">
        <f>IF(D378=1,SUM($G$373:G378),0)</f>
        <v>333386</v>
      </c>
      <c r="I378" s="235">
        <f t="shared" si="107"/>
        <v>-3238.1780369530898</v>
      </c>
      <c r="J378" s="227"/>
      <c r="K378" s="520">
        <f t="shared" si="104"/>
        <v>45997</v>
      </c>
      <c r="L378" s="521">
        <f t="shared" si="105"/>
        <v>45997</v>
      </c>
      <c r="M378" s="524">
        <f t="shared" si="101"/>
        <v>1</v>
      </c>
      <c r="N378" s="525">
        <f>IF(M378=1,'適正原価率表(仕入れお小遣い制度)'!$J$27,0)</f>
        <v>11948.487618140987</v>
      </c>
      <c r="O378" s="525">
        <f>IF(M378=1,SUM($N$373:N378),0)</f>
        <v>71690.925708845927</v>
      </c>
      <c r="P378" s="535">
        <v>3030</v>
      </c>
      <c r="Q378" s="525">
        <f>IF(M378=1,SUM($P$373:P378),0)</f>
        <v>91350</v>
      </c>
      <c r="R378" s="235">
        <f t="shared" si="102"/>
        <v>-19659.074291154073</v>
      </c>
      <c r="T378" s="526">
        <f t="shared" si="108"/>
        <v>45997</v>
      </c>
    </row>
    <row r="379" spans="2:20" ht="19.25" customHeight="1" outlineLevel="1">
      <c r="B379" s="520">
        <f t="shared" si="106"/>
        <v>45998</v>
      </c>
      <c r="C379" s="233">
        <f t="shared" si="103"/>
        <v>45998</v>
      </c>
      <c r="D379" s="234">
        <f>目標_2025R7!D361</f>
        <v>0</v>
      </c>
      <c r="E379" s="525">
        <f>IF(D379=1,'適正原価率表(仕入れお小遣い制度)'!$J$26,0)</f>
        <v>0</v>
      </c>
      <c r="F379" s="525">
        <f>IF(D379=1,SUM($E$373:E379),0)</f>
        <v>0</v>
      </c>
      <c r="G379" s="535">
        <v>53108</v>
      </c>
      <c r="H379" s="525">
        <f>IF(D379=1,SUM($G$373:G379),0)</f>
        <v>0</v>
      </c>
      <c r="I379" s="235">
        <f t="shared" si="107"/>
        <v>0</v>
      </c>
      <c r="J379" s="227"/>
      <c r="K379" s="520">
        <f t="shared" si="104"/>
        <v>45998</v>
      </c>
      <c r="L379" s="521">
        <f t="shared" si="105"/>
        <v>45998</v>
      </c>
      <c r="M379" s="524">
        <f t="shared" si="101"/>
        <v>0</v>
      </c>
      <c r="N379" s="525">
        <f>IF(M379=1,'適正原価率表(仕入れお小遣い制度)'!$J$27,0)</f>
        <v>0</v>
      </c>
      <c r="O379" s="525">
        <f>IF(M379=1,SUM($N$373:N379),0)</f>
        <v>0</v>
      </c>
      <c r="P379" s="535">
        <v>18779</v>
      </c>
      <c r="Q379" s="525">
        <f>IF(M379=1,SUM($P$373:P379),0)</f>
        <v>0</v>
      </c>
      <c r="R379" s="235">
        <f t="shared" si="102"/>
        <v>0</v>
      </c>
      <c r="T379" s="526">
        <f t="shared" si="108"/>
        <v>45998</v>
      </c>
    </row>
    <row r="380" spans="2:20" ht="19.25" customHeight="1" outlineLevel="1">
      <c r="B380" s="520">
        <f t="shared" si="106"/>
        <v>45999</v>
      </c>
      <c r="C380" s="233">
        <f t="shared" si="103"/>
        <v>45999</v>
      </c>
      <c r="D380" s="234">
        <f>目標_2025R7!D362</f>
        <v>1</v>
      </c>
      <c r="E380" s="525">
        <f>IF(D380=1,'適正原価率表(仕入れお小遣い制度)'!$J$26,0)</f>
        <v>55024.636993841152</v>
      </c>
      <c r="F380" s="525">
        <f>IF(D380=1,SUM($E$373:E380),0)</f>
        <v>385172.45895688806</v>
      </c>
      <c r="G380" s="535">
        <v>38269</v>
      </c>
      <c r="H380" s="525">
        <f>IF(D380=1,SUM($G$373:G380),0)</f>
        <v>424763</v>
      </c>
      <c r="I380" s="235">
        <f t="shared" si="107"/>
        <v>-39590.541043111938</v>
      </c>
      <c r="J380" s="227"/>
      <c r="K380" s="520">
        <f t="shared" si="104"/>
        <v>45999</v>
      </c>
      <c r="L380" s="521">
        <f t="shared" si="105"/>
        <v>45999</v>
      </c>
      <c r="M380" s="524">
        <f t="shared" si="101"/>
        <v>1</v>
      </c>
      <c r="N380" s="525">
        <f>IF(M380=1,'適正原価率表(仕入れお小遣い制度)'!$J$27,0)</f>
        <v>11948.487618140987</v>
      </c>
      <c r="O380" s="525">
        <f>IF(M380=1,SUM($N$373:N380),0)</f>
        <v>83639.41332698692</v>
      </c>
      <c r="P380" s="535">
        <v>7940</v>
      </c>
      <c r="Q380" s="525">
        <f>IF(M380=1,SUM($P$373:P380),0)</f>
        <v>118069</v>
      </c>
      <c r="R380" s="235">
        <f t="shared" si="102"/>
        <v>-34429.58667301308</v>
      </c>
      <c r="T380" s="526">
        <f t="shared" si="108"/>
        <v>45999</v>
      </c>
    </row>
    <row r="381" spans="2:20" ht="19.25" customHeight="1" outlineLevel="1">
      <c r="B381" s="520">
        <f t="shared" si="106"/>
        <v>46000</v>
      </c>
      <c r="C381" s="233">
        <f t="shared" si="103"/>
        <v>46000</v>
      </c>
      <c r="D381" s="234">
        <f>目標_2025R7!D363</f>
        <v>1</v>
      </c>
      <c r="E381" s="525">
        <f>IF(D381=1,'適正原価率表(仕入れお小遣い制度)'!$J$26,0)</f>
        <v>55024.636993841152</v>
      </c>
      <c r="F381" s="525">
        <f>IF(D381=1,SUM($E$373:E381),0)</f>
        <v>440197.09595072921</v>
      </c>
      <c r="G381" s="535">
        <v>72270</v>
      </c>
      <c r="H381" s="525">
        <f>IF(D381=1,SUM($G$373:G381),0)</f>
        <v>497033</v>
      </c>
      <c r="I381" s="235">
        <f t="shared" si="107"/>
        <v>-56835.904049270786</v>
      </c>
      <c r="J381" s="227"/>
      <c r="K381" s="520">
        <f t="shared" si="104"/>
        <v>46000</v>
      </c>
      <c r="L381" s="521">
        <f t="shared" si="105"/>
        <v>46000</v>
      </c>
      <c r="M381" s="524">
        <f t="shared" si="101"/>
        <v>1</v>
      </c>
      <c r="N381" s="525">
        <f>IF(M381=1,'適正原価率表(仕入れお小遣い制度)'!$J$27,0)</f>
        <v>11948.487618140987</v>
      </c>
      <c r="O381" s="525">
        <f>IF(M381=1,SUM($N$373:N381),0)</f>
        <v>95587.900945127913</v>
      </c>
      <c r="P381" s="535">
        <v>48417</v>
      </c>
      <c r="Q381" s="525">
        <f>IF(M381=1,SUM($P$373:P381),0)</f>
        <v>166486</v>
      </c>
      <c r="R381" s="235">
        <f t="shared" si="102"/>
        <v>-70898.099054872087</v>
      </c>
      <c r="T381" s="526">
        <f t="shared" si="108"/>
        <v>46000</v>
      </c>
    </row>
    <row r="382" spans="2:20" ht="19.25" customHeight="1" outlineLevel="1">
      <c r="B382" s="520">
        <f t="shared" si="106"/>
        <v>46001</v>
      </c>
      <c r="C382" s="233">
        <f t="shared" si="103"/>
        <v>46001</v>
      </c>
      <c r="D382" s="234">
        <f>目標_2025R7!D364</f>
        <v>1</v>
      </c>
      <c r="E382" s="525">
        <f>IF(D382=1,'適正原価率表(仕入れお小遣い制度)'!$J$26,0)</f>
        <v>55024.636993841152</v>
      </c>
      <c r="F382" s="525">
        <f>IF(D382=1,SUM($E$373:E382),0)</f>
        <v>495221.73294457037</v>
      </c>
      <c r="G382" s="535">
        <v>41646</v>
      </c>
      <c r="H382" s="525">
        <f>IF(D382=1,SUM($G$373:G382),0)</f>
        <v>538679</v>
      </c>
      <c r="I382" s="235">
        <f t="shared" si="107"/>
        <v>-43457.267055429635</v>
      </c>
      <c r="J382" s="227"/>
      <c r="K382" s="520">
        <f t="shared" si="104"/>
        <v>46001</v>
      </c>
      <c r="L382" s="521">
        <f t="shared" si="105"/>
        <v>46001</v>
      </c>
      <c r="M382" s="524">
        <f t="shared" si="101"/>
        <v>1</v>
      </c>
      <c r="N382" s="525">
        <f>IF(M382=1,'適正原価率表(仕入れお小遣い制度)'!$J$27,0)</f>
        <v>11948.487618140987</v>
      </c>
      <c r="O382" s="525">
        <f>IF(M382=1,SUM($N$373:N382),0)</f>
        <v>107536.38856326891</v>
      </c>
      <c r="P382" s="535">
        <v>24464</v>
      </c>
      <c r="Q382" s="525">
        <f>IF(M382=1,SUM($P$373:P382),0)</f>
        <v>190950</v>
      </c>
      <c r="R382" s="235">
        <f t="shared" si="102"/>
        <v>-83413.611436731095</v>
      </c>
      <c r="T382" s="526">
        <f t="shared" si="108"/>
        <v>46001</v>
      </c>
    </row>
    <row r="383" spans="2:20" ht="19.25" customHeight="1" outlineLevel="1">
      <c r="B383" s="520">
        <f t="shared" si="106"/>
        <v>46002</v>
      </c>
      <c r="C383" s="233">
        <f t="shared" si="103"/>
        <v>46002</v>
      </c>
      <c r="D383" s="234">
        <f>目標_2025R7!D365</f>
        <v>1</v>
      </c>
      <c r="E383" s="525">
        <f>IF(D383=1,'適正原価率表(仕入れお小遣い制度)'!$J$26,0)</f>
        <v>55024.636993841152</v>
      </c>
      <c r="F383" s="525">
        <f>IF(D383=1,SUM($E$373:E383),0)</f>
        <v>550246.36993841152</v>
      </c>
      <c r="G383" s="535">
        <v>22596</v>
      </c>
      <c r="H383" s="525">
        <f>IF(D383=1,SUM($G$373:G383),0)</f>
        <v>561275</v>
      </c>
      <c r="I383" s="235">
        <f t="shared" si="107"/>
        <v>-11028.630061588483</v>
      </c>
      <c r="J383" s="227"/>
      <c r="K383" s="520">
        <f t="shared" si="104"/>
        <v>46002</v>
      </c>
      <c r="L383" s="521">
        <f t="shared" si="105"/>
        <v>46002</v>
      </c>
      <c r="M383" s="524">
        <f t="shared" si="101"/>
        <v>1</v>
      </c>
      <c r="N383" s="525">
        <f>IF(M383=1,'適正原価率表(仕入れお小遣い制度)'!$J$27,0)</f>
        <v>11948.487618140987</v>
      </c>
      <c r="O383" s="525">
        <f>IF(M383=1,SUM($N$373:N383),0)</f>
        <v>119484.8761814099</v>
      </c>
      <c r="P383" s="535">
        <v>0</v>
      </c>
      <c r="Q383" s="525">
        <f>IF(M383=1,SUM($P$373:P383),0)</f>
        <v>190950</v>
      </c>
      <c r="R383" s="235">
        <f t="shared" si="102"/>
        <v>-71465.123818590102</v>
      </c>
      <c r="T383" s="526">
        <f t="shared" si="108"/>
        <v>46002</v>
      </c>
    </row>
    <row r="384" spans="2:20" ht="19.25" customHeight="1" outlineLevel="1">
      <c r="B384" s="520">
        <f t="shared" si="106"/>
        <v>46003</v>
      </c>
      <c r="C384" s="233">
        <f t="shared" si="103"/>
        <v>46003</v>
      </c>
      <c r="D384" s="234">
        <f>目標_2025R7!D366</f>
        <v>1</v>
      </c>
      <c r="E384" s="525">
        <f>IF(D384=1,'適正原価率表(仕入れお小遣い制度)'!$J$26,0)</f>
        <v>55024.636993841152</v>
      </c>
      <c r="F384" s="525">
        <f>IF(D384=1,SUM($E$373:E384),0)</f>
        <v>605271.00693225267</v>
      </c>
      <c r="G384" s="535">
        <v>4308</v>
      </c>
      <c r="H384" s="525">
        <f>IF(D384=1,SUM($G$373:G384),0)</f>
        <v>565583</v>
      </c>
      <c r="I384" s="235">
        <f t="shared" si="107"/>
        <v>39688.006932252669</v>
      </c>
      <c r="J384" s="227"/>
      <c r="K384" s="520">
        <f t="shared" si="104"/>
        <v>46003</v>
      </c>
      <c r="L384" s="521">
        <f t="shared" si="105"/>
        <v>46003</v>
      </c>
      <c r="M384" s="524">
        <f t="shared" si="101"/>
        <v>1</v>
      </c>
      <c r="N384" s="525">
        <f>IF(M384=1,'適正原価率表(仕入れお小遣い制度)'!$J$27,0)</f>
        <v>11948.487618140987</v>
      </c>
      <c r="O384" s="525">
        <f>IF(M384=1,SUM($N$373:N384),0)</f>
        <v>131433.36379955089</v>
      </c>
      <c r="P384" s="535">
        <v>0</v>
      </c>
      <c r="Q384" s="525">
        <f>IF(M384=1,SUM($P$373:P384),0)</f>
        <v>190950</v>
      </c>
      <c r="R384" s="235">
        <f t="shared" si="102"/>
        <v>-59516.636200449109</v>
      </c>
      <c r="T384" s="526">
        <f t="shared" si="108"/>
        <v>46003</v>
      </c>
    </row>
    <row r="385" spans="2:20" ht="19.25" customHeight="1" outlineLevel="1">
      <c r="B385" s="520">
        <f t="shared" si="106"/>
        <v>46004</v>
      </c>
      <c r="C385" s="233">
        <f t="shared" si="103"/>
        <v>46004</v>
      </c>
      <c r="D385" s="234">
        <f>目標_2025R7!D367</f>
        <v>1</v>
      </c>
      <c r="E385" s="525">
        <f>IF(D385=1,'適正原価率表(仕入れお小遣い制度)'!$J$26,0)</f>
        <v>55024.636993841152</v>
      </c>
      <c r="F385" s="525">
        <f>IF(D385=1,SUM($E$373:E385),0)</f>
        <v>660295.64392609382</v>
      </c>
      <c r="G385" s="535">
        <v>56967</v>
      </c>
      <c r="H385" s="525">
        <f>IF(D385=1,SUM($G$373:G385),0)</f>
        <v>622550</v>
      </c>
      <c r="I385" s="235">
        <f t="shared" si="107"/>
        <v>37745.64392609382</v>
      </c>
      <c r="J385" s="227"/>
      <c r="K385" s="520">
        <f t="shared" si="104"/>
        <v>46004</v>
      </c>
      <c r="L385" s="521">
        <f t="shared" si="105"/>
        <v>46004</v>
      </c>
      <c r="M385" s="524">
        <f t="shared" si="101"/>
        <v>1</v>
      </c>
      <c r="N385" s="525">
        <f>IF(M385=1,'適正原価率表(仕入れお小遣い制度)'!$J$27,0)</f>
        <v>11948.487618140987</v>
      </c>
      <c r="O385" s="525">
        <f>IF(M385=1,SUM($N$373:N385),0)</f>
        <v>143381.85141769188</v>
      </c>
      <c r="P385" s="535">
        <v>48633</v>
      </c>
      <c r="Q385" s="525">
        <f>IF(M385=1,SUM($P$373:P385),0)</f>
        <v>239583</v>
      </c>
      <c r="R385" s="235">
        <f t="shared" si="102"/>
        <v>-96201.148582308117</v>
      </c>
      <c r="T385" s="526">
        <f t="shared" si="108"/>
        <v>46004</v>
      </c>
    </row>
    <row r="386" spans="2:20" ht="19.25" customHeight="1" outlineLevel="1">
      <c r="B386" s="520">
        <f t="shared" si="106"/>
        <v>46005</v>
      </c>
      <c r="C386" s="233">
        <f t="shared" si="103"/>
        <v>46005</v>
      </c>
      <c r="D386" s="234">
        <f>目標_2025R7!D368</f>
        <v>0</v>
      </c>
      <c r="E386" s="525">
        <f>IF(D386=1,'適正原価率表(仕入れお小遣い制度)'!$J$26,0)</f>
        <v>0</v>
      </c>
      <c r="F386" s="525">
        <f>IF(D386=1,SUM($E$373:E386),0)</f>
        <v>0</v>
      </c>
      <c r="G386" s="535">
        <v>80670</v>
      </c>
      <c r="H386" s="525">
        <f>IF(D386=1,SUM($G$373:G386),0)</f>
        <v>0</v>
      </c>
      <c r="I386" s="235">
        <f t="shared" si="107"/>
        <v>0</v>
      </c>
      <c r="J386" s="227"/>
      <c r="K386" s="520">
        <f t="shared" si="104"/>
        <v>46005</v>
      </c>
      <c r="L386" s="521">
        <f t="shared" si="105"/>
        <v>46005</v>
      </c>
      <c r="M386" s="524">
        <f t="shared" si="101"/>
        <v>0</v>
      </c>
      <c r="N386" s="525">
        <f>IF(M386=1,'適正原価率表(仕入れお小遣い制度)'!$J$27,0)</f>
        <v>0</v>
      </c>
      <c r="O386" s="525">
        <f>IF(M386=1,SUM($N$373:N386),0)</f>
        <v>0</v>
      </c>
      <c r="P386" s="535">
        <v>17000</v>
      </c>
      <c r="Q386" s="525">
        <f>IF(M386=1,SUM($P$373:P386),0)</f>
        <v>0</v>
      </c>
      <c r="R386" s="235">
        <f t="shared" si="102"/>
        <v>0</v>
      </c>
      <c r="T386" s="526">
        <f t="shared" si="108"/>
        <v>46005</v>
      </c>
    </row>
    <row r="387" spans="2:20" ht="19.25" customHeight="1" outlineLevel="1">
      <c r="B387" s="520">
        <f t="shared" si="106"/>
        <v>46006</v>
      </c>
      <c r="C387" s="233">
        <f t="shared" si="103"/>
        <v>46006</v>
      </c>
      <c r="D387" s="234">
        <f>目標_2025R7!D369</f>
        <v>1</v>
      </c>
      <c r="E387" s="525">
        <f>IF(D387=1,'適正原価率表(仕入れお小遣い制度)'!$J$26,0)</f>
        <v>55024.636993841152</v>
      </c>
      <c r="F387" s="525">
        <f>IF(D387=1,SUM($E$373:E387),0)</f>
        <v>715320.28091993497</v>
      </c>
      <c r="G387" s="535">
        <v>128718</v>
      </c>
      <c r="H387" s="525">
        <f>IF(D387=1,SUM($G$373:G387),0)</f>
        <v>831938</v>
      </c>
      <c r="I387" s="235">
        <f t="shared" si="107"/>
        <v>-116617.71908006503</v>
      </c>
      <c r="J387" s="227"/>
      <c r="K387" s="520">
        <f t="shared" si="104"/>
        <v>46006</v>
      </c>
      <c r="L387" s="521">
        <f t="shared" si="105"/>
        <v>46006</v>
      </c>
      <c r="M387" s="524">
        <f t="shared" si="101"/>
        <v>1</v>
      </c>
      <c r="N387" s="525">
        <f>IF(M387=1,'適正原価率表(仕入れお小遣い制度)'!$J$27,0)</f>
        <v>11948.487618140987</v>
      </c>
      <c r="O387" s="525">
        <f>IF(M387=1,SUM($N$373:N387),0)</f>
        <v>155330.33903583288</v>
      </c>
      <c r="P387" s="535">
        <v>53872</v>
      </c>
      <c r="Q387" s="525">
        <f>IF(M387=1,SUM($P$373:P387),0)</f>
        <v>310455</v>
      </c>
      <c r="R387" s="235">
        <f t="shared" si="102"/>
        <v>-155124.66096416712</v>
      </c>
      <c r="T387" s="526">
        <f t="shared" si="108"/>
        <v>46006</v>
      </c>
    </row>
    <row r="388" spans="2:20" ht="19.25" customHeight="1" outlineLevel="1">
      <c r="B388" s="520">
        <f t="shared" si="106"/>
        <v>46007</v>
      </c>
      <c r="C388" s="233">
        <f t="shared" si="103"/>
        <v>46007</v>
      </c>
      <c r="D388" s="234">
        <f>目標_2025R7!D370</f>
        <v>1</v>
      </c>
      <c r="E388" s="525">
        <f>IF(D388=1,'適正原価率表(仕入れお小遣い制度)'!$J$26,0)</f>
        <v>55024.636993841152</v>
      </c>
      <c r="F388" s="525">
        <f>IF(D388=1,SUM($E$373:E388),0)</f>
        <v>770344.91791377612</v>
      </c>
      <c r="G388" s="535">
        <v>68304</v>
      </c>
      <c r="H388" s="525">
        <f>IF(D388=1,SUM($G$373:G388),0)</f>
        <v>900242</v>
      </c>
      <c r="I388" s="235">
        <f t="shared" si="107"/>
        <v>-129897.08208622388</v>
      </c>
      <c r="J388" s="227"/>
      <c r="K388" s="520">
        <f t="shared" si="104"/>
        <v>46007</v>
      </c>
      <c r="L388" s="521">
        <f t="shared" si="105"/>
        <v>46007</v>
      </c>
      <c r="M388" s="524">
        <f t="shared" si="101"/>
        <v>1</v>
      </c>
      <c r="N388" s="525">
        <f>IF(M388=1,'適正原価率表(仕入れお小遣い制度)'!$J$27,0)</f>
        <v>11948.487618140987</v>
      </c>
      <c r="O388" s="525">
        <f>IF(M388=1,SUM($N$373:N388),0)</f>
        <v>167278.82665397387</v>
      </c>
      <c r="P388" s="535">
        <v>20099</v>
      </c>
      <c r="Q388" s="525">
        <f>IF(M388=1,SUM($P$373:P388),0)</f>
        <v>330554</v>
      </c>
      <c r="R388" s="235">
        <f t="shared" si="102"/>
        <v>-163275.17334602613</v>
      </c>
      <c r="T388" s="526">
        <f t="shared" si="108"/>
        <v>46007</v>
      </c>
    </row>
    <row r="389" spans="2:20" ht="19.25" customHeight="1" outlineLevel="1">
      <c r="B389" s="520">
        <f t="shared" si="106"/>
        <v>46008</v>
      </c>
      <c r="C389" s="233">
        <f t="shared" si="103"/>
        <v>46008</v>
      </c>
      <c r="D389" s="234">
        <f>目標_2025R7!D371</f>
        <v>1</v>
      </c>
      <c r="E389" s="525">
        <f>IF(D389=1,'適正原価率表(仕入れお小遣い制度)'!$J$26,0)</f>
        <v>55024.636993841152</v>
      </c>
      <c r="F389" s="525">
        <f>IF(D389=1,SUM($E$373:E389),0)</f>
        <v>825369.55490761728</v>
      </c>
      <c r="G389" s="535">
        <v>50673</v>
      </c>
      <c r="H389" s="525">
        <f>IF(D389=1,SUM($G$373:G389),0)</f>
        <v>950915</v>
      </c>
      <c r="I389" s="235">
        <f t="shared" si="107"/>
        <v>-125545.44509238272</v>
      </c>
      <c r="J389" s="227"/>
      <c r="K389" s="520">
        <f t="shared" si="104"/>
        <v>46008</v>
      </c>
      <c r="L389" s="521">
        <f t="shared" si="105"/>
        <v>46008</v>
      </c>
      <c r="M389" s="524">
        <f t="shared" si="101"/>
        <v>1</v>
      </c>
      <c r="N389" s="525">
        <f>IF(M389=1,'適正原価率表(仕入れお小遣い制度)'!$J$27,0)</f>
        <v>11948.487618140987</v>
      </c>
      <c r="O389" s="525">
        <f>IF(M389=1,SUM($N$373:N389),0)</f>
        <v>179227.31427211486</v>
      </c>
      <c r="P389" s="535">
        <v>31267</v>
      </c>
      <c r="Q389" s="525">
        <f>IF(M389=1,SUM($P$373:P389),0)</f>
        <v>361821</v>
      </c>
      <c r="R389" s="235">
        <f t="shared" si="102"/>
        <v>-182593.68572788514</v>
      </c>
      <c r="T389" s="526">
        <f t="shared" si="108"/>
        <v>46008</v>
      </c>
    </row>
    <row r="390" spans="2:20" ht="19.25" customHeight="1" outlineLevel="1">
      <c r="B390" s="520">
        <f t="shared" si="106"/>
        <v>46009</v>
      </c>
      <c r="C390" s="233">
        <f t="shared" si="103"/>
        <v>46009</v>
      </c>
      <c r="D390" s="234">
        <f>目標_2025R7!D372</f>
        <v>1</v>
      </c>
      <c r="E390" s="525">
        <f>IF(D390=1,'適正原価率表(仕入れお小遣い制度)'!$J$26,0)</f>
        <v>55024.636993841152</v>
      </c>
      <c r="F390" s="525">
        <f>IF(D390=1,SUM($E$373:E390),0)</f>
        <v>880394.19190145843</v>
      </c>
      <c r="G390" s="535">
        <v>36080</v>
      </c>
      <c r="H390" s="525">
        <f>IF(D390=1,SUM($G$373:G390),0)</f>
        <v>986995</v>
      </c>
      <c r="I390" s="235">
        <f t="shared" si="107"/>
        <v>-106600.80809854157</v>
      </c>
      <c r="J390" s="227"/>
      <c r="K390" s="520">
        <f t="shared" si="104"/>
        <v>46009</v>
      </c>
      <c r="L390" s="521">
        <f t="shared" si="105"/>
        <v>46009</v>
      </c>
      <c r="M390" s="524">
        <f t="shared" si="101"/>
        <v>1</v>
      </c>
      <c r="N390" s="525">
        <f>IF(M390=1,'適正原価率表(仕入れお小遣い制度)'!$J$27,0)</f>
        <v>11948.487618140987</v>
      </c>
      <c r="O390" s="525">
        <f>IF(M390=1,SUM($N$373:N390),0)</f>
        <v>191175.80189025585</v>
      </c>
      <c r="P390" s="535">
        <v>384</v>
      </c>
      <c r="Q390" s="525">
        <f>IF(M390=1,SUM($P$373:P390),0)</f>
        <v>362205</v>
      </c>
      <c r="R390" s="235">
        <f t="shared" si="102"/>
        <v>-171029.19810974415</v>
      </c>
      <c r="T390" s="526">
        <f t="shared" si="108"/>
        <v>46009</v>
      </c>
    </row>
    <row r="391" spans="2:20" ht="19.25" customHeight="1" outlineLevel="1">
      <c r="B391" s="520">
        <f t="shared" si="106"/>
        <v>46010</v>
      </c>
      <c r="C391" s="233">
        <f t="shared" si="103"/>
        <v>46010</v>
      </c>
      <c r="D391" s="234">
        <f>目標_2025R7!D373</f>
        <v>1</v>
      </c>
      <c r="E391" s="525">
        <f>IF(D391=1,'適正原価率表(仕入れお小遣い制度)'!$J$26,0)</f>
        <v>55024.636993841152</v>
      </c>
      <c r="F391" s="525">
        <f>IF(D391=1,SUM($E$373:E391),0)</f>
        <v>935418.82889529958</v>
      </c>
      <c r="G391" s="535">
        <v>0</v>
      </c>
      <c r="H391" s="525">
        <f>IF(D391=1,SUM($G$373:G391),0)</f>
        <v>986995</v>
      </c>
      <c r="I391" s="235">
        <f t="shared" si="107"/>
        <v>-51576.171104700421</v>
      </c>
      <c r="J391" s="227"/>
      <c r="K391" s="520">
        <f t="shared" si="104"/>
        <v>46010</v>
      </c>
      <c r="L391" s="521">
        <f t="shared" si="105"/>
        <v>46010</v>
      </c>
      <c r="M391" s="524">
        <f t="shared" si="101"/>
        <v>1</v>
      </c>
      <c r="N391" s="525">
        <f>IF(M391=1,'適正原価率表(仕入れお小遣い制度)'!$J$27,0)</f>
        <v>11948.487618140987</v>
      </c>
      <c r="O391" s="525">
        <f>IF(M391=1,SUM($N$373:N391),0)</f>
        <v>203124.28950839685</v>
      </c>
      <c r="P391" s="535">
        <v>0</v>
      </c>
      <c r="Q391" s="525">
        <f>IF(M391=1,SUM($P$373:P391),0)</f>
        <v>362205</v>
      </c>
      <c r="R391" s="235">
        <f t="shared" si="102"/>
        <v>-159080.71049160315</v>
      </c>
      <c r="T391" s="526">
        <f t="shared" si="108"/>
        <v>46010</v>
      </c>
    </row>
    <row r="392" spans="2:20" ht="19.25" customHeight="1" outlineLevel="1">
      <c r="B392" s="520">
        <f t="shared" si="106"/>
        <v>46011</v>
      </c>
      <c r="C392" s="233">
        <f t="shared" si="103"/>
        <v>46011</v>
      </c>
      <c r="D392" s="234">
        <f>目標_2025R7!D374</f>
        <v>1</v>
      </c>
      <c r="E392" s="525">
        <f>IF(D392=1,'適正原価率表(仕入れお小遣い制度)'!$J$26,0)</f>
        <v>55024.636993841152</v>
      </c>
      <c r="F392" s="525">
        <f>IF(D392=1,SUM($E$373:E392),0)</f>
        <v>990443.46588914073</v>
      </c>
      <c r="G392" s="535">
        <v>78154</v>
      </c>
      <c r="H392" s="525">
        <f>IF(D392=1,SUM($G$373:G392),0)</f>
        <v>1065149</v>
      </c>
      <c r="I392" s="235">
        <f t="shared" si="107"/>
        <v>-74705.534110859269</v>
      </c>
      <c r="J392" s="227"/>
      <c r="K392" s="520">
        <f t="shared" si="104"/>
        <v>46011</v>
      </c>
      <c r="L392" s="521">
        <f t="shared" si="105"/>
        <v>46011</v>
      </c>
      <c r="M392" s="524">
        <f t="shared" si="101"/>
        <v>1</v>
      </c>
      <c r="N392" s="525">
        <f>IF(M392=1,'適正原価率表(仕入れお小遣い制度)'!$J$27,0)</f>
        <v>11948.487618140987</v>
      </c>
      <c r="O392" s="525">
        <f>IF(M392=1,SUM($N$373:N392),0)</f>
        <v>215072.77712653784</v>
      </c>
      <c r="P392" s="535">
        <v>24757</v>
      </c>
      <c r="Q392" s="525">
        <f>IF(M392=1,SUM($P$373:P392),0)</f>
        <v>386962</v>
      </c>
      <c r="R392" s="235">
        <f t="shared" si="102"/>
        <v>-171889.22287346216</v>
      </c>
      <c r="T392" s="526">
        <f t="shared" si="108"/>
        <v>46011</v>
      </c>
    </row>
    <row r="393" spans="2:20" ht="19.25" customHeight="1" outlineLevel="1">
      <c r="B393" s="520">
        <f t="shared" si="106"/>
        <v>46012</v>
      </c>
      <c r="C393" s="233">
        <f t="shared" si="103"/>
        <v>46012</v>
      </c>
      <c r="D393" s="234">
        <f>目標_2025R7!D375</f>
        <v>0</v>
      </c>
      <c r="E393" s="525">
        <f>IF(D393=1,'適正原価率表(仕入れお小遣い制度)'!$J$26,0)</f>
        <v>0</v>
      </c>
      <c r="F393" s="525">
        <f>IF(D393=1,SUM($E$373:E393),0)</f>
        <v>0</v>
      </c>
      <c r="G393" s="535">
        <v>112031</v>
      </c>
      <c r="H393" s="525">
        <f>IF(D393=1,SUM($G$373:G393),0)</f>
        <v>0</v>
      </c>
      <c r="I393" s="235">
        <f t="shared" si="107"/>
        <v>0</v>
      </c>
      <c r="J393" s="227"/>
      <c r="K393" s="520">
        <f t="shared" si="104"/>
        <v>46012</v>
      </c>
      <c r="L393" s="521">
        <f t="shared" si="105"/>
        <v>46012</v>
      </c>
      <c r="M393" s="524">
        <f t="shared" si="101"/>
        <v>0</v>
      </c>
      <c r="N393" s="525">
        <f>IF(M393=1,'適正原価率表(仕入れお小遣い制度)'!$J$27,0)</f>
        <v>0</v>
      </c>
      <c r="O393" s="525">
        <f>IF(M393=1,SUM($N$373:N393),0)</f>
        <v>0</v>
      </c>
      <c r="P393" s="535">
        <v>29063</v>
      </c>
      <c r="Q393" s="525">
        <f>IF(M393=1,SUM($P$373:P393),0)</f>
        <v>0</v>
      </c>
      <c r="R393" s="235">
        <f t="shared" si="102"/>
        <v>0</v>
      </c>
      <c r="T393" s="526">
        <f t="shared" si="108"/>
        <v>46012</v>
      </c>
    </row>
    <row r="394" spans="2:20" ht="19.25" customHeight="1" outlineLevel="1">
      <c r="B394" s="520">
        <f t="shared" si="106"/>
        <v>46013</v>
      </c>
      <c r="C394" s="233">
        <f t="shared" si="103"/>
        <v>46013</v>
      </c>
      <c r="D394" s="234">
        <f>目標_2025R7!D376</f>
        <v>1</v>
      </c>
      <c r="E394" s="525">
        <f>IF(D394=1,'適正原価率表(仕入れお小遣い制度)'!$J$26,0)</f>
        <v>55024.636993841152</v>
      </c>
      <c r="F394" s="525">
        <f>IF(D394=1,SUM($E$373:E394),0)</f>
        <v>1045468.1028829819</v>
      </c>
      <c r="G394" s="535">
        <v>34083</v>
      </c>
      <c r="H394" s="525">
        <f>IF(D394=1,SUM($G$373:G394),0)</f>
        <v>1211263</v>
      </c>
      <c r="I394" s="235">
        <f t="shared" si="107"/>
        <v>-165794.89711701812</v>
      </c>
      <c r="J394" s="227"/>
      <c r="K394" s="520">
        <f t="shared" si="104"/>
        <v>46013</v>
      </c>
      <c r="L394" s="521">
        <f t="shared" si="105"/>
        <v>46013</v>
      </c>
      <c r="M394" s="524">
        <f t="shared" si="101"/>
        <v>1</v>
      </c>
      <c r="N394" s="525">
        <f>IF(M394=1,'適正原価率表(仕入れお小遣い制度)'!$J$27,0)</f>
        <v>11948.487618140987</v>
      </c>
      <c r="O394" s="525">
        <f>IF(M394=1,SUM($N$373:N394),0)</f>
        <v>227021.26474467883</v>
      </c>
      <c r="P394" s="535">
        <v>833</v>
      </c>
      <c r="Q394" s="525">
        <f>IF(M394=1,SUM($P$373:P394),0)</f>
        <v>416858</v>
      </c>
      <c r="R394" s="235">
        <f t="shared" si="102"/>
        <v>-189836.73525532117</v>
      </c>
      <c r="T394" s="526">
        <f t="shared" si="108"/>
        <v>46013</v>
      </c>
    </row>
    <row r="395" spans="2:20" ht="19.25" customHeight="1" outlineLevel="1">
      <c r="B395" s="520">
        <f t="shared" si="106"/>
        <v>46014</v>
      </c>
      <c r="C395" s="233">
        <f t="shared" si="103"/>
        <v>46014</v>
      </c>
      <c r="D395" s="234">
        <f>目標_2025R7!D377</f>
        <v>1</v>
      </c>
      <c r="E395" s="525">
        <f>IF(D395=1,'適正原価率表(仕入れお小遣い制度)'!$J$26,0)</f>
        <v>55024.636993841152</v>
      </c>
      <c r="F395" s="525">
        <f>IF(D395=1,SUM($E$373:E395),0)</f>
        <v>1100492.739876823</v>
      </c>
      <c r="G395" s="535">
        <v>25106</v>
      </c>
      <c r="H395" s="525">
        <f>IF(D395=1,SUM($G$373:G395),0)</f>
        <v>1236369</v>
      </c>
      <c r="I395" s="235">
        <f t="shared" si="107"/>
        <v>-135876.26012317697</v>
      </c>
      <c r="J395" s="227"/>
      <c r="K395" s="520">
        <f t="shared" si="104"/>
        <v>46014</v>
      </c>
      <c r="L395" s="521">
        <f t="shared" si="105"/>
        <v>46014</v>
      </c>
      <c r="M395" s="524">
        <f t="shared" si="101"/>
        <v>1</v>
      </c>
      <c r="N395" s="525">
        <f>IF(M395=1,'適正原価率表(仕入れお小遣い制度)'!$J$27,0)</f>
        <v>11948.487618140987</v>
      </c>
      <c r="O395" s="525">
        <f>IF(M395=1,SUM($N$373:N395),0)</f>
        <v>238969.75236281983</v>
      </c>
      <c r="P395" s="535">
        <v>22862</v>
      </c>
      <c r="Q395" s="525">
        <f>IF(M395=1,SUM($P$373:P395),0)</f>
        <v>439720</v>
      </c>
      <c r="R395" s="235">
        <f t="shared" si="102"/>
        <v>-200750.24763718017</v>
      </c>
      <c r="T395" s="526">
        <f t="shared" si="108"/>
        <v>46014</v>
      </c>
    </row>
    <row r="396" spans="2:20" ht="19.25" customHeight="1" outlineLevel="1">
      <c r="B396" s="520">
        <f t="shared" si="106"/>
        <v>46015</v>
      </c>
      <c r="C396" s="233">
        <f t="shared" si="103"/>
        <v>46015</v>
      </c>
      <c r="D396" s="234">
        <f>目標_2025R7!D378</f>
        <v>1</v>
      </c>
      <c r="E396" s="525">
        <f>IF(D396=1,'適正原価率表(仕入れお小遣い制度)'!$J$26,0)</f>
        <v>55024.636993841152</v>
      </c>
      <c r="F396" s="525">
        <f>IF(D396=1,SUM($E$373:E396),0)</f>
        <v>1155517.3768706643</v>
      </c>
      <c r="G396" s="535">
        <v>8380</v>
      </c>
      <c r="H396" s="525">
        <f>IF(D396=1,SUM($G$373:G396),0)</f>
        <v>1244749</v>
      </c>
      <c r="I396" s="235">
        <f t="shared" si="107"/>
        <v>-89231.623129335698</v>
      </c>
      <c r="J396" s="227"/>
      <c r="K396" s="520">
        <f t="shared" si="104"/>
        <v>46015</v>
      </c>
      <c r="L396" s="521">
        <f t="shared" si="105"/>
        <v>46015</v>
      </c>
      <c r="M396" s="524">
        <f t="shared" si="101"/>
        <v>1</v>
      </c>
      <c r="N396" s="525">
        <f>IF(M396=1,'適正原価率表(仕入れお小遣い制度)'!$J$27,0)</f>
        <v>11948.487618140987</v>
      </c>
      <c r="O396" s="525">
        <f>IF(M396=1,SUM($N$373:N396),0)</f>
        <v>250918.23998096082</v>
      </c>
      <c r="P396" s="535">
        <v>10278</v>
      </c>
      <c r="Q396" s="525">
        <f>IF(M396=1,SUM($P$373:P396),0)</f>
        <v>449998</v>
      </c>
      <c r="R396" s="235">
        <f t="shared" si="102"/>
        <v>-199079.76001903918</v>
      </c>
      <c r="T396" s="526">
        <f t="shared" si="108"/>
        <v>46015</v>
      </c>
    </row>
    <row r="397" spans="2:20" ht="19.25" customHeight="1" outlineLevel="1">
      <c r="B397" s="520">
        <f t="shared" si="106"/>
        <v>46016</v>
      </c>
      <c r="C397" s="233">
        <f t="shared" si="103"/>
        <v>46016</v>
      </c>
      <c r="D397" s="234">
        <f>目標_2025R7!D379</f>
        <v>1</v>
      </c>
      <c r="E397" s="525">
        <f>IF(D397=1,'適正原価率表(仕入れお小遣い制度)'!$J$26,0)</f>
        <v>55024.636993841152</v>
      </c>
      <c r="F397" s="525">
        <f>IF(D397=1,SUM($E$373:E397),0)</f>
        <v>1210542.0138645056</v>
      </c>
      <c r="G397" s="535">
        <v>0</v>
      </c>
      <c r="H397" s="525">
        <f>IF(D397=1,SUM($G$373:G397),0)</f>
        <v>1244749</v>
      </c>
      <c r="I397" s="235">
        <f t="shared" si="107"/>
        <v>-34206.98613549443</v>
      </c>
      <c r="J397" s="227"/>
      <c r="K397" s="520">
        <f t="shared" si="104"/>
        <v>46016</v>
      </c>
      <c r="L397" s="521">
        <f t="shared" si="105"/>
        <v>46016</v>
      </c>
      <c r="M397" s="524">
        <f t="shared" si="101"/>
        <v>1</v>
      </c>
      <c r="N397" s="525">
        <f>IF(M397=1,'適正原価率表(仕入れお小遣い制度)'!$J$27,0)</f>
        <v>11948.487618140987</v>
      </c>
      <c r="O397" s="525">
        <f>IF(M397=1,SUM($N$373:N397),0)</f>
        <v>262866.72759910178</v>
      </c>
      <c r="P397" s="535">
        <v>0</v>
      </c>
      <c r="Q397" s="525">
        <f>IF(M397=1,SUM($P$373:P397),0)</f>
        <v>449998</v>
      </c>
      <c r="R397" s="235">
        <f t="shared" si="102"/>
        <v>-187131.27240089822</v>
      </c>
      <c r="T397" s="526">
        <f t="shared" si="108"/>
        <v>46016</v>
      </c>
    </row>
    <row r="398" spans="2:20" ht="19.25" customHeight="1" outlineLevel="1">
      <c r="B398" s="520">
        <f t="shared" si="106"/>
        <v>46017</v>
      </c>
      <c r="C398" s="233">
        <f>B398</f>
        <v>46017</v>
      </c>
      <c r="D398" s="234">
        <f>目標_2025R7!D380</f>
        <v>1</v>
      </c>
      <c r="E398" s="525">
        <f>IF(D398=1,'適正原価率表(仕入れお小遣い制度)'!$J$26,0)</f>
        <v>55024.636993841152</v>
      </c>
      <c r="F398" s="525">
        <f>IF(D398=1,SUM($E$373:E398),0)</f>
        <v>1265566.6508583468</v>
      </c>
      <c r="G398" s="535">
        <v>0</v>
      </c>
      <c r="H398" s="525">
        <f>IF(D398=1,SUM($G$373:G398),0)</f>
        <v>1244749</v>
      </c>
      <c r="I398" s="235">
        <f t="shared" si="107"/>
        <v>20817.650858346839</v>
      </c>
      <c r="J398" s="227"/>
      <c r="K398" s="520">
        <f t="shared" ref="K398:L403" si="109">B398</f>
        <v>46017</v>
      </c>
      <c r="L398" s="521">
        <f t="shared" si="109"/>
        <v>46017</v>
      </c>
      <c r="M398" s="524">
        <f t="shared" si="101"/>
        <v>1</v>
      </c>
      <c r="N398" s="525">
        <f>IF(M398=1,'適正原価率表(仕入れお小遣い制度)'!$J$27,0)</f>
        <v>11948.487618140987</v>
      </c>
      <c r="O398" s="525">
        <f>IF(M398=1,SUM($N$373:N398),0)</f>
        <v>274815.21521724277</v>
      </c>
      <c r="P398" s="535">
        <v>0</v>
      </c>
      <c r="Q398" s="525">
        <f>IF(M398=1,SUM($P$373:P398),0)</f>
        <v>449998</v>
      </c>
      <c r="R398" s="235">
        <f t="shared" si="102"/>
        <v>-175182.78478275723</v>
      </c>
      <c r="T398" s="526">
        <f t="shared" si="108"/>
        <v>46017</v>
      </c>
    </row>
    <row r="399" spans="2:20" ht="19.25" customHeight="1" outlineLevel="1">
      <c r="B399" s="520">
        <f t="shared" si="106"/>
        <v>46018</v>
      </c>
      <c r="C399" s="233">
        <f t="shared" si="103"/>
        <v>46018</v>
      </c>
      <c r="D399" s="234">
        <f>目標_2025R7!D381</f>
        <v>1</v>
      </c>
      <c r="E399" s="525">
        <f>IF(D399=1,'適正原価率表(仕入れお小遣い制度)'!$J$26,0)</f>
        <v>55024.636993841152</v>
      </c>
      <c r="F399" s="525">
        <f>IF(D399=1,SUM($E$373:E399),0)</f>
        <v>1320591.2878521881</v>
      </c>
      <c r="G399" s="535">
        <v>540</v>
      </c>
      <c r="H399" s="525">
        <f>IF(D399=1,SUM($G$373:G399),0)</f>
        <v>1245289</v>
      </c>
      <c r="I399" s="235">
        <f t="shared" si="107"/>
        <v>75302.287852188107</v>
      </c>
      <c r="J399" s="227"/>
      <c r="K399" s="520">
        <f t="shared" si="109"/>
        <v>46018</v>
      </c>
      <c r="L399" s="521">
        <f t="shared" si="109"/>
        <v>46018</v>
      </c>
      <c r="M399" s="524">
        <f t="shared" si="101"/>
        <v>1</v>
      </c>
      <c r="N399" s="525">
        <f>IF(M399=1,'適正原価率表(仕入れお小遣い制度)'!$J$27,0)</f>
        <v>11948.487618140987</v>
      </c>
      <c r="O399" s="525">
        <f>IF(M399=1,SUM($N$373:N399),0)</f>
        <v>286763.70283538377</v>
      </c>
      <c r="P399" s="535">
        <v>0</v>
      </c>
      <c r="Q399" s="525">
        <f>IF(M399=1,SUM($P$373:P399),0)</f>
        <v>449998</v>
      </c>
      <c r="R399" s="235">
        <f t="shared" si="102"/>
        <v>-163234.29716461623</v>
      </c>
      <c r="T399" s="526">
        <f t="shared" si="108"/>
        <v>46018</v>
      </c>
    </row>
    <row r="400" spans="2:20" ht="19.25" customHeight="1" outlineLevel="1">
      <c r="B400" s="520">
        <f t="shared" si="106"/>
        <v>46019</v>
      </c>
      <c r="C400" s="233">
        <f t="shared" si="103"/>
        <v>46019</v>
      </c>
      <c r="D400" s="234">
        <f>目標_2025R7!D382</f>
        <v>0</v>
      </c>
      <c r="E400" s="525">
        <f>IF(D400=1,'適正原価率表(仕入れお小遣い制度)'!$J$26,0)</f>
        <v>0</v>
      </c>
      <c r="F400" s="525">
        <f>IF(D400=1,SUM($E$373:E400),0)</f>
        <v>0</v>
      </c>
      <c r="G400" s="535">
        <v>0</v>
      </c>
      <c r="H400" s="525">
        <f>IF(D400=1,SUM($G$373:G400),0)</f>
        <v>0</v>
      </c>
      <c r="I400" s="235">
        <f t="shared" si="107"/>
        <v>0</v>
      </c>
      <c r="J400" s="227"/>
      <c r="K400" s="520">
        <f t="shared" si="109"/>
        <v>46019</v>
      </c>
      <c r="L400" s="521">
        <f t="shared" si="109"/>
        <v>46019</v>
      </c>
      <c r="M400" s="524">
        <f t="shared" si="101"/>
        <v>0</v>
      </c>
      <c r="N400" s="525">
        <f>IF(M400=1,'適正原価率表(仕入れお小遣い制度)'!$J$27,0)</f>
        <v>0</v>
      </c>
      <c r="O400" s="525">
        <f>IF(M400=1,SUM($N$373:N400),0)</f>
        <v>0</v>
      </c>
      <c r="P400" s="535">
        <v>0</v>
      </c>
      <c r="Q400" s="525">
        <f>IF(M400=1,SUM($P$373:P400),0)</f>
        <v>0</v>
      </c>
      <c r="R400" s="235">
        <f t="shared" si="102"/>
        <v>0</v>
      </c>
      <c r="T400" s="526">
        <f t="shared" si="108"/>
        <v>46019</v>
      </c>
    </row>
    <row r="401" spans="2:20" ht="19.25" customHeight="1" outlineLevel="1">
      <c r="B401" s="520">
        <f t="shared" si="106"/>
        <v>46020</v>
      </c>
      <c r="C401" s="233">
        <f t="shared" si="103"/>
        <v>46020</v>
      </c>
      <c r="D401" s="234">
        <f>目標_2025R7!D383</f>
        <v>0</v>
      </c>
      <c r="E401" s="525">
        <f>IF(D401=1,'適正原価率表(仕入れお小遣い制度)'!$J$26,0)</f>
        <v>0</v>
      </c>
      <c r="F401" s="525">
        <f>IF(D401=1,SUM($E$373:E401),0)</f>
        <v>0</v>
      </c>
      <c r="G401" s="535">
        <v>0</v>
      </c>
      <c r="H401" s="525">
        <f>IF(D401=1,SUM($G$373:G401),0)</f>
        <v>0</v>
      </c>
      <c r="I401" s="235">
        <f t="shared" si="107"/>
        <v>0</v>
      </c>
      <c r="J401" s="227"/>
      <c r="K401" s="520">
        <f t="shared" si="109"/>
        <v>46020</v>
      </c>
      <c r="L401" s="521">
        <f t="shared" si="109"/>
        <v>46020</v>
      </c>
      <c r="M401" s="524">
        <f t="shared" si="101"/>
        <v>0</v>
      </c>
      <c r="N401" s="525">
        <f>IF(M401=1,'適正原価率表(仕入れお小遣い制度)'!$J$27,0)</f>
        <v>0</v>
      </c>
      <c r="O401" s="525">
        <f>IF(M401=1,SUM($N$373:N401),0)</f>
        <v>0</v>
      </c>
      <c r="P401" s="535">
        <v>0</v>
      </c>
      <c r="Q401" s="525">
        <f>IF(M401=1,SUM($P$373:P401),0)</f>
        <v>0</v>
      </c>
      <c r="R401" s="235">
        <f t="shared" si="102"/>
        <v>0</v>
      </c>
      <c r="T401" s="526">
        <f t="shared" si="108"/>
        <v>46020</v>
      </c>
    </row>
    <row r="402" spans="2:20" ht="19.25" customHeight="1" outlineLevel="1">
      <c r="B402" s="520">
        <f t="shared" si="106"/>
        <v>46021</v>
      </c>
      <c r="C402" s="233">
        <f t="shared" si="103"/>
        <v>46021</v>
      </c>
      <c r="D402" s="234">
        <f>目標_2025R7!D384</f>
        <v>0</v>
      </c>
      <c r="E402" s="525">
        <f>IF(D402=1,'適正原価率表(仕入れお小遣い制度)'!$J$26,0)</f>
        <v>0</v>
      </c>
      <c r="F402" s="525">
        <f>IF(D402=1,SUM($E$373:E402),0)</f>
        <v>0</v>
      </c>
      <c r="G402" s="535"/>
      <c r="H402" s="525">
        <f>IF(D402=1,SUM($G$373:G402),0)</f>
        <v>0</v>
      </c>
      <c r="I402" s="235">
        <f t="shared" si="107"/>
        <v>0</v>
      </c>
      <c r="J402" s="227"/>
      <c r="K402" s="520">
        <f t="shared" si="109"/>
        <v>46021</v>
      </c>
      <c r="L402" s="521">
        <f t="shared" si="109"/>
        <v>46021</v>
      </c>
      <c r="M402" s="524">
        <f t="shared" si="101"/>
        <v>0</v>
      </c>
      <c r="N402" s="525">
        <f>IF(M402=1,'適正原価率表(仕入れお小遣い制度)'!$J$27,0)</f>
        <v>0</v>
      </c>
      <c r="O402" s="525">
        <f>IF(M402=1,SUM($N$373:N402),0)</f>
        <v>0</v>
      </c>
      <c r="P402" s="535"/>
      <c r="Q402" s="525">
        <f>IF(M402=1,SUM($P$373:P402),0)</f>
        <v>0</v>
      </c>
      <c r="R402" s="235">
        <f t="shared" si="102"/>
        <v>0</v>
      </c>
      <c r="T402" s="526">
        <f t="shared" si="108"/>
        <v>46021</v>
      </c>
    </row>
    <row r="403" spans="2:20" ht="19.25" customHeight="1" outlineLevel="1">
      <c r="B403" s="520">
        <f t="shared" si="106"/>
        <v>46022</v>
      </c>
      <c r="C403" s="233">
        <f t="shared" si="103"/>
        <v>46022</v>
      </c>
      <c r="D403" s="234">
        <f>目標_2025R7!D385</f>
        <v>0</v>
      </c>
      <c r="E403" s="525">
        <f>IF(D403=1,'適正原価率表(仕入れお小遣い制度)'!$J$26,0)</f>
        <v>0</v>
      </c>
      <c r="F403" s="525">
        <f>IF(D403=1,SUM($E$373:E403),0)</f>
        <v>0</v>
      </c>
      <c r="G403" s="535"/>
      <c r="H403" s="525">
        <f>IF(D403=1,SUM($G$373:G403),0)</f>
        <v>0</v>
      </c>
      <c r="I403" s="235">
        <f t="shared" si="107"/>
        <v>0</v>
      </c>
      <c r="J403" s="227"/>
      <c r="K403" s="520">
        <f t="shared" si="109"/>
        <v>46022</v>
      </c>
      <c r="L403" s="521">
        <f t="shared" si="109"/>
        <v>46022</v>
      </c>
      <c r="M403" s="524">
        <f t="shared" si="101"/>
        <v>0</v>
      </c>
      <c r="N403" s="525">
        <f>IF(M403=1,'適正原価率表(仕入れお小遣い制度)'!$J$27,0)</f>
        <v>0</v>
      </c>
      <c r="O403" s="525">
        <f>IF(M403=1,SUM($N$373:N403),0)</f>
        <v>0</v>
      </c>
      <c r="P403" s="535"/>
      <c r="Q403" s="525">
        <f>IF(M403=1,SUM($P$373:P403),0)</f>
        <v>0</v>
      </c>
      <c r="R403" s="235">
        <f t="shared" si="102"/>
        <v>0</v>
      </c>
      <c r="T403" s="526">
        <f t="shared" si="108"/>
        <v>46022</v>
      </c>
    </row>
    <row r="404" spans="2:20" ht="19.25" customHeight="1" outlineLevel="1">
      <c r="B404" s="860" t="s">
        <v>211</v>
      </c>
      <c r="C404" s="861"/>
      <c r="D404" s="862"/>
      <c r="E404" s="528">
        <f>SUM(E373:E403)</f>
        <v>1320591.2878521881</v>
      </c>
      <c r="F404" s="514"/>
      <c r="G404" s="515"/>
      <c r="H404" s="515"/>
      <c r="I404" s="515"/>
      <c r="J404" s="227"/>
      <c r="K404" s="860" t="s">
        <v>211</v>
      </c>
      <c r="L404" s="861"/>
      <c r="M404" s="862"/>
      <c r="N404" s="528">
        <f>SUM(N373:N403)</f>
        <v>286763.70283538377</v>
      </c>
      <c r="O404" s="514"/>
      <c r="P404" s="515"/>
      <c r="Q404" s="515"/>
      <c r="R404" s="515"/>
    </row>
  </sheetData>
  <sheetProtection selectLockedCells="1"/>
  <mergeCells count="50">
    <mergeCell ref="B372:D372"/>
    <mergeCell ref="K372:M372"/>
    <mergeCell ref="B404:D404"/>
    <mergeCell ref="K404:M404"/>
    <mergeCell ref="B337:D337"/>
    <mergeCell ref="K337:M337"/>
    <mergeCell ref="B339:D339"/>
    <mergeCell ref="K339:M339"/>
    <mergeCell ref="B370:D370"/>
    <mergeCell ref="K370:M370"/>
    <mergeCell ref="B272:D272"/>
    <mergeCell ref="K272:M272"/>
    <mergeCell ref="B303:D303"/>
    <mergeCell ref="K303:M303"/>
    <mergeCell ref="B305:D305"/>
    <mergeCell ref="K305:M305"/>
    <mergeCell ref="B236:D236"/>
    <mergeCell ref="K236:M236"/>
    <mergeCell ref="B238:D238"/>
    <mergeCell ref="K238:M238"/>
    <mergeCell ref="B270:D270"/>
    <mergeCell ref="K270:M270"/>
    <mergeCell ref="B171:D171"/>
    <mergeCell ref="K171:M171"/>
    <mergeCell ref="B202:D202"/>
    <mergeCell ref="K202:M202"/>
    <mergeCell ref="B204:D204"/>
    <mergeCell ref="K204:M204"/>
    <mergeCell ref="B102:D102"/>
    <mergeCell ref="K102:M102"/>
    <mergeCell ref="B104:D104"/>
    <mergeCell ref="K104:M104"/>
    <mergeCell ref="B135:D135"/>
    <mergeCell ref="K135:M135"/>
    <mergeCell ref="B1:I1"/>
    <mergeCell ref="K1:R1"/>
    <mergeCell ref="B137:D137"/>
    <mergeCell ref="K137:M137"/>
    <mergeCell ref="B169:D169"/>
    <mergeCell ref="K169:M169"/>
    <mergeCell ref="B3:D3"/>
    <mergeCell ref="K3:M3"/>
    <mergeCell ref="B35:D35"/>
    <mergeCell ref="K35:M35"/>
    <mergeCell ref="B37:D37"/>
    <mergeCell ref="K37:M37"/>
    <mergeCell ref="B70:D70"/>
    <mergeCell ref="K70:M70"/>
    <mergeCell ref="B66:D66"/>
    <mergeCell ref="K66:M66"/>
  </mergeCells>
  <phoneticPr fontId="2"/>
  <printOptions horizontalCentered="1"/>
  <pageMargins left="0.19685039370078741" right="0.19685039370078741" top="0.39370078740157483" bottom="0.39370078740157483" header="0" footer="0"/>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dimension ref="A1:S150"/>
  <sheetViews>
    <sheetView topLeftCell="A96" zoomScale="84" zoomScaleNormal="80" workbookViewId="0">
      <selection activeCell="D13" sqref="D13"/>
    </sheetView>
  </sheetViews>
  <sheetFormatPr baseColWidth="10" defaultColWidth="9.140625" defaultRowHeight="21" customHeight="1"/>
  <cols>
    <col min="1" max="1" width="9.140625" style="238"/>
    <col min="2" max="2" width="15.5703125" style="238" customWidth="1"/>
    <col min="3" max="3" width="16.140625" style="238" customWidth="1"/>
    <col min="4" max="4" width="15.140625" style="238" customWidth="1"/>
    <col min="5" max="8" width="15.5703125" style="238" customWidth="1"/>
    <col min="9" max="9" width="13.85546875" style="238" customWidth="1"/>
    <col min="10" max="10" width="14.85546875" style="238" customWidth="1"/>
    <col min="11" max="12" width="9.140625" style="238"/>
    <col min="13" max="18" width="9.140625" style="243"/>
    <col min="19" max="19" width="12.5703125" style="243" bestFit="1" customWidth="1"/>
    <col min="20" max="16384" width="9.140625" style="238"/>
  </cols>
  <sheetData>
    <row r="1" spans="1:9" ht="31.25" customHeight="1">
      <c r="A1" s="237" t="s">
        <v>139</v>
      </c>
    </row>
    <row r="2" spans="1:9" ht="21" customHeight="1">
      <c r="A2" s="239"/>
      <c r="B2" s="240" t="s">
        <v>140</v>
      </c>
      <c r="C2" s="240" t="s">
        <v>141</v>
      </c>
      <c r="D2" s="240" t="s">
        <v>142</v>
      </c>
      <c r="E2" s="240" t="s">
        <v>143</v>
      </c>
      <c r="F2" s="240" t="s">
        <v>144</v>
      </c>
      <c r="G2" s="240" t="s">
        <v>145</v>
      </c>
      <c r="H2" s="240" t="s">
        <v>146</v>
      </c>
      <c r="I2" s="240" t="s">
        <v>58</v>
      </c>
    </row>
    <row r="3" spans="1:9" ht="21" customHeight="1">
      <c r="A3" s="871" t="s">
        <v>29</v>
      </c>
      <c r="B3" s="872">
        <v>221795</v>
      </c>
      <c r="C3" s="241">
        <v>253025</v>
      </c>
      <c r="D3" s="241">
        <v>214411</v>
      </c>
      <c r="E3" s="241">
        <v>241500</v>
      </c>
      <c r="F3" s="241">
        <v>223707</v>
      </c>
      <c r="G3" s="241">
        <v>292928</v>
      </c>
      <c r="H3" s="241">
        <v>101267</v>
      </c>
      <c r="I3" s="241">
        <v>0</v>
      </c>
    </row>
    <row r="4" spans="1:9" ht="21" customHeight="1">
      <c r="A4" s="871"/>
      <c r="B4" s="872"/>
      <c r="C4" s="242">
        <v>1.1408</v>
      </c>
      <c r="D4" s="242">
        <v>0.9667</v>
      </c>
      <c r="E4" s="242">
        <v>1.0888</v>
      </c>
      <c r="F4" s="242">
        <v>1.0085999999999999</v>
      </c>
      <c r="G4" s="242">
        <v>1.3207</v>
      </c>
      <c r="H4" s="242">
        <v>0.45660000000000001</v>
      </c>
      <c r="I4" s="242">
        <v>0</v>
      </c>
    </row>
    <row r="5" spans="1:9" ht="21" customHeight="1">
      <c r="A5" s="871" t="s">
        <v>107</v>
      </c>
      <c r="B5" s="872">
        <v>209473</v>
      </c>
      <c r="C5" s="241">
        <v>231250</v>
      </c>
      <c r="D5" s="241">
        <v>214245</v>
      </c>
      <c r="E5" s="241">
        <v>221718</v>
      </c>
      <c r="F5" s="241">
        <v>233396</v>
      </c>
      <c r="G5" s="241">
        <v>283893</v>
      </c>
      <c r="H5" s="241">
        <v>136393</v>
      </c>
      <c r="I5" s="241">
        <v>0</v>
      </c>
    </row>
    <row r="6" spans="1:9" ht="21" customHeight="1">
      <c r="A6" s="871"/>
      <c r="B6" s="872"/>
      <c r="C6" s="242">
        <v>1.1040000000000001</v>
      </c>
      <c r="D6" s="242">
        <v>1.0227999999999999</v>
      </c>
      <c r="E6" s="242">
        <v>1.0585</v>
      </c>
      <c r="F6" s="242">
        <v>1.1142000000000001</v>
      </c>
      <c r="G6" s="242">
        <v>1.3552999999999999</v>
      </c>
      <c r="H6" s="242">
        <v>0.65110000000000001</v>
      </c>
      <c r="I6" s="242">
        <v>0</v>
      </c>
    </row>
    <row r="7" spans="1:9" ht="21" customHeight="1">
      <c r="A7" s="871" t="s">
        <v>31</v>
      </c>
      <c r="B7" s="872">
        <v>246439</v>
      </c>
      <c r="C7" s="241">
        <v>228963</v>
      </c>
      <c r="D7" s="241">
        <v>263968</v>
      </c>
      <c r="E7" s="241">
        <v>293950</v>
      </c>
      <c r="F7" s="241">
        <v>308608</v>
      </c>
      <c r="G7" s="241">
        <v>322626</v>
      </c>
      <c r="H7" s="241">
        <v>151896</v>
      </c>
      <c r="I7" s="241">
        <v>0</v>
      </c>
    </row>
    <row r="8" spans="1:9" ht="21" customHeight="1">
      <c r="A8" s="871"/>
      <c r="B8" s="872"/>
      <c r="C8" s="242">
        <v>0.92910000000000004</v>
      </c>
      <c r="D8" s="242">
        <v>1.0710999999999999</v>
      </c>
      <c r="E8" s="242">
        <v>1.1928000000000001</v>
      </c>
      <c r="F8" s="242">
        <v>1.2523</v>
      </c>
      <c r="G8" s="242">
        <v>1.3091999999999999</v>
      </c>
      <c r="H8" s="242">
        <v>0.61639999999999995</v>
      </c>
      <c r="I8" s="242">
        <v>0</v>
      </c>
    </row>
    <row r="9" spans="1:9" ht="21" customHeight="1">
      <c r="A9" s="871" t="s">
        <v>32</v>
      </c>
      <c r="B9" s="872">
        <v>258761</v>
      </c>
      <c r="C9" s="241">
        <v>228365</v>
      </c>
      <c r="D9" s="241">
        <v>269807</v>
      </c>
      <c r="E9" s="241">
        <v>292710</v>
      </c>
      <c r="F9" s="241">
        <v>278043</v>
      </c>
      <c r="G9" s="241">
        <v>331130</v>
      </c>
      <c r="H9" s="241">
        <v>201658</v>
      </c>
      <c r="I9" s="241">
        <v>0</v>
      </c>
    </row>
    <row r="10" spans="1:9" ht="21" customHeight="1">
      <c r="A10" s="871"/>
      <c r="B10" s="872"/>
      <c r="C10" s="242">
        <v>0.88249999999999995</v>
      </c>
      <c r="D10" s="242">
        <v>1.0427</v>
      </c>
      <c r="E10" s="242">
        <v>1.1312</v>
      </c>
      <c r="F10" s="242">
        <v>1.0745</v>
      </c>
      <c r="G10" s="242">
        <v>1.2797000000000001</v>
      </c>
      <c r="H10" s="242">
        <v>0.77929999999999999</v>
      </c>
      <c r="I10" s="242">
        <v>0</v>
      </c>
    </row>
    <row r="11" spans="1:9" ht="21" customHeight="1">
      <c r="A11" s="871" t="s">
        <v>33</v>
      </c>
      <c r="B11" s="872">
        <v>246439</v>
      </c>
      <c r="C11" s="241">
        <v>238610</v>
      </c>
      <c r="D11" s="241">
        <v>232011</v>
      </c>
      <c r="E11" s="241">
        <v>320767</v>
      </c>
      <c r="F11" s="241">
        <v>220418</v>
      </c>
      <c r="G11" s="241">
        <v>350013</v>
      </c>
      <c r="H11" s="241">
        <v>138387</v>
      </c>
      <c r="I11" s="241">
        <v>0</v>
      </c>
    </row>
    <row r="12" spans="1:9" ht="21" customHeight="1">
      <c r="A12" s="871"/>
      <c r="B12" s="872"/>
      <c r="C12" s="242">
        <v>0.96819999999999995</v>
      </c>
      <c r="D12" s="242">
        <v>0.9415</v>
      </c>
      <c r="E12" s="242">
        <v>1.3016000000000001</v>
      </c>
      <c r="F12" s="242">
        <v>0.89439999999999997</v>
      </c>
      <c r="G12" s="242">
        <v>1.4202999999999999</v>
      </c>
      <c r="H12" s="242">
        <v>0.5615</v>
      </c>
      <c r="I12" s="242">
        <v>0</v>
      </c>
    </row>
    <row r="13" spans="1:9" ht="21" customHeight="1">
      <c r="A13" s="871" t="s">
        <v>34</v>
      </c>
      <c r="B13" s="872">
        <v>197151</v>
      </c>
      <c r="C13" s="241">
        <v>192255</v>
      </c>
      <c r="D13" s="241">
        <v>204713</v>
      </c>
      <c r="E13" s="241">
        <v>308408</v>
      </c>
      <c r="F13" s="241">
        <v>279470</v>
      </c>
      <c r="G13" s="241">
        <v>322748</v>
      </c>
      <c r="H13" s="241">
        <v>135516</v>
      </c>
      <c r="I13" s="241">
        <v>0</v>
      </c>
    </row>
    <row r="14" spans="1:9" ht="21" customHeight="1">
      <c r="A14" s="871"/>
      <c r="B14" s="872"/>
      <c r="C14" s="242">
        <v>0.97519999999999996</v>
      </c>
      <c r="D14" s="242">
        <v>1.0384</v>
      </c>
      <c r="E14" s="242">
        <v>1.5643</v>
      </c>
      <c r="F14" s="242">
        <v>1.4175</v>
      </c>
      <c r="G14" s="242">
        <v>1.6371</v>
      </c>
      <c r="H14" s="242">
        <v>0.68740000000000001</v>
      </c>
      <c r="I14" s="242">
        <v>0</v>
      </c>
    </row>
    <row r="15" spans="1:9" ht="21" customHeight="1">
      <c r="A15" s="871" t="s">
        <v>35</v>
      </c>
      <c r="B15" s="872">
        <v>197151</v>
      </c>
      <c r="C15" s="241">
        <v>247005</v>
      </c>
      <c r="D15" s="241">
        <v>186148</v>
      </c>
      <c r="E15" s="241">
        <v>269772</v>
      </c>
      <c r="F15" s="241">
        <v>302283</v>
      </c>
      <c r="G15" s="241">
        <v>362763</v>
      </c>
      <c r="H15" s="241">
        <v>148596</v>
      </c>
      <c r="I15" s="241">
        <v>0</v>
      </c>
    </row>
    <row r="16" spans="1:9" ht="21" customHeight="1">
      <c r="A16" s="871"/>
      <c r="B16" s="872"/>
      <c r="C16" s="242">
        <v>1.2528999999999999</v>
      </c>
      <c r="D16" s="242">
        <v>0.94420000000000004</v>
      </c>
      <c r="E16" s="242">
        <v>1.3684000000000001</v>
      </c>
      <c r="F16" s="242">
        <v>1.5333000000000001</v>
      </c>
      <c r="G16" s="242">
        <v>1.84</v>
      </c>
      <c r="H16" s="242">
        <v>0.75370000000000004</v>
      </c>
      <c r="I16" s="242">
        <v>0</v>
      </c>
    </row>
    <row r="17" spans="1:10" ht="21" customHeight="1">
      <c r="A17" s="871" t="s">
        <v>36</v>
      </c>
      <c r="B17" s="872">
        <v>246439</v>
      </c>
      <c r="C17" s="241">
        <v>187033</v>
      </c>
      <c r="D17" s="241">
        <v>156850</v>
      </c>
      <c r="E17" s="241">
        <v>294026</v>
      </c>
      <c r="F17" s="241">
        <v>205528</v>
      </c>
      <c r="G17" s="241">
        <v>287530</v>
      </c>
      <c r="H17" s="241">
        <v>125208</v>
      </c>
      <c r="I17" s="241">
        <v>0</v>
      </c>
    </row>
    <row r="18" spans="1:10" ht="21" customHeight="1">
      <c r="A18" s="871"/>
      <c r="B18" s="872"/>
      <c r="C18" s="242">
        <v>0.75890000000000002</v>
      </c>
      <c r="D18" s="242">
        <v>0.63649999999999995</v>
      </c>
      <c r="E18" s="242">
        <v>1.1931</v>
      </c>
      <c r="F18" s="242">
        <v>0.83399999999999996</v>
      </c>
      <c r="G18" s="242">
        <v>1.1667000000000001</v>
      </c>
      <c r="H18" s="242">
        <v>0.5081</v>
      </c>
      <c r="I18" s="242">
        <v>0</v>
      </c>
    </row>
    <row r="19" spans="1:10" ht="21" customHeight="1">
      <c r="A19" s="871" t="s">
        <v>147</v>
      </c>
      <c r="B19" s="872">
        <v>246439</v>
      </c>
      <c r="C19" s="241">
        <v>236500</v>
      </c>
      <c r="D19" s="241">
        <v>293290</v>
      </c>
      <c r="E19" s="241">
        <v>197823</v>
      </c>
      <c r="F19" s="241">
        <v>222968</v>
      </c>
      <c r="G19" s="241">
        <v>331241</v>
      </c>
      <c r="H19" s="241">
        <v>133573</v>
      </c>
      <c r="I19" s="241">
        <v>0</v>
      </c>
    </row>
    <row r="20" spans="1:10" ht="21" customHeight="1">
      <c r="A20" s="871"/>
      <c r="B20" s="872"/>
      <c r="C20" s="242">
        <v>0.9597</v>
      </c>
      <c r="D20" s="242">
        <v>1.1900999999999999</v>
      </c>
      <c r="E20" s="242">
        <v>0.80269999999999997</v>
      </c>
      <c r="F20" s="242">
        <v>0.90480000000000005</v>
      </c>
      <c r="G20" s="242">
        <v>1.3441000000000001</v>
      </c>
      <c r="H20" s="242">
        <v>0.54200000000000004</v>
      </c>
      <c r="I20" s="242">
        <v>0</v>
      </c>
    </row>
    <row r="21" spans="1:10" ht="21" customHeight="1">
      <c r="A21" s="871" t="s">
        <v>38</v>
      </c>
      <c r="B21" s="872">
        <v>320370</v>
      </c>
      <c r="C21" s="241">
        <v>234683</v>
      </c>
      <c r="D21" s="241">
        <v>197950</v>
      </c>
      <c r="E21" s="241">
        <v>213546</v>
      </c>
      <c r="F21" s="241">
        <v>249020</v>
      </c>
      <c r="G21" s="241">
        <v>450795</v>
      </c>
      <c r="H21" s="241">
        <v>136293</v>
      </c>
      <c r="I21" s="241">
        <v>0</v>
      </c>
    </row>
    <row r="22" spans="1:10" ht="21" customHeight="1">
      <c r="A22" s="871"/>
      <c r="B22" s="872"/>
      <c r="C22" s="242">
        <v>0.73250000000000004</v>
      </c>
      <c r="D22" s="242">
        <v>0.6179</v>
      </c>
      <c r="E22" s="242">
        <v>0.66659999999999997</v>
      </c>
      <c r="F22" s="242">
        <v>0.77729999999999999</v>
      </c>
      <c r="G22" s="242">
        <v>1.4071</v>
      </c>
      <c r="H22" s="242">
        <v>0.4254</v>
      </c>
      <c r="I22" s="242">
        <v>0</v>
      </c>
    </row>
    <row r="23" spans="1:10" ht="21" customHeight="1">
      <c r="A23" s="871" t="s">
        <v>39</v>
      </c>
      <c r="B23" s="872">
        <v>246439</v>
      </c>
      <c r="C23" s="241">
        <v>176317</v>
      </c>
      <c r="D23" s="241">
        <v>231565</v>
      </c>
      <c r="E23" s="241">
        <v>267003</v>
      </c>
      <c r="F23" s="241">
        <v>260103</v>
      </c>
      <c r="G23" s="241">
        <v>333106</v>
      </c>
      <c r="H23" s="241">
        <v>220748</v>
      </c>
      <c r="I23" s="241">
        <v>0</v>
      </c>
    </row>
    <row r="24" spans="1:10" ht="21" customHeight="1">
      <c r="A24" s="871"/>
      <c r="B24" s="872"/>
      <c r="C24" s="242">
        <v>0.71550000000000002</v>
      </c>
      <c r="D24" s="242">
        <v>0.93959999999999999</v>
      </c>
      <c r="E24" s="242">
        <v>1.0833999999999999</v>
      </c>
      <c r="F24" s="242">
        <v>1.0553999999999999</v>
      </c>
      <c r="G24" s="242">
        <v>1.3516999999999999</v>
      </c>
      <c r="H24" s="242">
        <v>0.89570000000000005</v>
      </c>
      <c r="I24" s="242">
        <v>0</v>
      </c>
    </row>
    <row r="25" spans="1:10" ht="21" customHeight="1">
      <c r="A25" s="871" t="s">
        <v>40</v>
      </c>
      <c r="B25" s="872">
        <v>320370</v>
      </c>
      <c r="C25" s="241">
        <v>283835</v>
      </c>
      <c r="D25" s="241">
        <v>312370</v>
      </c>
      <c r="E25" s="241">
        <v>388308</v>
      </c>
      <c r="F25" s="241">
        <v>336158</v>
      </c>
      <c r="G25" s="241">
        <v>418530</v>
      </c>
      <c r="H25" s="241">
        <v>235663</v>
      </c>
      <c r="I25" s="241">
        <v>0</v>
      </c>
    </row>
    <row r="26" spans="1:10" ht="21" customHeight="1">
      <c r="A26" s="871"/>
      <c r="B26" s="872"/>
      <c r="C26" s="242">
        <v>0.88600000000000001</v>
      </c>
      <c r="D26" s="242">
        <v>0.97499999999999998</v>
      </c>
      <c r="E26" s="242">
        <v>1.2121</v>
      </c>
      <c r="F26" s="242">
        <v>1.0492999999999999</v>
      </c>
      <c r="G26" s="242">
        <v>1.3064</v>
      </c>
      <c r="H26" s="242">
        <v>0.73560000000000003</v>
      </c>
      <c r="I26" s="242">
        <v>0</v>
      </c>
    </row>
    <row r="27" spans="1:10" ht="21" customHeight="1">
      <c r="A27" s="870" t="s">
        <v>148</v>
      </c>
      <c r="B27" s="870"/>
      <c r="C27" s="244">
        <v>119037</v>
      </c>
      <c r="D27" s="244">
        <v>120754</v>
      </c>
      <c r="E27" s="244">
        <v>143893</v>
      </c>
      <c r="F27" s="244">
        <v>135640</v>
      </c>
      <c r="G27" s="244">
        <v>177709</v>
      </c>
      <c r="H27" s="244">
        <v>81096</v>
      </c>
      <c r="I27" s="244">
        <v>0</v>
      </c>
    </row>
    <row r="29" spans="1:10" ht="49.25" customHeight="1">
      <c r="B29" s="245"/>
      <c r="C29" s="246" t="s">
        <v>149</v>
      </c>
      <c r="D29" s="246" t="s">
        <v>150</v>
      </c>
      <c r="E29" s="246" t="s">
        <v>151</v>
      </c>
      <c r="F29" s="246" t="s">
        <v>152</v>
      </c>
      <c r="G29" s="246" t="s">
        <v>153</v>
      </c>
      <c r="H29" s="247" t="s">
        <v>154</v>
      </c>
      <c r="I29" s="246" t="s">
        <v>155</v>
      </c>
      <c r="J29" s="246" t="s">
        <v>156</v>
      </c>
    </row>
    <row r="30" spans="1:10" ht="49.25" customHeight="1">
      <c r="B30" s="248" t="s">
        <v>157</v>
      </c>
      <c r="C30" s="249">
        <f>AVERAGEA(C40,C50,C60,C70,C80,C90,C100,C110,C120,C130,C140,C150)</f>
        <v>248567.91666666666</v>
      </c>
      <c r="D30" s="250">
        <f>AVERAGE(D40,D50,D60,D70,D80,D90,D100,D110,D120,D130,D140,D150)</f>
        <v>1.0313749999999999</v>
      </c>
      <c r="E30" s="249">
        <f t="shared" ref="E30:J30" si="0">AVERAGEA(E40,E50,E60,E70,E80,E90,E100,E110,E120,E130,E140,E150)</f>
        <v>82783.166666666672</v>
      </c>
      <c r="F30" s="249">
        <f t="shared" si="0"/>
        <v>165784.75</v>
      </c>
      <c r="G30" s="249">
        <f t="shared" si="0"/>
        <v>1275.1666666666667</v>
      </c>
      <c r="H30" s="251">
        <f t="shared" si="0"/>
        <v>6274.416666666667</v>
      </c>
      <c r="I30" s="252">
        <f t="shared" si="0"/>
        <v>66.678333333333327</v>
      </c>
      <c r="J30" s="252">
        <f t="shared" si="0"/>
        <v>27.490000000000006</v>
      </c>
    </row>
    <row r="32" spans="1:10" ht="21" customHeight="1">
      <c r="B32" s="253" t="s">
        <v>158</v>
      </c>
      <c r="C32" s="246" t="s">
        <v>149</v>
      </c>
      <c r="D32" s="246" t="s">
        <v>150</v>
      </c>
      <c r="E32" s="246" t="s">
        <v>151</v>
      </c>
      <c r="F32" s="246" t="s">
        <v>152</v>
      </c>
      <c r="G32" s="246" t="s">
        <v>153</v>
      </c>
      <c r="H32" s="246" t="s">
        <v>154</v>
      </c>
      <c r="I32" s="246" t="s">
        <v>155</v>
      </c>
      <c r="J32" s="246" t="s">
        <v>156</v>
      </c>
    </row>
    <row r="33" spans="2:10" ht="21" customHeight="1">
      <c r="B33" s="240" t="s">
        <v>141</v>
      </c>
      <c r="C33" s="254">
        <v>253025</v>
      </c>
      <c r="D33" s="242">
        <v>1.1408</v>
      </c>
      <c r="E33" s="254">
        <v>56650</v>
      </c>
      <c r="F33" s="254">
        <v>196375</v>
      </c>
      <c r="G33" s="254">
        <v>912</v>
      </c>
      <c r="H33" s="254">
        <v>6139</v>
      </c>
      <c r="I33" s="240">
        <v>46.75</v>
      </c>
      <c r="J33" s="240">
        <v>32.75</v>
      </c>
    </row>
    <row r="34" spans="2:10" ht="21" customHeight="1">
      <c r="B34" s="240" t="s">
        <v>142</v>
      </c>
      <c r="C34" s="254">
        <v>214411</v>
      </c>
      <c r="D34" s="242">
        <v>0.9667</v>
      </c>
      <c r="E34" s="254">
        <v>77175</v>
      </c>
      <c r="F34" s="254">
        <v>137236</v>
      </c>
      <c r="G34" s="254">
        <v>1139</v>
      </c>
      <c r="H34" s="254">
        <v>8042</v>
      </c>
      <c r="I34" s="240">
        <v>67.5</v>
      </c>
      <c r="J34" s="240">
        <v>18</v>
      </c>
    </row>
    <row r="35" spans="2:10" ht="21" customHeight="1">
      <c r="B35" s="240" t="s">
        <v>143</v>
      </c>
      <c r="C35" s="254">
        <v>241500</v>
      </c>
      <c r="D35" s="242">
        <v>1.0888</v>
      </c>
      <c r="E35" s="254">
        <v>72175</v>
      </c>
      <c r="F35" s="254">
        <v>169325</v>
      </c>
      <c r="G35" s="254">
        <v>1210</v>
      </c>
      <c r="H35" s="254">
        <v>6137</v>
      </c>
      <c r="I35" s="240">
        <v>59.75</v>
      </c>
      <c r="J35" s="240">
        <v>27.25</v>
      </c>
    </row>
    <row r="36" spans="2:10" ht="21" customHeight="1">
      <c r="B36" s="240" t="s">
        <v>144</v>
      </c>
      <c r="C36" s="254">
        <v>223707</v>
      </c>
      <c r="D36" s="242">
        <v>1.0085999999999999</v>
      </c>
      <c r="E36" s="254">
        <v>89083</v>
      </c>
      <c r="F36" s="254">
        <v>134623</v>
      </c>
      <c r="G36" s="254">
        <v>1186</v>
      </c>
      <c r="H36" s="254">
        <v>6400</v>
      </c>
      <c r="I36" s="240">
        <v>74.67</v>
      </c>
      <c r="J36" s="240">
        <v>21</v>
      </c>
    </row>
    <row r="37" spans="2:10" ht="21" customHeight="1">
      <c r="B37" s="240" t="s">
        <v>145</v>
      </c>
      <c r="C37" s="254">
        <v>292928</v>
      </c>
      <c r="D37" s="242">
        <v>1.3207</v>
      </c>
      <c r="E37" s="254">
        <v>88388</v>
      </c>
      <c r="F37" s="254">
        <v>204540</v>
      </c>
      <c r="G37" s="254">
        <v>1202</v>
      </c>
      <c r="H37" s="254">
        <v>6032</v>
      </c>
      <c r="I37" s="240">
        <v>73.75</v>
      </c>
      <c r="J37" s="240">
        <v>35</v>
      </c>
    </row>
    <row r="38" spans="2:10" ht="21" customHeight="1">
      <c r="B38" s="240" t="s">
        <v>146</v>
      </c>
      <c r="C38" s="254">
        <v>101267</v>
      </c>
      <c r="D38" s="242">
        <v>0.45660000000000001</v>
      </c>
      <c r="E38" s="254">
        <v>32417</v>
      </c>
      <c r="F38" s="254">
        <v>68850</v>
      </c>
      <c r="G38" s="254">
        <v>1386</v>
      </c>
      <c r="H38" s="254">
        <v>4965</v>
      </c>
      <c r="I38" s="240">
        <v>23.33</v>
      </c>
      <c r="J38" s="240">
        <v>14.67</v>
      </c>
    </row>
    <row r="39" spans="2:10" ht="21" customHeight="1">
      <c r="B39" s="240" t="s">
        <v>58</v>
      </c>
      <c r="C39" s="254">
        <v>0</v>
      </c>
      <c r="D39" s="242">
        <v>0</v>
      </c>
      <c r="E39" s="254">
        <v>0</v>
      </c>
      <c r="F39" s="254">
        <v>0</v>
      </c>
      <c r="G39" s="254">
        <v>0</v>
      </c>
      <c r="H39" s="254">
        <v>0</v>
      </c>
      <c r="I39" s="240">
        <v>0</v>
      </c>
      <c r="J39" s="240">
        <v>0</v>
      </c>
    </row>
    <row r="40" spans="2:10" ht="21" customHeight="1">
      <c r="B40" s="240" t="s">
        <v>159</v>
      </c>
      <c r="C40" s="255">
        <v>221139</v>
      </c>
      <c r="D40" s="256">
        <v>0.997</v>
      </c>
      <c r="E40" s="255">
        <v>69315</v>
      </c>
      <c r="F40" s="255">
        <v>151825</v>
      </c>
      <c r="G40" s="255">
        <v>1173</v>
      </c>
      <c r="H40" s="255">
        <v>6286</v>
      </c>
      <c r="I40" s="257">
        <v>57.63</v>
      </c>
      <c r="J40" s="257">
        <v>24.78</v>
      </c>
    </row>
    <row r="42" spans="2:10" ht="21" customHeight="1">
      <c r="B42" s="258" t="s">
        <v>160</v>
      </c>
      <c r="C42" s="246" t="s">
        <v>149</v>
      </c>
      <c r="D42" s="246" t="s">
        <v>150</v>
      </c>
      <c r="E42" s="246" t="s">
        <v>151</v>
      </c>
      <c r="F42" s="246" t="s">
        <v>152</v>
      </c>
      <c r="G42" s="246" t="s">
        <v>153</v>
      </c>
      <c r="H42" s="246" t="s">
        <v>154</v>
      </c>
      <c r="I42" s="246" t="s">
        <v>155</v>
      </c>
      <c r="J42" s="246" t="s">
        <v>156</v>
      </c>
    </row>
    <row r="43" spans="2:10" ht="21" customHeight="1">
      <c r="B43" s="240" t="s">
        <v>141</v>
      </c>
      <c r="C43" s="254">
        <v>231250</v>
      </c>
      <c r="D43" s="242">
        <v>1.1040000000000001</v>
      </c>
      <c r="E43" s="254">
        <v>93067</v>
      </c>
      <c r="F43" s="254">
        <v>138183</v>
      </c>
      <c r="G43" s="254">
        <v>1409</v>
      </c>
      <c r="H43" s="254">
        <v>8227</v>
      </c>
      <c r="I43" s="240">
        <v>65.67</v>
      </c>
      <c r="J43" s="240">
        <v>18</v>
      </c>
    </row>
    <row r="44" spans="2:10" ht="21" customHeight="1">
      <c r="B44" s="240" t="s">
        <v>142</v>
      </c>
      <c r="C44" s="254">
        <v>214245</v>
      </c>
      <c r="D44" s="242">
        <v>1.0227999999999999</v>
      </c>
      <c r="E44" s="254">
        <v>72038</v>
      </c>
      <c r="F44" s="254">
        <v>142208</v>
      </c>
      <c r="G44" s="254">
        <v>1120</v>
      </c>
      <c r="H44" s="254">
        <v>6162</v>
      </c>
      <c r="I44" s="240">
        <v>64.25</v>
      </c>
      <c r="J44" s="240">
        <v>23</v>
      </c>
    </row>
    <row r="45" spans="2:10" ht="21" customHeight="1">
      <c r="B45" s="240" t="s">
        <v>143</v>
      </c>
      <c r="C45" s="254">
        <v>221718</v>
      </c>
      <c r="D45" s="242">
        <v>1.0585</v>
      </c>
      <c r="E45" s="254">
        <v>82825</v>
      </c>
      <c r="F45" s="254">
        <v>138893</v>
      </c>
      <c r="G45" s="254">
        <v>1176</v>
      </c>
      <c r="H45" s="254">
        <v>5740</v>
      </c>
      <c r="I45" s="240">
        <v>70.5</v>
      </c>
      <c r="J45" s="240">
        <v>23.5</v>
      </c>
    </row>
    <row r="46" spans="2:10" ht="21" customHeight="1">
      <c r="B46" s="240" t="s">
        <v>144</v>
      </c>
      <c r="C46" s="254">
        <v>233396</v>
      </c>
      <c r="D46" s="242">
        <v>1.1142000000000001</v>
      </c>
      <c r="E46" s="254">
        <v>83440</v>
      </c>
      <c r="F46" s="254">
        <v>149956</v>
      </c>
      <c r="G46" s="254">
        <v>1248</v>
      </c>
      <c r="H46" s="254">
        <v>6151</v>
      </c>
      <c r="I46" s="240">
        <v>67</v>
      </c>
      <c r="J46" s="240">
        <v>25</v>
      </c>
    </row>
    <row r="47" spans="2:10" ht="21" customHeight="1">
      <c r="B47" s="240" t="s">
        <v>145</v>
      </c>
      <c r="C47" s="254">
        <v>283893</v>
      </c>
      <c r="D47" s="242">
        <v>1.3552999999999999</v>
      </c>
      <c r="E47" s="254">
        <v>75933</v>
      </c>
      <c r="F47" s="254">
        <v>207960</v>
      </c>
      <c r="G47" s="254">
        <v>1170</v>
      </c>
      <c r="H47" s="254">
        <v>5696</v>
      </c>
      <c r="I47" s="240">
        <v>65.33</v>
      </c>
      <c r="J47" s="240">
        <v>37</v>
      </c>
    </row>
    <row r="48" spans="2:10" ht="21" customHeight="1">
      <c r="B48" s="240" t="s">
        <v>146</v>
      </c>
      <c r="C48" s="254">
        <v>136393</v>
      </c>
      <c r="D48" s="242">
        <v>0.65110000000000001</v>
      </c>
      <c r="E48" s="254">
        <v>45750</v>
      </c>
      <c r="F48" s="254">
        <v>90643</v>
      </c>
      <c r="G48" s="254">
        <v>1618</v>
      </c>
      <c r="H48" s="254">
        <v>5237</v>
      </c>
      <c r="I48" s="240">
        <v>28.25</v>
      </c>
      <c r="J48" s="240">
        <v>18</v>
      </c>
    </row>
    <row r="49" spans="2:10" ht="21" customHeight="1">
      <c r="B49" s="240" t="s">
        <v>58</v>
      </c>
      <c r="C49" s="254">
        <v>0</v>
      </c>
      <c r="D49" s="242">
        <v>0</v>
      </c>
      <c r="E49" s="254">
        <v>0</v>
      </c>
      <c r="F49" s="254">
        <v>0</v>
      </c>
      <c r="G49" s="254">
        <v>0</v>
      </c>
      <c r="H49" s="254">
        <v>0</v>
      </c>
      <c r="I49" s="240">
        <v>0</v>
      </c>
      <c r="J49" s="240">
        <v>0</v>
      </c>
    </row>
    <row r="50" spans="2:10" ht="21" customHeight="1">
      <c r="B50" s="240" t="s">
        <v>161</v>
      </c>
      <c r="C50" s="255">
        <v>220149</v>
      </c>
      <c r="D50" s="256">
        <v>1.0509999999999999</v>
      </c>
      <c r="E50" s="255">
        <v>75509</v>
      </c>
      <c r="F50" s="255">
        <v>144640</v>
      </c>
      <c r="G50" s="255">
        <v>1290</v>
      </c>
      <c r="H50" s="255">
        <v>6202</v>
      </c>
      <c r="I50" s="257">
        <v>60.17</v>
      </c>
      <c r="J50" s="257">
        <v>24.08</v>
      </c>
    </row>
    <row r="52" spans="2:10" ht="21" customHeight="1">
      <c r="B52" s="258" t="s">
        <v>162</v>
      </c>
      <c r="C52" s="246" t="s">
        <v>149</v>
      </c>
      <c r="D52" s="246" t="s">
        <v>150</v>
      </c>
      <c r="E52" s="246" t="s">
        <v>151</v>
      </c>
      <c r="F52" s="246" t="s">
        <v>152</v>
      </c>
      <c r="G52" s="246" t="s">
        <v>153</v>
      </c>
      <c r="H52" s="246" t="s">
        <v>154</v>
      </c>
      <c r="I52" s="246" t="s">
        <v>155</v>
      </c>
      <c r="J52" s="246" t="s">
        <v>156</v>
      </c>
    </row>
    <row r="53" spans="2:10" ht="21" customHeight="1">
      <c r="B53" s="240" t="s">
        <v>141</v>
      </c>
      <c r="C53" s="254">
        <v>228963</v>
      </c>
      <c r="D53" s="242">
        <v>1.1364000000000001</v>
      </c>
      <c r="E53" s="254">
        <v>85213</v>
      </c>
      <c r="F53" s="254">
        <v>143750</v>
      </c>
      <c r="G53" s="254">
        <v>1170</v>
      </c>
      <c r="H53" s="254">
        <v>15751</v>
      </c>
      <c r="I53" s="240">
        <v>72.5</v>
      </c>
      <c r="J53" s="240">
        <v>15.75</v>
      </c>
    </row>
    <row r="54" spans="2:10" ht="21" customHeight="1">
      <c r="B54" s="240" t="s">
        <v>142</v>
      </c>
      <c r="C54" s="254">
        <v>263968</v>
      </c>
      <c r="D54" s="242">
        <v>0.95909999999999995</v>
      </c>
      <c r="E54" s="254">
        <v>72725</v>
      </c>
      <c r="F54" s="254">
        <v>191243</v>
      </c>
      <c r="G54" s="254">
        <v>1234</v>
      </c>
      <c r="H54" s="254">
        <v>6263</v>
      </c>
      <c r="I54" s="240">
        <v>59.5</v>
      </c>
      <c r="J54" s="240">
        <v>30.5</v>
      </c>
    </row>
    <row r="55" spans="2:10" ht="21" customHeight="1">
      <c r="B55" s="240" t="s">
        <v>143</v>
      </c>
      <c r="C55" s="254">
        <v>293950</v>
      </c>
      <c r="D55" s="242">
        <v>1.0192000000000001</v>
      </c>
      <c r="E55" s="254">
        <v>86700</v>
      </c>
      <c r="F55" s="254">
        <v>207250</v>
      </c>
      <c r="G55" s="254">
        <v>1230</v>
      </c>
      <c r="H55" s="254">
        <v>5874</v>
      </c>
      <c r="I55" s="240">
        <v>70</v>
      </c>
      <c r="J55" s="240">
        <v>36.33</v>
      </c>
    </row>
    <row r="56" spans="2:10" ht="21" customHeight="1">
      <c r="B56" s="240" t="s">
        <v>144</v>
      </c>
      <c r="C56" s="254">
        <v>308608</v>
      </c>
      <c r="D56" s="242">
        <v>0.82909999999999995</v>
      </c>
      <c r="E56" s="254">
        <v>94525</v>
      </c>
      <c r="F56" s="254">
        <v>214083</v>
      </c>
      <c r="G56" s="254">
        <v>1189</v>
      </c>
      <c r="H56" s="254">
        <v>6220</v>
      </c>
      <c r="I56" s="240">
        <v>79.5</v>
      </c>
      <c r="J56" s="240">
        <v>36</v>
      </c>
    </row>
    <row r="57" spans="2:10" ht="21" customHeight="1">
      <c r="B57" s="240" t="s">
        <v>145</v>
      </c>
      <c r="C57" s="254">
        <v>322626</v>
      </c>
      <c r="D57" s="242">
        <v>0.77280000000000004</v>
      </c>
      <c r="E57" s="254">
        <v>93650</v>
      </c>
      <c r="F57" s="254">
        <v>228976</v>
      </c>
      <c r="G57" s="254">
        <v>1237</v>
      </c>
      <c r="H57" s="254">
        <v>5940</v>
      </c>
      <c r="I57" s="240">
        <v>76.2</v>
      </c>
      <c r="J57" s="240">
        <v>38.6</v>
      </c>
    </row>
    <row r="58" spans="2:10" ht="21" customHeight="1">
      <c r="B58" s="240" t="s">
        <v>146</v>
      </c>
      <c r="C58" s="254">
        <v>151896</v>
      </c>
      <c r="D58" s="242">
        <v>1.7049000000000001</v>
      </c>
      <c r="E58" s="254">
        <v>41290</v>
      </c>
      <c r="F58" s="254">
        <v>110606</v>
      </c>
      <c r="G58" s="254">
        <v>1328</v>
      </c>
      <c r="H58" s="254">
        <v>5094</v>
      </c>
      <c r="I58" s="240">
        <v>31.6</v>
      </c>
      <c r="J58" s="240">
        <v>21.4</v>
      </c>
    </row>
    <row r="59" spans="2:10" ht="21" customHeight="1">
      <c r="B59" s="240" t="s">
        <v>58</v>
      </c>
      <c r="C59" s="254">
        <v>0</v>
      </c>
      <c r="D59" s="242">
        <v>0</v>
      </c>
      <c r="E59" s="254">
        <v>0</v>
      </c>
      <c r="F59" s="254">
        <v>0</v>
      </c>
      <c r="G59" s="254">
        <v>0</v>
      </c>
      <c r="H59" s="254">
        <v>0</v>
      </c>
      <c r="I59" s="240">
        <v>0</v>
      </c>
      <c r="J59" s="240">
        <v>0</v>
      </c>
    </row>
    <row r="60" spans="2:10" ht="21" customHeight="1">
      <c r="B60" s="240" t="s">
        <v>163</v>
      </c>
      <c r="C60" s="255">
        <v>261668</v>
      </c>
      <c r="D60" s="256">
        <v>1.0703</v>
      </c>
      <c r="E60" s="255">
        <v>79017</v>
      </c>
      <c r="F60" s="255">
        <v>182651</v>
      </c>
      <c r="G60" s="255">
        <v>1231</v>
      </c>
      <c r="H60" s="255">
        <v>7524</v>
      </c>
      <c r="I60" s="257">
        <v>64.88</v>
      </c>
      <c r="J60" s="257">
        <v>29.76</v>
      </c>
    </row>
    <row r="62" spans="2:10" ht="21" customHeight="1">
      <c r="B62" s="258" t="s">
        <v>164</v>
      </c>
      <c r="C62" s="246" t="s">
        <v>149</v>
      </c>
      <c r="D62" s="246" t="s">
        <v>150</v>
      </c>
      <c r="E62" s="246" t="s">
        <v>151</v>
      </c>
      <c r="F62" s="246" t="s">
        <v>152</v>
      </c>
      <c r="G62" s="246" t="s">
        <v>153</v>
      </c>
      <c r="H62" s="246" t="s">
        <v>154</v>
      </c>
      <c r="I62" s="246" t="s">
        <v>155</v>
      </c>
      <c r="J62" s="246" t="s">
        <v>156</v>
      </c>
    </row>
    <row r="63" spans="2:10" ht="21" customHeight="1">
      <c r="B63" s="240" t="s">
        <v>141</v>
      </c>
      <c r="C63" s="254">
        <v>228365</v>
      </c>
      <c r="D63" s="242">
        <v>1.2275</v>
      </c>
      <c r="E63" s="254">
        <v>101325</v>
      </c>
      <c r="F63" s="254">
        <v>127040</v>
      </c>
      <c r="G63" s="254">
        <v>1166</v>
      </c>
      <c r="H63" s="254">
        <v>5011</v>
      </c>
      <c r="I63" s="240">
        <v>87.25</v>
      </c>
      <c r="J63" s="240">
        <v>23.75</v>
      </c>
    </row>
    <row r="64" spans="2:10" ht="21" customHeight="1">
      <c r="B64" s="240" t="s">
        <v>142</v>
      </c>
      <c r="C64" s="254">
        <v>269807</v>
      </c>
      <c r="D64" s="242">
        <v>0.97960000000000003</v>
      </c>
      <c r="E64" s="254">
        <v>90117</v>
      </c>
      <c r="F64" s="254">
        <v>179690</v>
      </c>
      <c r="G64" s="254">
        <v>1228</v>
      </c>
      <c r="H64" s="254">
        <v>5527</v>
      </c>
      <c r="I64" s="240">
        <v>72.8</v>
      </c>
      <c r="J64" s="240">
        <v>33.200000000000003</v>
      </c>
    </row>
    <row r="65" spans="2:10" ht="21" customHeight="1">
      <c r="B65" s="240" t="s">
        <v>143</v>
      </c>
      <c r="C65" s="254">
        <v>292710</v>
      </c>
      <c r="D65" s="242">
        <v>0.9587</v>
      </c>
      <c r="E65" s="254">
        <v>100858</v>
      </c>
      <c r="F65" s="254">
        <v>191853</v>
      </c>
      <c r="G65" s="254">
        <v>1179</v>
      </c>
      <c r="H65" s="254">
        <v>6188</v>
      </c>
      <c r="I65" s="240">
        <v>85.75</v>
      </c>
      <c r="J65" s="240">
        <v>31.25</v>
      </c>
    </row>
    <row r="66" spans="2:10" ht="21" customHeight="1">
      <c r="B66" s="240" t="s">
        <v>144</v>
      </c>
      <c r="C66" s="254">
        <v>278043</v>
      </c>
      <c r="D66" s="242">
        <v>1.0605</v>
      </c>
      <c r="E66" s="254">
        <v>95838</v>
      </c>
      <c r="F66" s="254">
        <v>182205</v>
      </c>
      <c r="G66" s="254">
        <v>1239</v>
      </c>
      <c r="H66" s="254">
        <v>6760</v>
      </c>
      <c r="I66" s="240">
        <v>77.25</v>
      </c>
      <c r="J66" s="240">
        <v>28</v>
      </c>
    </row>
    <row r="67" spans="2:10" ht="21" customHeight="1">
      <c r="B67" s="240" t="s">
        <v>145</v>
      </c>
      <c r="C67" s="254">
        <v>331130</v>
      </c>
      <c r="D67" s="242">
        <v>0.79830000000000001</v>
      </c>
      <c r="E67" s="254">
        <v>90775</v>
      </c>
      <c r="F67" s="254">
        <v>240355</v>
      </c>
      <c r="G67" s="254">
        <v>1164</v>
      </c>
      <c r="H67" s="254">
        <v>4958</v>
      </c>
      <c r="I67" s="240">
        <v>78</v>
      </c>
      <c r="J67" s="240">
        <v>48.75</v>
      </c>
    </row>
    <row r="68" spans="2:10" ht="21" customHeight="1">
      <c r="B68" s="240" t="s">
        <v>146</v>
      </c>
      <c r="C68" s="254">
        <v>201658</v>
      </c>
      <c r="D68" s="242">
        <v>1.7509999999999999</v>
      </c>
      <c r="E68" s="254">
        <v>85100</v>
      </c>
      <c r="F68" s="254">
        <v>116558</v>
      </c>
      <c r="G68" s="254">
        <v>2899</v>
      </c>
      <c r="H68" s="254">
        <v>5283</v>
      </c>
      <c r="I68" s="240">
        <v>25</v>
      </c>
      <c r="J68" s="240">
        <v>24.25</v>
      </c>
    </row>
    <row r="69" spans="2:10" ht="21" customHeight="1">
      <c r="B69" s="240" t="s">
        <v>58</v>
      </c>
      <c r="C69" s="254">
        <v>0</v>
      </c>
      <c r="D69" s="242">
        <v>0</v>
      </c>
      <c r="E69" s="254">
        <v>0</v>
      </c>
      <c r="F69" s="254">
        <v>0</v>
      </c>
      <c r="G69" s="254">
        <v>0</v>
      </c>
      <c r="H69" s="254">
        <v>0</v>
      </c>
      <c r="I69" s="240">
        <v>0</v>
      </c>
      <c r="J69" s="240">
        <v>0</v>
      </c>
    </row>
    <row r="70" spans="2:10" ht="21" customHeight="1">
      <c r="B70" s="240" t="s">
        <v>165</v>
      </c>
      <c r="C70" s="255">
        <v>266952</v>
      </c>
      <c r="D70" s="256">
        <v>1.1293</v>
      </c>
      <c r="E70" s="255">
        <v>94002</v>
      </c>
      <c r="F70" s="255">
        <v>172950</v>
      </c>
      <c r="G70" s="255">
        <v>1479</v>
      </c>
      <c r="H70" s="255">
        <v>5621</v>
      </c>
      <c r="I70" s="257">
        <v>71.010000000000005</v>
      </c>
      <c r="J70" s="257">
        <v>31.53</v>
      </c>
    </row>
    <row r="72" spans="2:10" ht="21" customHeight="1">
      <c r="B72" s="258" t="s">
        <v>166</v>
      </c>
      <c r="C72" s="246" t="s">
        <v>149</v>
      </c>
      <c r="D72" s="246" t="s">
        <v>150</v>
      </c>
      <c r="E72" s="246" t="s">
        <v>151</v>
      </c>
      <c r="F72" s="246" t="s">
        <v>152</v>
      </c>
      <c r="G72" s="246" t="s">
        <v>153</v>
      </c>
      <c r="H72" s="246" t="s">
        <v>154</v>
      </c>
      <c r="I72" s="246" t="s">
        <v>155</v>
      </c>
      <c r="J72" s="246" t="s">
        <v>156</v>
      </c>
    </row>
    <row r="73" spans="2:10" ht="21" customHeight="1">
      <c r="B73" s="240" t="s">
        <v>141</v>
      </c>
      <c r="C73" s="254">
        <v>238610</v>
      </c>
      <c r="D73" s="242">
        <v>0.96819999999999995</v>
      </c>
      <c r="E73" s="254">
        <v>78467</v>
      </c>
      <c r="F73" s="254">
        <v>160143</v>
      </c>
      <c r="G73" s="254">
        <v>1175</v>
      </c>
      <c r="H73" s="254">
        <v>4783</v>
      </c>
      <c r="I73" s="240">
        <v>67</v>
      </c>
      <c r="J73" s="240">
        <v>33.67</v>
      </c>
    </row>
    <row r="74" spans="2:10" ht="21" customHeight="1">
      <c r="B74" s="240" t="s">
        <v>142</v>
      </c>
      <c r="C74" s="254">
        <v>232011</v>
      </c>
      <c r="D74" s="242">
        <v>0.9415</v>
      </c>
      <c r="E74" s="254">
        <v>87338</v>
      </c>
      <c r="F74" s="254">
        <v>144674</v>
      </c>
      <c r="G74" s="254">
        <v>1195</v>
      </c>
      <c r="H74" s="254">
        <v>7723</v>
      </c>
      <c r="I74" s="240">
        <v>73.75</v>
      </c>
      <c r="J74" s="240">
        <v>19.25</v>
      </c>
    </row>
    <row r="75" spans="2:10" ht="21" customHeight="1">
      <c r="B75" s="240" t="s">
        <v>143</v>
      </c>
      <c r="C75" s="254">
        <v>320767</v>
      </c>
      <c r="D75" s="242">
        <v>1.3016000000000001</v>
      </c>
      <c r="E75" s="254">
        <v>97796</v>
      </c>
      <c r="F75" s="254">
        <v>222971</v>
      </c>
      <c r="G75" s="254">
        <v>1177</v>
      </c>
      <c r="H75" s="254">
        <v>6330</v>
      </c>
      <c r="I75" s="240">
        <v>82.6</v>
      </c>
      <c r="J75" s="240">
        <v>34.200000000000003</v>
      </c>
    </row>
    <row r="76" spans="2:10" ht="21" customHeight="1">
      <c r="B76" s="240" t="s">
        <v>144</v>
      </c>
      <c r="C76" s="254">
        <v>220418</v>
      </c>
      <c r="D76" s="242">
        <v>0.89439999999999997</v>
      </c>
      <c r="E76" s="254">
        <v>101310</v>
      </c>
      <c r="F76" s="254">
        <v>119108</v>
      </c>
      <c r="G76" s="254">
        <v>1283</v>
      </c>
      <c r="H76" s="254">
        <v>5355</v>
      </c>
      <c r="I76" s="240">
        <v>78.8</v>
      </c>
      <c r="J76" s="240">
        <v>20.6</v>
      </c>
    </row>
    <row r="77" spans="2:10" ht="21" customHeight="1">
      <c r="B77" s="240" t="s">
        <v>145</v>
      </c>
      <c r="C77" s="254">
        <v>350013</v>
      </c>
      <c r="D77" s="242">
        <v>1.4202999999999999</v>
      </c>
      <c r="E77" s="254">
        <v>98800</v>
      </c>
      <c r="F77" s="254">
        <v>251213</v>
      </c>
      <c r="G77" s="254">
        <v>1188</v>
      </c>
      <c r="H77" s="254">
        <v>5833</v>
      </c>
      <c r="I77" s="240">
        <v>83.25</v>
      </c>
      <c r="J77" s="240">
        <v>43.25</v>
      </c>
    </row>
    <row r="78" spans="2:10" ht="21" customHeight="1">
      <c r="B78" s="240" t="s">
        <v>146</v>
      </c>
      <c r="C78" s="254">
        <v>138387</v>
      </c>
      <c r="D78" s="242">
        <v>0.5615</v>
      </c>
      <c r="E78" s="254">
        <v>38933</v>
      </c>
      <c r="F78" s="254">
        <v>99453</v>
      </c>
      <c r="G78" s="254">
        <v>1347</v>
      </c>
      <c r="H78" s="254">
        <v>4630</v>
      </c>
      <c r="I78" s="240">
        <v>29.33</v>
      </c>
      <c r="J78" s="240">
        <v>21</v>
      </c>
    </row>
    <row r="79" spans="2:10" ht="21" customHeight="1">
      <c r="B79" s="240" t="s">
        <v>58</v>
      </c>
      <c r="C79" s="254">
        <v>0</v>
      </c>
      <c r="D79" s="242">
        <v>0</v>
      </c>
      <c r="E79" s="254">
        <v>0</v>
      </c>
      <c r="F79" s="254">
        <v>0</v>
      </c>
      <c r="G79" s="254">
        <v>0</v>
      </c>
      <c r="H79" s="254">
        <v>0</v>
      </c>
      <c r="I79" s="240">
        <v>0</v>
      </c>
      <c r="J79" s="240">
        <v>0</v>
      </c>
    </row>
    <row r="80" spans="2:10" ht="21" customHeight="1">
      <c r="B80" s="240" t="s">
        <v>167</v>
      </c>
      <c r="C80" s="255">
        <v>250034</v>
      </c>
      <c r="D80" s="256">
        <v>1.0145999999999999</v>
      </c>
      <c r="E80" s="255">
        <v>83774</v>
      </c>
      <c r="F80" s="255">
        <v>166260</v>
      </c>
      <c r="G80" s="255">
        <v>1228</v>
      </c>
      <c r="H80" s="255">
        <v>5776</v>
      </c>
      <c r="I80" s="257">
        <v>69.12</v>
      </c>
      <c r="J80" s="257">
        <v>28.66</v>
      </c>
    </row>
    <row r="82" spans="2:10" ht="21" customHeight="1">
      <c r="B82" s="258" t="s">
        <v>11</v>
      </c>
      <c r="C82" s="246" t="s">
        <v>149</v>
      </c>
      <c r="D82" s="246" t="s">
        <v>150</v>
      </c>
      <c r="E82" s="246" t="s">
        <v>151</v>
      </c>
      <c r="F82" s="246" t="s">
        <v>152</v>
      </c>
      <c r="G82" s="246" t="s">
        <v>153</v>
      </c>
      <c r="H82" s="246" t="s">
        <v>154</v>
      </c>
      <c r="I82" s="246" t="s">
        <v>155</v>
      </c>
      <c r="J82" s="246" t="s">
        <v>156</v>
      </c>
    </row>
    <row r="83" spans="2:10" ht="21" customHeight="1">
      <c r="B83" s="240" t="s">
        <v>141</v>
      </c>
      <c r="C83" s="254">
        <v>192255</v>
      </c>
      <c r="D83" s="242">
        <v>0.97519999999999996</v>
      </c>
      <c r="E83" s="254">
        <v>87488</v>
      </c>
      <c r="F83" s="254">
        <v>104768</v>
      </c>
      <c r="G83" s="254">
        <v>1181</v>
      </c>
      <c r="H83" s="254">
        <v>3966</v>
      </c>
      <c r="I83" s="240">
        <v>74.25</v>
      </c>
      <c r="J83" s="240">
        <v>22.5</v>
      </c>
    </row>
    <row r="84" spans="2:10" ht="21" customHeight="1">
      <c r="B84" s="240" t="s">
        <v>142</v>
      </c>
      <c r="C84" s="254">
        <v>204713</v>
      </c>
      <c r="D84" s="242">
        <v>1.0384</v>
      </c>
      <c r="E84" s="254">
        <v>83488</v>
      </c>
      <c r="F84" s="254">
        <v>121225</v>
      </c>
      <c r="G84" s="254">
        <v>1207</v>
      </c>
      <c r="H84" s="254">
        <v>5407</v>
      </c>
      <c r="I84" s="240">
        <v>68.75</v>
      </c>
      <c r="J84" s="240">
        <v>20.5</v>
      </c>
    </row>
    <row r="85" spans="2:10" ht="21" customHeight="1">
      <c r="B85" s="240" t="s">
        <v>143</v>
      </c>
      <c r="C85" s="254">
        <v>308408</v>
      </c>
      <c r="D85" s="242">
        <v>1.5643</v>
      </c>
      <c r="E85" s="254">
        <v>101950</v>
      </c>
      <c r="F85" s="254">
        <v>206458</v>
      </c>
      <c r="G85" s="254">
        <v>1197</v>
      </c>
      <c r="H85" s="254">
        <v>5331</v>
      </c>
      <c r="I85" s="240">
        <v>85</v>
      </c>
      <c r="J85" s="240">
        <v>38.75</v>
      </c>
    </row>
    <row r="86" spans="2:10" ht="21" customHeight="1">
      <c r="B86" s="240" t="s">
        <v>144</v>
      </c>
      <c r="C86" s="254">
        <v>279470</v>
      </c>
      <c r="D86" s="242">
        <v>1.4175</v>
      </c>
      <c r="E86" s="254">
        <v>106575</v>
      </c>
      <c r="F86" s="254">
        <v>172895</v>
      </c>
      <c r="G86" s="254">
        <v>1290</v>
      </c>
      <c r="H86" s="254">
        <v>6475</v>
      </c>
      <c r="I86" s="240">
        <v>83</v>
      </c>
      <c r="J86" s="240">
        <v>27.25</v>
      </c>
    </row>
    <row r="87" spans="2:10" ht="21" customHeight="1">
      <c r="B87" s="240" t="s">
        <v>145</v>
      </c>
      <c r="C87" s="254">
        <v>322748</v>
      </c>
      <c r="D87" s="242">
        <v>1.6371</v>
      </c>
      <c r="E87" s="254">
        <v>101988</v>
      </c>
      <c r="F87" s="254">
        <v>220760</v>
      </c>
      <c r="G87" s="254">
        <v>1152</v>
      </c>
      <c r="H87" s="254">
        <v>6221</v>
      </c>
      <c r="I87" s="240">
        <v>88.5</v>
      </c>
      <c r="J87" s="240">
        <v>35.25</v>
      </c>
    </row>
    <row r="88" spans="2:10" ht="21" customHeight="1">
      <c r="B88" s="240" t="s">
        <v>146</v>
      </c>
      <c r="C88" s="254">
        <v>135516</v>
      </c>
      <c r="D88" s="242">
        <v>0.68740000000000001</v>
      </c>
      <c r="E88" s="254">
        <v>29260</v>
      </c>
      <c r="F88" s="254">
        <v>106256</v>
      </c>
      <c r="G88" s="254">
        <v>1290</v>
      </c>
      <c r="H88" s="254">
        <v>5199</v>
      </c>
      <c r="I88" s="240">
        <v>22.8</v>
      </c>
      <c r="J88" s="240">
        <v>20.2</v>
      </c>
    </row>
    <row r="89" spans="2:10" ht="21" customHeight="1">
      <c r="B89" s="240" t="s">
        <v>58</v>
      </c>
      <c r="C89" s="254">
        <v>0</v>
      </c>
      <c r="D89" s="242">
        <v>0</v>
      </c>
      <c r="E89" s="254">
        <v>0</v>
      </c>
      <c r="F89" s="254">
        <v>0</v>
      </c>
      <c r="G89" s="254">
        <v>0</v>
      </c>
      <c r="H89" s="254">
        <v>0</v>
      </c>
      <c r="I89" s="240">
        <v>0</v>
      </c>
      <c r="J89" s="240">
        <v>0</v>
      </c>
    </row>
    <row r="90" spans="2:10" ht="21" customHeight="1">
      <c r="B90" s="240" t="s">
        <v>168</v>
      </c>
      <c r="C90" s="255">
        <v>240518</v>
      </c>
      <c r="D90" s="256">
        <v>1.22</v>
      </c>
      <c r="E90" s="255">
        <v>85125</v>
      </c>
      <c r="F90" s="255">
        <v>155394</v>
      </c>
      <c r="G90" s="255">
        <v>1219</v>
      </c>
      <c r="H90" s="255">
        <v>5433</v>
      </c>
      <c r="I90" s="257">
        <v>70.38</v>
      </c>
      <c r="J90" s="257">
        <v>27.41</v>
      </c>
    </row>
    <row r="92" spans="2:10" ht="21" customHeight="1">
      <c r="B92" s="258" t="s">
        <v>169</v>
      </c>
      <c r="C92" s="246" t="s">
        <v>149</v>
      </c>
      <c r="D92" s="246" t="s">
        <v>150</v>
      </c>
      <c r="E92" s="246" t="s">
        <v>151</v>
      </c>
      <c r="F92" s="246" t="s">
        <v>152</v>
      </c>
      <c r="G92" s="246" t="s">
        <v>153</v>
      </c>
      <c r="H92" s="246" t="s">
        <v>154</v>
      </c>
      <c r="I92" s="246" t="s">
        <v>155</v>
      </c>
      <c r="J92" s="246" t="s">
        <v>156</v>
      </c>
    </row>
    <row r="93" spans="2:10" ht="21" customHeight="1">
      <c r="B93" s="240" t="s">
        <v>141</v>
      </c>
      <c r="C93" s="254">
        <v>247005</v>
      </c>
      <c r="D93" s="242">
        <v>1.2528999999999999</v>
      </c>
      <c r="E93" s="254">
        <v>82375</v>
      </c>
      <c r="F93" s="254">
        <v>164630</v>
      </c>
      <c r="G93" s="254">
        <v>1175</v>
      </c>
      <c r="H93" s="254">
        <v>6747</v>
      </c>
      <c r="I93" s="240">
        <v>70</v>
      </c>
      <c r="J93" s="240">
        <v>25</v>
      </c>
    </row>
    <row r="94" spans="2:10" ht="21" customHeight="1">
      <c r="B94" s="240" t="s">
        <v>142</v>
      </c>
      <c r="C94" s="254">
        <v>186148</v>
      </c>
      <c r="D94" s="242">
        <v>0.94420000000000004</v>
      </c>
      <c r="E94" s="254">
        <v>85610</v>
      </c>
      <c r="F94" s="254">
        <v>100538</v>
      </c>
      <c r="G94" s="254">
        <v>1146</v>
      </c>
      <c r="H94" s="254">
        <v>6174</v>
      </c>
      <c r="I94" s="240">
        <v>74.599999999999994</v>
      </c>
      <c r="J94" s="240">
        <v>17.8</v>
      </c>
    </row>
    <row r="95" spans="2:10" ht="21" customHeight="1">
      <c r="B95" s="240" t="s">
        <v>143</v>
      </c>
      <c r="C95" s="254">
        <v>269772</v>
      </c>
      <c r="D95" s="242">
        <v>1.3684000000000001</v>
      </c>
      <c r="E95" s="254">
        <v>88530</v>
      </c>
      <c r="F95" s="254">
        <v>181242</v>
      </c>
      <c r="G95" s="254">
        <v>1269</v>
      </c>
      <c r="H95" s="254">
        <v>6091</v>
      </c>
      <c r="I95" s="240">
        <v>69.8</v>
      </c>
      <c r="J95" s="240">
        <v>30.6</v>
      </c>
    </row>
    <row r="96" spans="2:10" ht="21" customHeight="1">
      <c r="B96" s="240" t="s">
        <v>144</v>
      </c>
      <c r="C96" s="254">
        <v>302283</v>
      </c>
      <c r="D96" s="242">
        <v>1.5333000000000001</v>
      </c>
      <c r="E96" s="254">
        <v>93963</v>
      </c>
      <c r="F96" s="254">
        <v>208320</v>
      </c>
      <c r="G96" s="254">
        <v>1176</v>
      </c>
      <c r="H96" s="254">
        <v>6445</v>
      </c>
      <c r="I96" s="240">
        <v>80</v>
      </c>
      <c r="J96" s="240">
        <v>31.25</v>
      </c>
    </row>
    <row r="97" spans="2:10" ht="21" customHeight="1">
      <c r="B97" s="240" t="s">
        <v>145</v>
      </c>
      <c r="C97" s="254">
        <v>362763</v>
      </c>
      <c r="D97" s="242">
        <v>1.84</v>
      </c>
      <c r="E97" s="254">
        <v>94463</v>
      </c>
      <c r="F97" s="254">
        <v>268300</v>
      </c>
      <c r="G97" s="254">
        <v>1236</v>
      </c>
      <c r="H97" s="254">
        <v>6201</v>
      </c>
      <c r="I97" s="240">
        <v>76.5</v>
      </c>
      <c r="J97" s="240">
        <v>43.25</v>
      </c>
    </row>
    <row r="98" spans="2:10" ht="21" customHeight="1">
      <c r="B98" s="240" t="s">
        <v>146</v>
      </c>
      <c r="C98" s="254">
        <v>148596</v>
      </c>
      <c r="D98" s="242">
        <v>0.75370000000000004</v>
      </c>
      <c r="E98" s="254">
        <v>35513</v>
      </c>
      <c r="F98" s="254">
        <v>113084</v>
      </c>
      <c r="G98" s="254">
        <v>2019</v>
      </c>
      <c r="H98" s="254">
        <v>5156</v>
      </c>
      <c r="I98" s="240">
        <v>20.75</v>
      </c>
      <c r="J98" s="240">
        <v>21.5</v>
      </c>
    </row>
    <row r="99" spans="2:10" ht="21" customHeight="1">
      <c r="B99" s="240" t="s">
        <v>58</v>
      </c>
      <c r="C99" s="254">
        <v>0</v>
      </c>
      <c r="D99" s="242">
        <v>0</v>
      </c>
      <c r="E99" s="254">
        <v>0</v>
      </c>
      <c r="F99" s="254">
        <v>0</v>
      </c>
      <c r="G99" s="254">
        <v>0</v>
      </c>
      <c r="H99" s="254">
        <v>0</v>
      </c>
      <c r="I99" s="240">
        <v>0</v>
      </c>
      <c r="J99" s="240">
        <v>0</v>
      </c>
    </row>
    <row r="100" spans="2:10" ht="21" customHeight="1">
      <c r="B100" s="240" t="s">
        <v>170</v>
      </c>
      <c r="C100" s="255">
        <v>252761</v>
      </c>
      <c r="D100" s="256">
        <v>1.2821</v>
      </c>
      <c r="E100" s="255">
        <v>80075</v>
      </c>
      <c r="F100" s="255">
        <v>172686</v>
      </c>
      <c r="G100" s="255">
        <v>1337</v>
      </c>
      <c r="H100" s="255">
        <v>6136</v>
      </c>
      <c r="I100" s="257">
        <v>65.28</v>
      </c>
      <c r="J100" s="257">
        <v>28.23</v>
      </c>
    </row>
    <row r="102" spans="2:10" ht="21" customHeight="1">
      <c r="B102" s="258" t="s">
        <v>171</v>
      </c>
      <c r="C102" s="246" t="s">
        <v>149</v>
      </c>
      <c r="D102" s="246" t="s">
        <v>150</v>
      </c>
      <c r="E102" s="246" t="s">
        <v>151</v>
      </c>
      <c r="F102" s="246" t="s">
        <v>152</v>
      </c>
      <c r="G102" s="246" t="s">
        <v>153</v>
      </c>
      <c r="H102" s="246" t="s">
        <v>154</v>
      </c>
      <c r="I102" s="246" t="s">
        <v>155</v>
      </c>
      <c r="J102" s="246" t="s">
        <v>156</v>
      </c>
    </row>
    <row r="103" spans="2:10" ht="21" customHeight="1">
      <c r="B103" s="240" t="s">
        <v>141</v>
      </c>
      <c r="C103" s="254">
        <v>187033</v>
      </c>
      <c r="D103" s="242">
        <v>0.75890000000000002</v>
      </c>
      <c r="E103" s="254">
        <v>88750</v>
      </c>
      <c r="F103" s="254">
        <v>98283</v>
      </c>
      <c r="G103" s="254">
        <v>1163</v>
      </c>
      <c r="H103" s="254">
        <v>6249</v>
      </c>
      <c r="I103" s="240">
        <v>76.33</v>
      </c>
      <c r="J103" s="240">
        <v>16.670000000000002</v>
      </c>
    </row>
    <row r="104" spans="2:10" ht="21" customHeight="1">
      <c r="B104" s="240" t="s">
        <v>142</v>
      </c>
      <c r="C104" s="254">
        <v>156850</v>
      </c>
      <c r="D104" s="242">
        <v>0.63649999999999995</v>
      </c>
      <c r="E104" s="254">
        <v>88050</v>
      </c>
      <c r="F104" s="254">
        <v>68800</v>
      </c>
      <c r="G104" s="254">
        <v>1188</v>
      </c>
      <c r="H104" s="254">
        <v>4972</v>
      </c>
      <c r="I104" s="240">
        <v>74.67</v>
      </c>
      <c r="J104" s="240">
        <v>14.33</v>
      </c>
    </row>
    <row r="105" spans="2:10" ht="21" customHeight="1">
      <c r="B105" s="240" t="s">
        <v>143</v>
      </c>
      <c r="C105" s="254">
        <v>294026</v>
      </c>
      <c r="D105" s="242">
        <v>1.1931</v>
      </c>
      <c r="E105" s="254">
        <v>103533</v>
      </c>
      <c r="F105" s="254">
        <v>190493</v>
      </c>
      <c r="G105" s="254">
        <v>1286</v>
      </c>
      <c r="H105" s="254">
        <v>6727</v>
      </c>
      <c r="I105" s="240">
        <v>81.33</v>
      </c>
      <c r="J105" s="240">
        <v>27.67</v>
      </c>
    </row>
    <row r="106" spans="2:10" ht="21" customHeight="1">
      <c r="B106" s="240" t="s">
        <v>144</v>
      </c>
      <c r="C106" s="254">
        <v>205528</v>
      </c>
      <c r="D106" s="242">
        <v>0.83399999999999996</v>
      </c>
      <c r="E106" s="254">
        <v>97500</v>
      </c>
      <c r="F106" s="254">
        <v>108028</v>
      </c>
      <c r="G106" s="254">
        <v>1205</v>
      </c>
      <c r="H106" s="254">
        <v>5343</v>
      </c>
      <c r="I106" s="240">
        <v>81</v>
      </c>
      <c r="J106" s="240">
        <v>18.75</v>
      </c>
    </row>
    <row r="107" spans="2:10" ht="21" customHeight="1">
      <c r="B107" s="240" t="s">
        <v>145</v>
      </c>
      <c r="C107" s="254">
        <v>287530</v>
      </c>
      <c r="D107" s="242">
        <v>1.1667000000000001</v>
      </c>
      <c r="E107" s="254">
        <v>89875</v>
      </c>
      <c r="F107" s="254">
        <v>197655</v>
      </c>
      <c r="G107" s="254">
        <v>1244</v>
      </c>
      <c r="H107" s="254">
        <v>5466</v>
      </c>
      <c r="I107" s="240">
        <v>71.25</v>
      </c>
      <c r="J107" s="240">
        <v>35.5</v>
      </c>
    </row>
    <row r="108" spans="2:10" ht="21" customHeight="1">
      <c r="B108" s="240" t="s">
        <v>146</v>
      </c>
      <c r="C108" s="254">
        <v>125208</v>
      </c>
      <c r="D108" s="242">
        <v>0.5081</v>
      </c>
      <c r="E108" s="254">
        <v>37650</v>
      </c>
      <c r="F108" s="254">
        <v>87558</v>
      </c>
      <c r="G108" s="254">
        <v>1756</v>
      </c>
      <c r="H108" s="254">
        <v>4581</v>
      </c>
      <c r="I108" s="240">
        <v>21.2</v>
      </c>
      <c r="J108" s="240">
        <v>17.8</v>
      </c>
    </row>
    <row r="109" spans="2:10" ht="21" customHeight="1">
      <c r="B109" s="240" t="s">
        <v>58</v>
      </c>
      <c r="C109" s="254">
        <v>0</v>
      </c>
      <c r="D109" s="242">
        <v>0</v>
      </c>
      <c r="E109" s="254">
        <v>0</v>
      </c>
      <c r="F109" s="254">
        <v>0</v>
      </c>
      <c r="G109" s="254">
        <v>0</v>
      </c>
      <c r="H109" s="254">
        <v>0</v>
      </c>
      <c r="I109" s="240">
        <v>0</v>
      </c>
      <c r="J109" s="240">
        <v>0</v>
      </c>
    </row>
    <row r="110" spans="2:10" ht="21" customHeight="1">
      <c r="B110" s="240" t="s">
        <v>172</v>
      </c>
      <c r="C110" s="255">
        <v>209363</v>
      </c>
      <c r="D110" s="256">
        <v>0.84960000000000002</v>
      </c>
      <c r="E110" s="255">
        <v>84226</v>
      </c>
      <c r="F110" s="255">
        <v>125136</v>
      </c>
      <c r="G110" s="255">
        <v>1307</v>
      </c>
      <c r="H110" s="255">
        <v>5556</v>
      </c>
      <c r="I110" s="257">
        <v>67.63</v>
      </c>
      <c r="J110" s="257">
        <v>21.79</v>
      </c>
    </row>
    <row r="112" spans="2:10" ht="21" customHeight="1">
      <c r="B112" s="258" t="s">
        <v>173</v>
      </c>
      <c r="C112" s="246" t="s">
        <v>149</v>
      </c>
      <c r="D112" s="246" t="s">
        <v>150</v>
      </c>
      <c r="E112" s="246" t="s">
        <v>151</v>
      </c>
      <c r="F112" s="246" t="s">
        <v>152</v>
      </c>
      <c r="G112" s="246" t="s">
        <v>153</v>
      </c>
      <c r="H112" s="246" t="s">
        <v>154</v>
      </c>
      <c r="I112" s="246" t="s">
        <v>155</v>
      </c>
      <c r="J112" s="246" t="s">
        <v>156</v>
      </c>
    </row>
    <row r="113" spans="2:10" ht="21" customHeight="1">
      <c r="B113" s="240" t="s">
        <v>141</v>
      </c>
      <c r="C113" s="254">
        <v>236500</v>
      </c>
      <c r="D113" s="242">
        <v>0.9597</v>
      </c>
      <c r="E113" s="254">
        <v>106650</v>
      </c>
      <c r="F113" s="254">
        <v>129850</v>
      </c>
      <c r="G113" s="254">
        <v>1177</v>
      </c>
      <c r="H113" s="254">
        <v>7001</v>
      </c>
      <c r="I113" s="240">
        <v>90.67</v>
      </c>
      <c r="J113" s="240">
        <v>18.329999999999998</v>
      </c>
    </row>
    <row r="114" spans="2:10" ht="21" customHeight="1">
      <c r="B114" s="240" t="s">
        <v>142</v>
      </c>
      <c r="C114" s="254">
        <v>293290</v>
      </c>
      <c r="D114" s="242">
        <v>1.1900999999999999</v>
      </c>
      <c r="E114" s="254">
        <v>96038</v>
      </c>
      <c r="F114" s="254">
        <v>197253</v>
      </c>
      <c r="G114" s="254">
        <v>1198</v>
      </c>
      <c r="H114" s="254">
        <v>5537</v>
      </c>
      <c r="I114" s="240">
        <v>80.25</v>
      </c>
      <c r="J114" s="240">
        <v>34.75</v>
      </c>
    </row>
    <row r="115" spans="2:10" ht="21" customHeight="1">
      <c r="B115" s="240" t="s">
        <v>143</v>
      </c>
      <c r="C115" s="254">
        <v>197823</v>
      </c>
      <c r="D115" s="242">
        <v>0.80269999999999997</v>
      </c>
      <c r="E115" s="254">
        <v>99550</v>
      </c>
      <c r="F115" s="254">
        <v>98273</v>
      </c>
      <c r="G115" s="254">
        <v>1246</v>
      </c>
      <c r="H115" s="254">
        <v>5765</v>
      </c>
      <c r="I115" s="240">
        <v>80</v>
      </c>
      <c r="J115" s="240">
        <v>16</v>
      </c>
    </row>
    <row r="116" spans="2:10" ht="21" customHeight="1">
      <c r="B116" s="240" t="s">
        <v>144</v>
      </c>
      <c r="C116" s="254">
        <v>222968</v>
      </c>
      <c r="D116" s="242">
        <v>0.90480000000000005</v>
      </c>
      <c r="E116" s="254">
        <v>99575</v>
      </c>
      <c r="F116" s="254">
        <v>123393</v>
      </c>
      <c r="G116" s="254">
        <v>1206</v>
      </c>
      <c r="H116" s="254">
        <v>5373</v>
      </c>
      <c r="I116" s="240">
        <v>82.75</v>
      </c>
      <c r="J116" s="240">
        <v>23.25</v>
      </c>
    </row>
    <row r="117" spans="2:10" ht="21" customHeight="1">
      <c r="B117" s="240" t="s">
        <v>145</v>
      </c>
      <c r="C117" s="254">
        <v>331241</v>
      </c>
      <c r="D117" s="242">
        <v>1.3441000000000001</v>
      </c>
      <c r="E117" s="254">
        <v>91500</v>
      </c>
      <c r="F117" s="254">
        <v>239741</v>
      </c>
      <c r="G117" s="254">
        <v>1256</v>
      </c>
      <c r="H117" s="254">
        <v>6005</v>
      </c>
      <c r="I117" s="240">
        <v>71.75</v>
      </c>
      <c r="J117" s="240">
        <v>40.75</v>
      </c>
    </row>
    <row r="118" spans="2:10" ht="21" customHeight="1">
      <c r="B118" s="240" t="s">
        <v>146</v>
      </c>
      <c r="C118" s="254">
        <v>133573</v>
      </c>
      <c r="D118" s="242">
        <v>0.54200000000000004</v>
      </c>
      <c r="E118" s="254">
        <v>41963</v>
      </c>
      <c r="F118" s="254">
        <v>91610</v>
      </c>
      <c r="G118" s="254">
        <v>1395</v>
      </c>
      <c r="H118" s="254">
        <v>4418</v>
      </c>
      <c r="I118" s="240">
        <v>30.5</v>
      </c>
      <c r="J118" s="240">
        <v>20.75</v>
      </c>
    </row>
    <row r="119" spans="2:10" ht="21" customHeight="1">
      <c r="B119" s="240" t="s">
        <v>58</v>
      </c>
      <c r="C119" s="254">
        <v>0</v>
      </c>
      <c r="D119" s="242">
        <v>0</v>
      </c>
      <c r="E119" s="254">
        <v>0</v>
      </c>
      <c r="F119" s="254">
        <v>0</v>
      </c>
      <c r="G119" s="254">
        <v>0</v>
      </c>
      <c r="H119" s="254">
        <v>0</v>
      </c>
      <c r="I119" s="240">
        <v>0</v>
      </c>
      <c r="J119" s="240">
        <v>0</v>
      </c>
    </row>
    <row r="120" spans="2:10" ht="21" customHeight="1">
      <c r="B120" s="240" t="s">
        <v>174</v>
      </c>
      <c r="C120" s="255">
        <v>235899</v>
      </c>
      <c r="D120" s="256">
        <v>0.95720000000000005</v>
      </c>
      <c r="E120" s="255">
        <v>89213</v>
      </c>
      <c r="F120" s="255">
        <v>146686</v>
      </c>
      <c r="G120" s="255">
        <v>1246</v>
      </c>
      <c r="H120" s="255">
        <v>5683</v>
      </c>
      <c r="I120" s="257">
        <v>72.650000000000006</v>
      </c>
      <c r="J120" s="257">
        <v>25.64</v>
      </c>
    </row>
    <row r="122" spans="2:10" ht="21" customHeight="1">
      <c r="B122" s="258" t="s">
        <v>175</v>
      </c>
      <c r="C122" s="246" t="s">
        <v>149</v>
      </c>
      <c r="D122" s="246" t="s">
        <v>150</v>
      </c>
      <c r="E122" s="246" t="s">
        <v>151</v>
      </c>
      <c r="F122" s="246" t="s">
        <v>152</v>
      </c>
      <c r="G122" s="246" t="s">
        <v>153</v>
      </c>
      <c r="H122" s="246" t="s">
        <v>154</v>
      </c>
      <c r="I122" s="246" t="s">
        <v>155</v>
      </c>
      <c r="J122" s="246" t="s">
        <v>156</v>
      </c>
    </row>
    <row r="123" spans="2:10" ht="21" customHeight="1">
      <c r="B123" s="240" t="s">
        <v>141</v>
      </c>
      <c r="C123" s="254">
        <v>234683</v>
      </c>
      <c r="D123" s="242">
        <v>0.73250000000000004</v>
      </c>
      <c r="E123" s="254">
        <v>91567</v>
      </c>
      <c r="F123" s="254">
        <v>143117</v>
      </c>
      <c r="G123" s="254">
        <v>1180</v>
      </c>
      <c r="H123" s="254">
        <v>6004</v>
      </c>
      <c r="I123" s="240">
        <v>77.67</v>
      </c>
      <c r="J123" s="240">
        <v>23.67</v>
      </c>
    </row>
    <row r="124" spans="2:10" ht="21" customHeight="1">
      <c r="B124" s="240" t="s">
        <v>142</v>
      </c>
      <c r="C124" s="254">
        <v>197950</v>
      </c>
      <c r="D124" s="242">
        <v>0.6179</v>
      </c>
      <c r="E124" s="254">
        <v>87410</v>
      </c>
      <c r="F124" s="254">
        <v>110540</v>
      </c>
      <c r="G124" s="254">
        <v>1167</v>
      </c>
      <c r="H124" s="254">
        <v>4654</v>
      </c>
      <c r="I124" s="240">
        <v>74.599999999999994</v>
      </c>
      <c r="J124" s="240">
        <v>23.2</v>
      </c>
    </row>
    <row r="125" spans="2:10" ht="21" customHeight="1">
      <c r="B125" s="240" t="s">
        <v>143</v>
      </c>
      <c r="C125" s="254">
        <v>213546</v>
      </c>
      <c r="D125" s="242">
        <v>0.66659999999999997</v>
      </c>
      <c r="E125" s="254">
        <v>87980</v>
      </c>
      <c r="F125" s="254">
        <v>125566</v>
      </c>
      <c r="G125" s="254">
        <v>1231</v>
      </c>
      <c r="H125" s="254">
        <v>5432</v>
      </c>
      <c r="I125" s="240">
        <v>71.599999999999994</v>
      </c>
      <c r="J125" s="240">
        <v>24</v>
      </c>
    </row>
    <row r="126" spans="2:10" ht="21" customHeight="1">
      <c r="B126" s="240" t="s">
        <v>144</v>
      </c>
      <c r="C126" s="254">
        <v>249020</v>
      </c>
      <c r="D126" s="242">
        <v>0.77729999999999999</v>
      </c>
      <c r="E126" s="254">
        <v>86740</v>
      </c>
      <c r="F126" s="254">
        <v>162280</v>
      </c>
      <c r="G126" s="254">
        <v>1174</v>
      </c>
      <c r="H126" s="254">
        <v>6124</v>
      </c>
      <c r="I126" s="240">
        <v>73.2</v>
      </c>
      <c r="J126" s="240">
        <v>27.2</v>
      </c>
    </row>
    <row r="127" spans="2:10" ht="21" customHeight="1">
      <c r="B127" s="240" t="s">
        <v>145</v>
      </c>
      <c r="C127" s="254">
        <v>450795</v>
      </c>
      <c r="D127" s="242">
        <v>1.4071</v>
      </c>
      <c r="E127" s="254">
        <v>120225</v>
      </c>
      <c r="F127" s="254">
        <v>330570</v>
      </c>
      <c r="G127" s="254">
        <v>1552</v>
      </c>
      <c r="H127" s="254">
        <v>19922</v>
      </c>
      <c r="I127" s="240">
        <v>75.25</v>
      </c>
      <c r="J127" s="240">
        <v>24.75</v>
      </c>
    </row>
    <row r="128" spans="2:10" ht="21" customHeight="1">
      <c r="B128" s="240" t="s">
        <v>146</v>
      </c>
      <c r="C128" s="254">
        <v>136293</v>
      </c>
      <c r="D128" s="242">
        <v>0.4254</v>
      </c>
      <c r="E128" s="254">
        <v>34950</v>
      </c>
      <c r="F128" s="254">
        <v>101343</v>
      </c>
      <c r="G128" s="254">
        <v>1358</v>
      </c>
      <c r="H128" s="254">
        <v>4446</v>
      </c>
      <c r="I128" s="240">
        <v>26</v>
      </c>
      <c r="J128" s="240">
        <v>22.5</v>
      </c>
    </row>
    <row r="129" spans="2:10" ht="21" customHeight="1">
      <c r="B129" s="240" t="s">
        <v>58</v>
      </c>
      <c r="C129" s="254">
        <v>0</v>
      </c>
      <c r="D129" s="242">
        <v>0</v>
      </c>
      <c r="E129" s="254">
        <v>0</v>
      </c>
      <c r="F129" s="254">
        <v>0</v>
      </c>
      <c r="G129" s="254">
        <v>0</v>
      </c>
      <c r="H129" s="254">
        <v>0</v>
      </c>
      <c r="I129" s="240">
        <v>0</v>
      </c>
      <c r="J129" s="240">
        <v>0</v>
      </c>
    </row>
    <row r="130" spans="2:10" ht="21" customHeight="1">
      <c r="B130" s="240" t="s">
        <v>176</v>
      </c>
      <c r="C130" s="255">
        <v>247048</v>
      </c>
      <c r="D130" s="256">
        <v>0.77110000000000001</v>
      </c>
      <c r="E130" s="255">
        <v>84812</v>
      </c>
      <c r="F130" s="255">
        <v>162236</v>
      </c>
      <c r="G130" s="255">
        <v>1277</v>
      </c>
      <c r="H130" s="255">
        <v>7764</v>
      </c>
      <c r="I130" s="257">
        <v>66.39</v>
      </c>
      <c r="J130" s="257">
        <v>24.22</v>
      </c>
    </row>
    <row r="132" spans="2:10" ht="21" customHeight="1">
      <c r="B132" s="258" t="s">
        <v>177</v>
      </c>
      <c r="C132" s="246" t="s">
        <v>149</v>
      </c>
      <c r="D132" s="246" t="s">
        <v>150</v>
      </c>
      <c r="E132" s="246" t="s">
        <v>151</v>
      </c>
      <c r="F132" s="246" t="s">
        <v>152</v>
      </c>
      <c r="G132" s="246" t="s">
        <v>153</v>
      </c>
      <c r="H132" s="246" t="s">
        <v>154</v>
      </c>
      <c r="I132" s="246" t="s">
        <v>155</v>
      </c>
      <c r="J132" s="246" t="s">
        <v>156</v>
      </c>
    </row>
    <row r="133" spans="2:10" ht="21" customHeight="1">
      <c r="B133" s="240" t="s">
        <v>141</v>
      </c>
      <c r="C133" s="254">
        <v>176317</v>
      </c>
      <c r="D133" s="242">
        <v>0.71550000000000002</v>
      </c>
      <c r="E133" s="254">
        <v>66267</v>
      </c>
      <c r="F133" s="254">
        <v>110050</v>
      </c>
      <c r="G133" s="254">
        <v>1173</v>
      </c>
      <c r="H133" s="254">
        <v>8868</v>
      </c>
      <c r="I133" s="240">
        <v>56.33</v>
      </c>
      <c r="J133" s="240">
        <v>13.67</v>
      </c>
    </row>
    <row r="134" spans="2:10" ht="21" customHeight="1">
      <c r="B134" s="240" t="s">
        <v>142</v>
      </c>
      <c r="C134" s="254">
        <v>231565</v>
      </c>
      <c r="D134" s="242">
        <v>0.93959999999999999</v>
      </c>
      <c r="E134" s="254">
        <v>86650</v>
      </c>
      <c r="F134" s="254">
        <v>144915</v>
      </c>
      <c r="G134" s="254">
        <v>1176</v>
      </c>
      <c r="H134" s="254">
        <v>5985</v>
      </c>
      <c r="I134" s="240">
        <v>73.5</v>
      </c>
      <c r="J134" s="240">
        <v>24.25</v>
      </c>
    </row>
    <row r="135" spans="2:10" ht="21" customHeight="1">
      <c r="B135" s="240" t="s">
        <v>143</v>
      </c>
      <c r="C135" s="254">
        <v>267003</v>
      </c>
      <c r="D135" s="242">
        <v>1.0833999999999999</v>
      </c>
      <c r="E135" s="254">
        <v>91825</v>
      </c>
      <c r="F135" s="254">
        <v>175178</v>
      </c>
      <c r="G135" s="254">
        <v>1183</v>
      </c>
      <c r="H135" s="254">
        <v>6198</v>
      </c>
      <c r="I135" s="240">
        <v>77</v>
      </c>
      <c r="J135" s="240">
        <v>28.5</v>
      </c>
    </row>
    <row r="136" spans="2:10" ht="21" customHeight="1">
      <c r="B136" s="240" t="s">
        <v>144</v>
      </c>
      <c r="C136" s="254">
        <v>260103</v>
      </c>
      <c r="D136" s="242">
        <v>1.0553999999999999</v>
      </c>
      <c r="E136" s="254">
        <v>98675</v>
      </c>
      <c r="F136" s="254">
        <v>161428</v>
      </c>
      <c r="G136" s="254">
        <v>1231</v>
      </c>
      <c r="H136" s="254">
        <v>5337</v>
      </c>
      <c r="I136" s="240">
        <v>80.75</v>
      </c>
      <c r="J136" s="240">
        <v>29.5</v>
      </c>
    </row>
    <row r="137" spans="2:10" ht="21" customHeight="1">
      <c r="B137" s="240" t="s">
        <v>145</v>
      </c>
      <c r="C137" s="254">
        <v>333106</v>
      </c>
      <c r="D137" s="242">
        <v>1.3516999999999999</v>
      </c>
      <c r="E137" s="254">
        <v>91380</v>
      </c>
      <c r="F137" s="254">
        <v>241726</v>
      </c>
      <c r="G137" s="254">
        <v>1230</v>
      </c>
      <c r="H137" s="254">
        <v>6678</v>
      </c>
      <c r="I137" s="240">
        <v>74.400000000000006</v>
      </c>
      <c r="J137" s="240">
        <v>36</v>
      </c>
    </row>
    <row r="138" spans="2:10" ht="21" customHeight="1">
      <c r="B138" s="240" t="s">
        <v>146</v>
      </c>
      <c r="C138" s="254">
        <v>220748</v>
      </c>
      <c r="D138" s="242">
        <v>0.89570000000000005</v>
      </c>
      <c r="E138" s="254">
        <v>40238</v>
      </c>
      <c r="F138" s="254">
        <v>180510</v>
      </c>
      <c r="G138" s="254">
        <v>1437</v>
      </c>
      <c r="H138" s="254">
        <v>6089</v>
      </c>
      <c r="I138" s="240">
        <v>27.25</v>
      </c>
      <c r="J138" s="240">
        <v>30.75</v>
      </c>
    </row>
    <row r="139" spans="2:10" ht="21" customHeight="1">
      <c r="B139" s="240" t="s">
        <v>58</v>
      </c>
      <c r="C139" s="254">
        <v>0</v>
      </c>
      <c r="D139" s="242">
        <v>0</v>
      </c>
      <c r="E139" s="254">
        <v>0</v>
      </c>
      <c r="F139" s="254">
        <v>0</v>
      </c>
      <c r="G139" s="254">
        <v>0</v>
      </c>
      <c r="H139" s="254">
        <v>0</v>
      </c>
      <c r="I139" s="240">
        <v>0</v>
      </c>
      <c r="J139" s="240">
        <v>0</v>
      </c>
    </row>
    <row r="140" spans="2:10" ht="21" customHeight="1">
      <c r="B140" s="240" t="s">
        <v>178</v>
      </c>
      <c r="C140" s="255">
        <v>248140</v>
      </c>
      <c r="D140" s="256">
        <v>1.0068999999999999</v>
      </c>
      <c r="E140" s="255">
        <v>79172</v>
      </c>
      <c r="F140" s="255">
        <v>168968</v>
      </c>
      <c r="G140" s="255">
        <v>1239</v>
      </c>
      <c r="H140" s="255">
        <v>6526</v>
      </c>
      <c r="I140" s="257">
        <v>64.87</v>
      </c>
      <c r="J140" s="257">
        <v>27.11</v>
      </c>
    </row>
    <row r="142" spans="2:10" ht="21" customHeight="1">
      <c r="B142" s="258" t="s">
        <v>179</v>
      </c>
      <c r="C142" s="246" t="s">
        <v>149</v>
      </c>
      <c r="D142" s="246" t="s">
        <v>150</v>
      </c>
      <c r="E142" s="246" t="s">
        <v>151</v>
      </c>
      <c r="F142" s="246" t="s">
        <v>152</v>
      </c>
      <c r="G142" s="246" t="s">
        <v>153</v>
      </c>
      <c r="H142" s="246" t="s">
        <v>154</v>
      </c>
      <c r="I142" s="246" t="s">
        <v>155</v>
      </c>
      <c r="J142" s="246" t="s">
        <v>156</v>
      </c>
    </row>
    <row r="143" spans="2:10" ht="21" customHeight="1">
      <c r="B143" s="240" t="s">
        <v>141</v>
      </c>
      <c r="C143" s="254">
        <v>283835</v>
      </c>
      <c r="D143" s="242">
        <v>0.88600000000000001</v>
      </c>
      <c r="E143" s="254">
        <v>94363</v>
      </c>
      <c r="F143" s="254">
        <v>189473</v>
      </c>
      <c r="G143" s="254">
        <v>1176</v>
      </c>
      <c r="H143" s="254">
        <v>6747</v>
      </c>
      <c r="I143" s="240">
        <v>80</v>
      </c>
      <c r="J143" s="240">
        <v>30.5</v>
      </c>
    </row>
    <row r="144" spans="2:10" ht="21" customHeight="1">
      <c r="B144" s="240" t="s">
        <v>142</v>
      </c>
      <c r="C144" s="254">
        <v>312370</v>
      </c>
      <c r="D144" s="242">
        <v>0.97499999999999998</v>
      </c>
      <c r="E144" s="254">
        <v>91813</v>
      </c>
      <c r="F144" s="254">
        <v>220558</v>
      </c>
      <c r="G144" s="254">
        <v>1217</v>
      </c>
      <c r="H144" s="254">
        <v>5626</v>
      </c>
      <c r="I144" s="240">
        <v>75.25</v>
      </c>
      <c r="J144" s="240">
        <v>39.25</v>
      </c>
    </row>
    <row r="145" spans="2:10" ht="21" customHeight="1">
      <c r="B145" s="240" t="s">
        <v>143</v>
      </c>
      <c r="C145" s="254">
        <v>388308</v>
      </c>
      <c r="D145" s="242">
        <v>1.2121</v>
      </c>
      <c r="E145" s="254">
        <v>105088</v>
      </c>
      <c r="F145" s="254">
        <v>283220</v>
      </c>
      <c r="G145" s="254">
        <v>1245</v>
      </c>
      <c r="H145" s="254">
        <v>7298</v>
      </c>
      <c r="I145" s="240">
        <v>84.25</v>
      </c>
      <c r="J145" s="240">
        <v>40.25</v>
      </c>
    </row>
    <row r="146" spans="2:10" ht="21" customHeight="1">
      <c r="B146" s="240" t="s">
        <v>144</v>
      </c>
      <c r="C146" s="254">
        <v>336158</v>
      </c>
      <c r="D146" s="242">
        <v>1.0492999999999999</v>
      </c>
      <c r="E146" s="254">
        <v>91625</v>
      </c>
      <c r="F146" s="254">
        <v>244533</v>
      </c>
      <c r="G146" s="254">
        <v>1228</v>
      </c>
      <c r="H146" s="254">
        <v>8605</v>
      </c>
      <c r="I146" s="240">
        <v>74.75</v>
      </c>
      <c r="J146" s="240">
        <v>31.25</v>
      </c>
    </row>
    <row r="147" spans="2:10" ht="21" customHeight="1">
      <c r="B147" s="240" t="s">
        <v>145</v>
      </c>
      <c r="C147" s="254">
        <v>418530</v>
      </c>
      <c r="D147" s="242">
        <v>1.3064</v>
      </c>
      <c r="E147" s="254">
        <v>114688</v>
      </c>
      <c r="F147" s="254">
        <v>303843</v>
      </c>
      <c r="G147" s="254">
        <v>1349</v>
      </c>
      <c r="H147" s="254">
        <v>6155</v>
      </c>
      <c r="I147" s="240">
        <v>82.25</v>
      </c>
      <c r="J147" s="240">
        <v>48.25</v>
      </c>
    </row>
    <row r="148" spans="2:10" ht="21" customHeight="1">
      <c r="B148" s="240" t="s">
        <v>146</v>
      </c>
      <c r="C148" s="254">
        <v>235663</v>
      </c>
      <c r="D148" s="242">
        <v>0.73560000000000003</v>
      </c>
      <c r="E148" s="254">
        <v>37375</v>
      </c>
      <c r="F148" s="254">
        <v>198288</v>
      </c>
      <c r="G148" s="254">
        <v>1444</v>
      </c>
      <c r="H148" s="254">
        <v>6288</v>
      </c>
      <c r="I148" s="240">
        <v>24.25</v>
      </c>
      <c r="J148" s="240">
        <v>30.5</v>
      </c>
    </row>
    <row r="149" spans="2:10" ht="21" customHeight="1">
      <c r="B149" s="240" t="s">
        <v>58</v>
      </c>
      <c r="C149" s="254">
        <v>0</v>
      </c>
      <c r="D149" s="242">
        <v>0</v>
      </c>
      <c r="E149" s="254">
        <v>0</v>
      </c>
      <c r="F149" s="254">
        <v>0</v>
      </c>
      <c r="G149" s="254">
        <v>0</v>
      </c>
      <c r="H149" s="254">
        <v>0</v>
      </c>
      <c r="I149" s="240">
        <v>0</v>
      </c>
      <c r="J149" s="240">
        <v>0</v>
      </c>
    </row>
    <row r="150" spans="2:10" ht="21" customHeight="1">
      <c r="B150" s="240" t="s">
        <v>180</v>
      </c>
      <c r="C150" s="255">
        <v>329144</v>
      </c>
      <c r="D150" s="256">
        <v>1.0274000000000001</v>
      </c>
      <c r="E150" s="255">
        <v>89158</v>
      </c>
      <c r="F150" s="255">
        <v>239985</v>
      </c>
      <c r="G150" s="255">
        <v>1276</v>
      </c>
      <c r="H150" s="255">
        <v>6786</v>
      </c>
      <c r="I150" s="257">
        <v>70.13</v>
      </c>
      <c r="J150" s="257">
        <v>36.67</v>
      </c>
    </row>
  </sheetData>
  <sheetProtection selectLockedCells="1"/>
  <mergeCells count="25">
    <mergeCell ref="A3:A4"/>
    <mergeCell ref="B3:B4"/>
    <mergeCell ref="A5:A6"/>
    <mergeCell ref="B5:B6"/>
    <mergeCell ref="A7:A8"/>
    <mergeCell ref="B7:B8"/>
    <mergeCell ref="A9:A10"/>
    <mergeCell ref="B9:B10"/>
    <mergeCell ref="A11:A12"/>
    <mergeCell ref="B11:B12"/>
    <mergeCell ref="A13:A14"/>
    <mergeCell ref="B13:B14"/>
    <mergeCell ref="A15:A16"/>
    <mergeCell ref="B15:B16"/>
    <mergeCell ref="A17:A18"/>
    <mergeCell ref="B17:B18"/>
    <mergeCell ref="A19:A20"/>
    <mergeCell ref="B19:B20"/>
    <mergeCell ref="A27:B27"/>
    <mergeCell ref="A21:A22"/>
    <mergeCell ref="B21:B22"/>
    <mergeCell ref="A23:A24"/>
    <mergeCell ref="B23:B24"/>
    <mergeCell ref="A25:A26"/>
    <mergeCell ref="B25:B26"/>
  </mergeCells>
  <phoneticPr fontId="2"/>
  <pageMargins left="0.7" right="0.7" top="0.75" bottom="0.75" header="0.3" footer="0.3"/>
  <pageSetup paperSize="9" orientation="portrait" horizontalDpi="0" verticalDpi="0" copies="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tabColor rgb="FF002ADA"/>
    <pageSetUpPr fitToPage="1"/>
  </sheetPr>
  <dimension ref="A1:AK119"/>
  <sheetViews>
    <sheetView zoomScaleNormal="100" workbookViewId="0">
      <pane xSplit="3" ySplit="3" topLeftCell="D28" activePane="bottomRight" state="frozen"/>
      <selection pane="topRight" activeCell="D1" sqref="D1"/>
      <selection pane="bottomLeft" activeCell="A3" sqref="A3"/>
      <selection pane="bottomRight" activeCell="D34" sqref="D34"/>
    </sheetView>
  </sheetViews>
  <sheetFormatPr baseColWidth="10" defaultColWidth="7.5703125" defaultRowHeight="18" outlineLevelRow="1"/>
  <cols>
    <col min="1" max="2" width="7.85546875" style="304" customWidth="1"/>
    <col min="3" max="3" width="26.85546875" style="469" customWidth="1"/>
    <col min="4" max="4" width="15.140625" style="304" customWidth="1"/>
    <col min="5" max="5" width="11" style="304" customWidth="1"/>
    <col min="6" max="6" width="15.140625" style="304" customWidth="1"/>
    <col min="7" max="7" width="11.85546875" style="304" bestFit="1" customWidth="1"/>
    <col min="8" max="8" width="15.140625" style="304" customWidth="1"/>
    <col min="9" max="9" width="11.85546875" style="304" bestFit="1" customWidth="1"/>
    <col min="10" max="10" width="15.140625" style="304" customWidth="1"/>
    <col min="11" max="11" width="11.85546875" style="304" bestFit="1" customWidth="1"/>
    <col min="12" max="12" width="15.140625" style="304" customWidth="1"/>
    <col min="13" max="13" width="11.85546875" style="304" bestFit="1" customWidth="1"/>
    <col min="14" max="14" width="15.140625" style="304" customWidth="1"/>
    <col min="15" max="15" width="11.85546875" style="304" bestFit="1" customWidth="1"/>
    <col min="16" max="16" width="15.140625" style="304" customWidth="1"/>
    <col min="17" max="17" width="11.85546875" style="304" bestFit="1" customWidth="1"/>
    <col min="18" max="18" width="15.140625" style="304" customWidth="1"/>
    <col min="19" max="19" width="11.85546875" style="304" bestFit="1" customWidth="1"/>
    <col min="20" max="20" width="15.140625" style="304" customWidth="1"/>
    <col min="21" max="21" width="11.85546875" style="304" bestFit="1" customWidth="1"/>
    <col min="22" max="22" width="15.140625" style="304" customWidth="1"/>
    <col min="23" max="23" width="11.85546875" style="304" bestFit="1" customWidth="1"/>
    <col min="24" max="24" width="15.140625" style="304" customWidth="1"/>
    <col min="25" max="25" width="11.85546875" style="304" bestFit="1" customWidth="1"/>
    <col min="26" max="26" width="15.140625" style="304" customWidth="1"/>
    <col min="27" max="27" width="10.85546875" style="304" customWidth="1"/>
    <col min="28" max="28" width="1.42578125" style="304" customWidth="1"/>
    <col min="29" max="29" width="16.140625" style="304" customWidth="1"/>
    <col min="30" max="30" width="11.140625" style="304" customWidth="1"/>
    <col min="31" max="31" width="7.5703125" style="304"/>
    <col min="32" max="32" width="12.140625" style="304" bestFit="1" customWidth="1"/>
    <col min="33" max="16384" width="7.5703125" style="304"/>
  </cols>
  <sheetData>
    <row r="1" spans="1:37">
      <c r="A1" s="301"/>
      <c r="B1" s="301"/>
      <c r="C1" s="302"/>
      <c r="D1" s="303" t="s">
        <v>433</v>
      </c>
      <c r="E1" s="303" t="s">
        <v>213</v>
      </c>
      <c r="F1" s="303" t="s">
        <v>212</v>
      </c>
      <c r="G1" s="303" t="s">
        <v>213</v>
      </c>
      <c r="H1" s="303" t="s">
        <v>212</v>
      </c>
      <c r="I1" s="303" t="s">
        <v>213</v>
      </c>
      <c r="J1" s="303" t="s">
        <v>212</v>
      </c>
      <c r="K1" s="303" t="s">
        <v>213</v>
      </c>
      <c r="L1" s="303" t="s">
        <v>212</v>
      </c>
      <c r="M1" s="303" t="s">
        <v>213</v>
      </c>
      <c r="N1" s="303" t="s">
        <v>212</v>
      </c>
      <c r="O1" s="303" t="s">
        <v>213</v>
      </c>
      <c r="P1" s="303" t="s">
        <v>212</v>
      </c>
      <c r="Q1" s="303" t="s">
        <v>213</v>
      </c>
      <c r="R1" s="303" t="s">
        <v>212</v>
      </c>
      <c r="S1" s="303" t="s">
        <v>213</v>
      </c>
      <c r="T1" s="303" t="s">
        <v>212</v>
      </c>
      <c r="U1" s="303" t="s">
        <v>213</v>
      </c>
      <c r="V1" s="303" t="s">
        <v>212</v>
      </c>
      <c r="W1" s="303" t="s">
        <v>213</v>
      </c>
      <c r="X1" s="303" t="s">
        <v>212</v>
      </c>
      <c r="Y1" s="303" t="s">
        <v>213</v>
      </c>
      <c r="Z1" s="303" t="s">
        <v>212</v>
      </c>
      <c r="AA1" s="303" t="s">
        <v>213</v>
      </c>
    </row>
    <row r="2" spans="1:37" ht="18" customHeight="1">
      <c r="A2" s="301"/>
      <c r="B2" s="301"/>
      <c r="C2" s="305" t="s">
        <v>434</v>
      </c>
      <c r="D2" s="306">
        <f>D12+D14</f>
        <v>4982374</v>
      </c>
      <c r="E2" s="306">
        <f>D13+D15</f>
        <v>1751378</v>
      </c>
      <c r="F2" s="306">
        <f>F12+F14</f>
        <v>5001830</v>
      </c>
      <c r="G2" s="306">
        <f>F13+F15</f>
        <v>1777663</v>
      </c>
      <c r="H2" s="306">
        <f>H12+H14</f>
        <v>6460634</v>
      </c>
      <c r="I2" s="306">
        <f>H13+H15</f>
        <v>2136935</v>
      </c>
      <c r="J2" s="306">
        <f>J12+J15</f>
        <v>5340815</v>
      </c>
      <c r="K2" s="306">
        <f>J13+J14</f>
        <v>3575772</v>
      </c>
      <c r="L2" s="306">
        <f>L12+L14</f>
        <v>6165010</v>
      </c>
      <c r="M2" s="306">
        <f>L13+L15</f>
        <v>2108269</v>
      </c>
      <c r="N2" s="306">
        <f>N12+N15</f>
        <v>4795816</v>
      </c>
      <c r="O2" s="306">
        <f>N13+N14</f>
        <v>3786280</v>
      </c>
      <c r="P2" s="306">
        <f>P12+P15</f>
        <v>5510653</v>
      </c>
      <c r="Q2" s="306">
        <f>P13+P14</f>
        <v>3135203</v>
      </c>
      <c r="R2" s="306">
        <f>R12+R14</f>
        <v>4512002</v>
      </c>
      <c r="S2" s="306">
        <f>R13+R15</f>
        <v>1526066</v>
      </c>
      <c r="T2" s="306">
        <f>T12+T14</f>
        <v>5425075</v>
      </c>
      <c r="U2" s="306">
        <f>T13+T15</f>
        <v>2070876</v>
      </c>
      <c r="V2" s="306">
        <f>V12+V14</f>
        <v>5555530</v>
      </c>
      <c r="W2" s="306">
        <f>V13+V15</f>
        <v>2301711</v>
      </c>
      <c r="X2" s="306">
        <f>X12+X14</f>
        <v>6112150</v>
      </c>
      <c r="Y2" s="306">
        <f>X13+X15</f>
        <v>1745321</v>
      </c>
      <c r="Z2" s="306">
        <f>Z12+Z14</f>
        <v>7899460</v>
      </c>
      <c r="AA2" s="306">
        <f>Z13+Z15</f>
        <v>2648227</v>
      </c>
    </row>
    <row r="3" spans="1:37" s="309" customFormat="1" ht="27" customHeight="1" thickBot="1">
      <c r="A3" s="706"/>
      <c r="B3" s="707"/>
      <c r="C3" s="307">
        <v>2024</v>
      </c>
      <c r="D3" s="708" t="s">
        <v>201</v>
      </c>
      <c r="E3" s="709"/>
      <c r="F3" s="696" t="s">
        <v>215</v>
      </c>
      <c r="G3" s="697"/>
      <c r="H3" s="696" t="s">
        <v>216</v>
      </c>
      <c r="I3" s="697"/>
      <c r="J3" s="696" t="s">
        <v>217</v>
      </c>
      <c r="K3" s="697"/>
      <c r="L3" s="696" t="s">
        <v>218</v>
      </c>
      <c r="M3" s="697"/>
      <c r="N3" s="696" t="s">
        <v>219</v>
      </c>
      <c r="O3" s="697"/>
      <c r="P3" s="696" t="s">
        <v>220</v>
      </c>
      <c r="Q3" s="697"/>
      <c r="R3" s="696" t="s">
        <v>221</v>
      </c>
      <c r="S3" s="697"/>
      <c r="T3" s="696" t="s">
        <v>222</v>
      </c>
      <c r="U3" s="697"/>
      <c r="V3" s="696" t="s">
        <v>223</v>
      </c>
      <c r="W3" s="697"/>
      <c r="X3" s="696" t="s">
        <v>224</v>
      </c>
      <c r="Y3" s="697"/>
      <c r="Z3" s="696" t="s">
        <v>225</v>
      </c>
      <c r="AA3" s="697"/>
      <c r="AB3" s="308"/>
      <c r="AC3" s="698" t="s">
        <v>211</v>
      </c>
      <c r="AD3" s="699"/>
    </row>
    <row r="4" spans="1:37" ht="17" customHeight="1" thickTop="1">
      <c r="A4" s="678" t="s">
        <v>226</v>
      </c>
      <c r="B4" s="679"/>
      <c r="C4" s="310" t="s">
        <v>227</v>
      </c>
      <c r="D4" s="704">
        <v>4982374</v>
      </c>
      <c r="E4" s="704"/>
      <c r="F4" s="705">
        <v>5001830</v>
      </c>
      <c r="G4" s="695"/>
      <c r="H4" s="694">
        <v>6460634</v>
      </c>
      <c r="I4" s="695"/>
      <c r="J4" s="694">
        <v>6676657</v>
      </c>
      <c r="K4" s="695"/>
      <c r="L4" s="694">
        <v>6165010</v>
      </c>
      <c r="M4" s="695"/>
      <c r="N4" s="694">
        <v>5907950</v>
      </c>
      <c r="O4" s="695"/>
      <c r="P4" s="694">
        <v>6522185</v>
      </c>
      <c r="Q4" s="695"/>
      <c r="R4" s="694">
        <v>4512002</v>
      </c>
      <c r="S4" s="695"/>
      <c r="T4" s="694">
        <v>5425075</v>
      </c>
      <c r="U4" s="695"/>
      <c r="V4" s="694">
        <v>5555530</v>
      </c>
      <c r="W4" s="695"/>
      <c r="X4" s="694">
        <v>6112150</v>
      </c>
      <c r="Y4" s="695"/>
      <c r="Z4" s="694">
        <v>7899460</v>
      </c>
      <c r="AA4" s="695"/>
      <c r="AB4" s="311"/>
      <c r="AC4" s="700"/>
      <c r="AD4" s="701"/>
    </row>
    <row r="5" spans="1:37" ht="17" customHeight="1">
      <c r="A5" s="678"/>
      <c r="B5" s="679"/>
      <c r="C5" s="312" t="s">
        <v>228</v>
      </c>
      <c r="D5" s="693">
        <v>0</v>
      </c>
      <c r="E5" s="693"/>
      <c r="F5" s="693">
        <v>0</v>
      </c>
      <c r="G5" s="693"/>
      <c r="H5" s="693">
        <v>0</v>
      </c>
      <c r="I5" s="693"/>
      <c r="J5" s="693">
        <v>0</v>
      </c>
      <c r="K5" s="693"/>
      <c r="L5" s="693">
        <v>0</v>
      </c>
      <c r="M5" s="693"/>
      <c r="N5" s="693">
        <v>0</v>
      </c>
      <c r="O5" s="693"/>
      <c r="P5" s="693">
        <v>0</v>
      </c>
      <c r="Q5" s="693"/>
      <c r="R5" s="693">
        <v>0</v>
      </c>
      <c r="S5" s="693"/>
      <c r="T5" s="693">
        <v>0</v>
      </c>
      <c r="U5" s="693"/>
      <c r="V5" s="693">
        <v>0</v>
      </c>
      <c r="W5" s="693"/>
      <c r="X5" s="693">
        <v>0</v>
      </c>
      <c r="Y5" s="693"/>
      <c r="Z5" s="693">
        <v>0</v>
      </c>
      <c r="AA5" s="693"/>
      <c r="AB5" s="311"/>
      <c r="AC5" s="700"/>
      <c r="AD5" s="701"/>
    </row>
    <row r="6" spans="1:37" ht="17" customHeight="1">
      <c r="A6" s="678"/>
      <c r="B6" s="679"/>
      <c r="C6" s="313" t="s">
        <v>229</v>
      </c>
      <c r="D6" s="693">
        <v>0</v>
      </c>
      <c r="E6" s="693"/>
      <c r="F6" s="693">
        <v>0</v>
      </c>
      <c r="G6" s="693"/>
      <c r="H6" s="693">
        <v>0</v>
      </c>
      <c r="I6" s="693"/>
      <c r="J6" s="693">
        <v>0</v>
      </c>
      <c r="K6" s="693"/>
      <c r="L6" s="693">
        <v>0</v>
      </c>
      <c r="M6" s="693"/>
      <c r="N6" s="693">
        <v>0</v>
      </c>
      <c r="O6" s="693"/>
      <c r="P6" s="693">
        <v>0</v>
      </c>
      <c r="Q6" s="693"/>
      <c r="R6" s="693">
        <v>0</v>
      </c>
      <c r="S6" s="693"/>
      <c r="T6" s="693">
        <v>0</v>
      </c>
      <c r="U6" s="693"/>
      <c r="V6" s="693">
        <v>0</v>
      </c>
      <c r="W6" s="693"/>
      <c r="X6" s="693">
        <v>0</v>
      </c>
      <c r="Y6" s="693"/>
      <c r="Z6" s="693">
        <v>0</v>
      </c>
      <c r="AA6" s="693"/>
      <c r="AB6" s="311"/>
      <c r="AC6" s="702"/>
      <c r="AD6" s="703"/>
    </row>
    <row r="7" spans="1:37" ht="23" customHeight="1" thickBot="1">
      <c r="A7" s="680"/>
      <c r="B7" s="681"/>
      <c r="C7" s="314" t="s">
        <v>230</v>
      </c>
      <c r="D7" s="691">
        <f>SUM(D4:E6)</f>
        <v>4982374</v>
      </c>
      <c r="E7" s="691"/>
      <c r="F7" s="691">
        <f>SUM(F4:G6)</f>
        <v>5001830</v>
      </c>
      <c r="G7" s="691"/>
      <c r="H7" s="691">
        <f>SUM(H4:I6)</f>
        <v>6460634</v>
      </c>
      <c r="I7" s="691"/>
      <c r="J7" s="691">
        <f>SUM(J4:K6)</f>
        <v>6676657</v>
      </c>
      <c r="K7" s="691"/>
      <c r="L7" s="691">
        <f>SUM(L4:M6)</f>
        <v>6165010</v>
      </c>
      <c r="M7" s="691"/>
      <c r="N7" s="691">
        <f>SUM(N4:O6)</f>
        <v>5907950</v>
      </c>
      <c r="O7" s="691"/>
      <c r="P7" s="691">
        <f>SUM(P4:Q6)</f>
        <v>6522185</v>
      </c>
      <c r="Q7" s="691"/>
      <c r="R7" s="691">
        <f>SUM(R4:S6)</f>
        <v>4512002</v>
      </c>
      <c r="S7" s="691"/>
      <c r="T7" s="691">
        <f>SUM(T4:U6)</f>
        <v>5425075</v>
      </c>
      <c r="U7" s="691"/>
      <c r="V7" s="691">
        <f>SUM(V4:W6)</f>
        <v>5555530</v>
      </c>
      <c r="W7" s="691"/>
      <c r="X7" s="691">
        <f>SUM(X4:Y6)</f>
        <v>6112150</v>
      </c>
      <c r="Y7" s="691"/>
      <c r="Z7" s="691">
        <f>SUM(Z4:AA6)</f>
        <v>7899460</v>
      </c>
      <c r="AA7" s="691"/>
      <c r="AB7" s="315"/>
      <c r="AC7" s="692">
        <f>SUM(D7:AA7)</f>
        <v>71220857</v>
      </c>
      <c r="AD7" s="692"/>
    </row>
    <row r="8" spans="1:37" ht="17" customHeight="1" thickTop="1">
      <c r="A8" s="676" t="s">
        <v>231</v>
      </c>
      <c r="B8" s="677"/>
      <c r="C8" s="316" t="s">
        <v>232</v>
      </c>
      <c r="D8" s="317">
        <f>SUM(D27:D41)</f>
        <v>2889934</v>
      </c>
      <c r="E8" s="318">
        <f>D8/D7</f>
        <v>0.58003152713947204</v>
      </c>
      <c r="F8" s="317">
        <f>SUM(F27:F41)</f>
        <v>2832002</v>
      </c>
      <c r="G8" s="318">
        <f>F8/F7</f>
        <v>0.56619317329857277</v>
      </c>
      <c r="H8" s="317">
        <f>SUM(H27:H41)</f>
        <v>2859770</v>
      </c>
      <c r="I8" s="318">
        <f>H8/H7</f>
        <v>0.44264541219948383</v>
      </c>
      <c r="J8" s="317">
        <f>SUM(J27:J41)</f>
        <v>3036135</v>
      </c>
      <c r="K8" s="318">
        <f>J8/J7</f>
        <v>0.45473880116950743</v>
      </c>
      <c r="L8" s="317">
        <f>SUM(L27:L41)</f>
        <v>3172786</v>
      </c>
      <c r="M8" s="318">
        <f>L8/L7</f>
        <v>0.51464409627883811</v>
      </c>
      <c r="N8" s="317">
        <f>SUM(N27:N41)</f>
        <v>3213097</v>
      </c>
      <c r="O8" s="318">
        <f>N8/N7</f>
        <v>0.5438598837160098</v>
      </c>
      <c r="P8" s="317">
        <f>SUM(P27:P41)</f>
        <v>3151567</v>
      </c>
      <c r="Q8" s="318">
        <f>P8/P7</f>
        <v>0.48320723806515758</v>
      </c>
      <c r="R8" s="317">
        <f>SUM(R27:R41)</f>
        <v>2996101</v>
      </c>
      <c r="S8" s="318">
        <f>R8/R7</f>
        <v>0.66402918261117794</v>
      </c>
      <c r="T8" s="317">
        <f>SUM(T27:T41)</f>
        <v>3109324</v>
      </c>
      <c r="U8" s="318">
        <f>T8/T7</f>
        <v>0.5731393575204029</v>
      </c>
      <c r="V8" s="317">
        <f>SUM(V27:V41)</f>
        <v>3102210</v>
      </c>
      <c r="W8" s="318">
        <f>V8/V7</f>
        <v>0.55840036864169573</v>
      </c>
      <c r="X8" s="317">
        <f>SUM(X27:X41)</f>
        <v>3092550</v>
      </c>
      <c r="Y8" s="318">
        <f>X8/X7</f>
        <v>0.50596762186791877</v>
      </c>
      <c r="Z8" s="317">
        <f>SUM(Z27:Z41)</f>
        <v>3053965</v>
      </c>
      <c r="AA8" s="318">
        <f>Z8/Z7</f>
        <v>0.38660427421621224</v>
      </c>
      <c r="AB8" s="315"/>
      <c r="AC8" s="317">
        <f>SUM(AC27:AC41)</f>
        <v>36509441</v>
      </c>
      <c r="AD8" s="319">
        <f>AC8/AC7</f>
        <v>0.51262288236716946</v>
      </c>
      <c r="AF8" s="547"/>
    </row>
    <row r="9" spans="1:37" ht="17" customHeight="1">
      <c r="A9" s="678"/>
      <c r="B9" s="679"/>
      <c r="C9" s="320" t="s">
        <v>233</v>
      </c>
      <c r="D9" s="321">
        <f>SUM(D42:D58)</f>
        <v>3650525.2143572206</v>
      </c>
      <c r="E9" s="322">
        <f>D9/D7</f>
        <v>0.73268791430695901</v>
      </c>
      <c r="F9" s="321">
        <f>SUM(F42:F58)</f>
        <v>4291832.2909564264</v>
      </c>
      <c r="G9" s="322">
        <f>F9/F7</f>
        <v>0.85805241100885599</v>
      </c>
      <c r="H9" s="321">
        <f>SUM(H42:H58)</f>
        <v>4927692.6260019466</v>
      </c>
      <c r="I9" s="322">
        <f>H9/H7</f>
        <v>0.76272586034156198</v>
      </c>
      <c r="J9" s="321">
        <f>SUM(J42:J58)</f>
        <v>4931440.082670006</v>
      </c>
      <c r="K9" s="322">
        <f>J9/J7</f>
        <v>0.73860916962935286</v>
      </c>
      <c r="L9" s="321">
        <f>SUM(L42:L58)</f>
        <v>4508408.6190182716</v>
      </c>
      <c r="M9" s="322">
        <f>L9/L7</f>
        <v>0.73128974957352411</v>
      </c>
      <c r="N9" s="321">
        <f>SUM(N42:N58)</f>
        <v>5176481.9616406206</v>
      </c>
      <c r="O9" s="322">
        <f>N9/N7</f>
        <v>0.87618919619167746</v>
      </c>
      <c r="P9" s="321">
        <f>SUM(P42:P58)</f>
        <v>4930465.4657349978</v>
      </c>
      <c r="Q9" s="322">
        <f>P9/P7</f>
        <v>0.75595302275771048</v>
      </c>
      <c r="R9" s="321">
        <f>SUM(R42:R58)</f>
        <v>3645377.6896202839</v>
      </c>
      <c r="S9" s="322">
        <f>R9/R7</f>
        <v>0.80792909436216653</v>
      </c>
      <c r="T9" s="321">
        <f>SUM(T42:T58)</f>
        <v>4454325.3342502387</v>
      </c>
      <c r="U9" s="322">
        <f>T9/T7</f>
        <v>0.82106244323815591</v>
      </c>
      <c r="V9" s="321">
        <f>SUM(V42:V58)</f>
        <v>4922210.1627710257</v>
      </c>
      <c r="W9" s="322">
        <f>V9/V7</f>
        <v>0.88600190490754716</v>
      </c>
      <c r="X9" s="321">
        <f>SUM(X42:X58)</f>
        <v>5014815.6282956889</v>
      </c>
      <c r="Y9" s="322">
        <f>X9/X7</f>
        <v>0.82046671437966823</v>
      </c>
      <c r="Z9" s="321">
        <f>SUM(Z42:Z58)</f>
        <v>5962972.2255723523</v>
      </c>
      <c r="AA9" s="322">
        <f>Z9/Z7</f>
        <v>0.7548582087348189</v>
      </c>
      <c r="AB9" s="315"/>
      <c r="AC9" s="321">
        <f>SUM(AC42:AC58)</f>
        <v>56416547.300889075</v>
      </c>
      <c r="AD9" s="323">
        <f>AC9/AC7</f>
        <v>0.79213519293778045</v>
      </c>
      <c r="AK9" s="324"/>
    </row>
    <row r="10" spans="1:37" s="330" customFormat="1" ht="23" customHeight="1" thickBot="1">
      <c r="A10" s="680"/>
      <c r="B10" s="681"/>
      <c r="C10" s="325" t="s">
        <v>211</v>
      </c>
      <c r="D10" s="326">
        <f>SUM(D8:D9)</f>
        <v>6540459.2143572206</v>
      </c>
      <c r="E10" s="327">
        <f>D10/D7</f>
        <v>1.3127194414464312</v>
      </c>
      <c r="F10" s="326">
        <f>SUM(F8:F9)</f>
        <v>7123834.2909564264</v>
      </c>
      <c r="G10" s="327">
        <f>F10/F7</f>
        <v>1.4242455843074289</v>
      </c>
      <c r="H10" s="326">
        <f>SUM(H8:H9)</f>
        <v>7787462.6260019466</v>
      </c>
      <c r="I10" s="327">
        <f>H10/H7</f>
        <v>1.2053712725410457</v>
      </c>
      <c r="J10" s="326">
        <f>SUM(J8:J9)</f>
        <v>7967575.082670006</v>
      </c>
      <c r="K10" s="327">
        <f>J10/J7</f>
        <v>1.1933479707988603</v>
      </c>
      <c r="L10" s="326">
        <f>SUM(L8:L9)</f>
        <v>7681194.6190182716</v>
      </c>
      <c r="M10" s="327">
        <f>L10/L7</f>
        <v>1.2459338458523621</v>
      </c>
      <c r="N10" s="326">
        <f>SUM(N8:N9)</f>
        <v>8389578.9616406206</v>
      </c>
      <c r="O10" s="327">
        <f>N10/N7</f>
        <v>1.4200490799076873</v>
      </c>
      <c r="P10" s="326">
        <f>SUM(P8:P9)</f>
        <v>8082032.4657349978</v>
      </c>
      <c r="Q10" s="327">
        <f>P10/P7</f>
        <v>1.239160260822868</v>
      </c>
      <c r="R10" s="326">
        <f>SUM(R8:R9)</f>
        <v>6641478.6896202844</v>
      </c>
      <c r="S10" s="327">
        <f>R10/R7</f>
        <v>1.4719582769733446</v>
      </c>
      <c r="T10" s="326">
        <f>SUM(T8:T9)</f>
        <v>7563649.3342502387</v>
      </c>
      <c r="U10" s="327">
        <f>T10/T7</f>
        <v>1.3942018007585588</v>
      </c>
      <c r="V10" s="326">
        <f>SUM(V8:V9)</f>
        <v>8024420.1627710257</v>
      </c>
      <c r="W10" s="327">
        <f>V10/V7</f>
        <v>1.444402273549243</v>
      </c>
      <c r="X10" s="326">
        <f>SUM(X8:X9)</f>
        <v>8107365.6282956889</v>
      </c>
      <c r="Y10" s="327">
        <f>X10/X7</f>
        <v>1.326434336247587</v>
      </c>
      <c r="Z10" s="326">
        <f>SUM(Z8:Z9)</f>
        <v>9016937.2255723514</v>
      </c>
      <c r="AA10" s="327">
        <f>Z10/Z7</f>
        <v>1.1414624829510309</v>
      </c>
      <c r="AB10" s="328"/>
      <c r="AC10" s="326">
        <f>SUM(AC8:AC9)</f>
        <v>92925988.300889075</v>
      </c>
      <c r="AD10" s="329">
        <f>AC10/AC7</f>
        <v>1.3047580753049499</v>
      </c>
      <c r="AF10" s="304"/>
    </row>
    <row r="11" spans="1:37" ht="15" customHeight="1" outlineLevel="1" thickTop="1">
      <c r="A11" s="676" t="s">
        <v>193</v>
      </c>
      <c r="B11" s="677"/>
      <c r="C11" s="331"/>
      <c r="D11" s="332" t="s">
        <v>234</v>
      </c>
      <c r="E11" s="333" t="s">
        <v>235</v>
      </c>
      <c r="F11" s="332" t="s">
        <v>234</v>
      </c>
      <c r="G11" s="333" t="s">
        <v>235</v>
      </c>
      <c r="H11" s="332" t="s">
        <v>234</v>
      </c>
      <c r="I11" s="333" t="s">
        <v>235</v>
      </c>
      <c r="J11" s="332" t="s">
        <v>234</v>
      </c>
      <c r="K11" s="333" t="s">
        <v>235</v>
      </c>
      <c r="L11" s="332" t="s">
        <v>234</v>
      </c>
      <c r="M11" s="333" t="s">
        <v>235</v>
      </c>
      <c r="N11" s="332" t="s">
        <v>234</v>
      </c>
      <c r="O11" s="333" t="s">
        <v>235</v>
      </c>
      <c r="P11" s="332" t="s">
        <v>234</v>
      </c>
      <c r="Q11" s="333" t="s">
        <v>235</v>
      </c>
      <c r="R11" s="332" t="s">
        <v>234</v>
      </c>
      <c r="S11" s="333" t="s">
        <v>235</v>
      </c>
      <c r="T11" s="332" t="s">
        <v>234</v>
      </c>
      <c r="U11" s="333" t="s">
        <v>235</v>
      </c>
      <c r="V11" s="332" t="s">
        <v>234</v>
      </c>
      <c r="W11" s="333" t="s">
        <v>235</v>
      </c>
      <c r="X11" s="332" t="s">
        <v>234</v>
      </c>
      <c r="Y11" s="333" t="s">
        <v>235</v>
      </c>
      <c r="Z11" s="332" t="s">
        <v>234</v>
      </c>
      <c r="AA11" s="333" t="s">
        <v>235</v>
      </c>
      <c r="AB11" s="334"/>
      <c r="AC11" s="335" t="s">
        <v>234</v>
      </c>
      <c r="AD11" s="336" t="s">
        <v>235</v>
      </c>
    </row>
    <row r="12" spans="1:37" ht="15" customHeight="1" outlineLevel="1">
      <c r="A12" s="678"/>
      <c r="B12" s="679"/>
      <c r="C12" s="337" t="s">
        <v>236</v>
      </c>
      <c r="D12" s="338">
        <v>3658680</v>
      </c>
      <c r="E12" s="339">
        <f>D12/D7</f>
        <v>0.73432464122524721</v>
      </c>
      <c r="F12" s="340">
        <v>3659810</v>
      </c>
      <c r="G12" s="339">
        <f>F12/F7</f>
        <v>0.73169419992282825</v>
      </c>
      <c r="H12" s="340">
        <v>4881460</v>
      </c>
      <c r="I12" s="339">
        <f>H12/H7</f>
        <v>0.75556980940260665</v>
      </c>
      <c r="J12" s="340">
        <v>4971180</v>
      </c>
      <c r="K12" s="339">
        <f>J12/J7</f>
        <v>0.74456123775715899</v>
      </c>
      <c r="L12" s="340">
        <v>4653280</v>
      </c>
      <c r="M12" s="339">
        <f>L12/L7</f>
        <v>0.75478871891529775</v>
      </c>
      <c r="N12" s="340">
        <v>4466900</v>
      </c>
      <c r="O12" s="339">
        <f>N12/N7</f>
        <v>0.75608290523785748</v>
      </c>
      <c r="P12" s="340">
        <v>5069150</v>
      </c>
      <c r="Q12" s="339">
        <f>P12/P7</f>
        <v>0.77721653096316645</v>
      </c>
      <c r="R12" s="340">
        <v>3450734</v>
      </c>
      <c r="S12" s="339">
        <f>R12/R7</f>
        <v>0.76478999787677404</v>
      </c>
      <c r="T12" s="340">
        <v>4159750</v>
      </c>
      <c r="U12" s="339">
        <f>T12/T7</f>
        <v>0.76676359313004894</v>
      </c>
      <c r="V12" s="340">
        <v>4238380</v>
      </c>
      <c r="W12" s="339">
        <f>V12/V7</f>
        <v>0.76291190939478326</v>
      </c>
      <c r="X12" s="340">
        <v>4606090</v>
      </c>
      <c r="Y12" s="339">
        <f>X12/X7</f>
        <v>0.75359570691164324</v>
      </c>
      <c r="Z12" s="340">
        <v>5958610</v>
      </c>
      <c r="AA12" s="339">
        <f>Z12/Z7</f>
        <v>0.75430599053606195</v>
      </c>
      <c r="AB12" s="341"/>
      <c r="AC12" s="342">
        <f t="shared" ref="AC12:AC21" si="0">D12+F12+H12+J12+L12+N12+P12+R12+T12+V12+X12+Z12</f>
        <v>53774024</v>
      </c>
      <c r="AD12" s="343">
        <f t="shared" ref="AD12:AD21" si="1">AC12/$AC$7</f>
        <v>0.75503197048022042</v>
      </c>
    </row>
    <row r="13" spans="1:37" ht="15" customHeight="1" outlineLevel="1">
      <c r="A13" s="678"/>
      <c r="B13" s="679"/>
      <c r="C13" s="337" t="s">
        <v>237</v>
      </c>
      <c r="D13" s="344">
        <v>1264422</v>
      </c>
      <c r="E13" s="345">
        <f>IFERROR(D13/D12,0)</f>
        <v>0.34559513267079933</v>
      </c>
      <c r="F13" s="340">
        <v>1416358</v>
      </c>
      <c r="G13" s="345">
        <f>IFERROR(F13/F12,0)</f>
        <v>0.3870031504367713</v>
      </c>
      <c r="H13" s="340">
        <v>1742628</v>
      </c>
      <c r="I13" s="345">
        <f>IFERROR(H13/H12,0)</f>
        <v>0.35698909752410141</v>
      </c>
      <c r="J13" s="340">
        <v>1870295</v>
      </c>
      <c r="K13" s="345">
        <f>IFERROR(J13/J12,0)</f>
        <v>0.37622757574660343</v>
      </c>
      <c r="L13" s="340">
        <v>1771753</v>
      </c>
      <c r="M13" s="345">
        <f>IFERROR(L13/L12,0)</f>
        <v>0.38075357597221743</v>
      </c>
      <c r="N13" s="340">
        <v>2345230</v>
      </c>
      <c r="O13" s="345">
        <f>IFERROR(N13/N12,0)</f>
        <v>0.5250240659070049</v>
      </c>
      <c r="P13" s="340">
        <v>1682168</v>
      </c>
      <c r="Q13" s="345">
        <f>IFERROR(P13/P12,0)</f>
        <v>0.3318441947861081</v>
      </c>
      <c r="R13" s="340">
        <v>1300325</v>
      </c>
      <c r="S13" s="345">
        <f>IFERROR(R13/R12,0)</f>
        <v>0.37682562608418962</v>
      </c>
      <c r="T13" s="340">
        <v>1712780</v>
      </c>
      <c r="U13" s="345">
        <f>IFERROR(T13/T12,0)</f>
        <v>0.41175070617224591</v>
      </c>
      <c r="V13" s="340">
        <v>1877653</v>
      </c>
      <c r="W13" s="345">
        <f>IFERROR(V13/V12,0)</f>
        <v>0.44301195268003341</v>
      </c>
      <c r="X13" s="340">
        <v>1365920</v>
      </c>
      <c r="Y13" s="345">
        <f>IFERROR(X13/X12,0)</f>
        <v>0.29654652861754766</v>
      </c>
      <c r="Z13" s="340">
        <v>2079765</v>
      </c>
      <c r="AA13" s="345">
        <f>IFERROR(Z13/Z12,0)</f>
        <v>0.3490352615794623</v>
      </c>
      <c r="AB13" s="341"/>
      <c r="AC13" s="342">
        <f t="shared" si="0"/>
        <v>20429297</v>
      </c>
      <c r="AD13" s="343">
        <f t="shared" si="1"/>
        <v>0.2868443018033327</v>
      </c>
    </row>
    <row r="14" spans="1:37" ht="15" customHeight="1" outlineLevel="1">
      <c r="A14" s="678"/>
      <c r="B14" s="679"/>
      <c r="C14" s="346" t="s">
        <v>238</v>
      </c>
      <c r="D14" s="347">
        <f>D7-D12</f>
        <v>1323694</v>
      </c>
      <c r="E14" s="348">
        <f>IFERROR(D14/D7,0)</f>
        <v>0.26567535877475273</v>
      </c>
      <c r="F14" s="347">
        <f>F7-F12</f>
        <v>1342020</v>
      </c>
      <c r="G14" s="348">
        <f>IFERROR(F14/F7,0)</f>
        <v>0.26830580007717175</v>
      </c>
      <c r="H14" s="347">
        <f>H7-H12</f>
        <v>1579174</v>
      </c>
      <c r="I14" s="348">
        <f>IFERROR(H14/H7,0)</f>
        <v>0.24443019059739338</v>
      </c>
      <c r="J14" s="347">
        <f>J7-J12</f>
        <v>1705477</v>
      </c>
      <c r="K14" s="348">
        <f>IFERROR(J14/J7,0)</f>
        <v>0.25543876224284101</v>
      </c>
      <c r="L14" s="347">
        <f>L7-L12</f>
        <v>1511730</v>
      </c>
      <c r="M14" s="348">
        <f>IFERROR(L14/L7,0)</f>
        <v>0.24521128108470222</v>
      </c>
      <c r="N14" s="347">
        <f>N7-N12</f>
        <v>1441050</v>
      </c>
      <c r="O14" s="348">
        <f>IFERROR(N14/N7,0)</f>
        <v>0.24391709476214254</v>
      </c>
      <c r="P14" s="347">
        <f>P7-P12</f>
        <v>1453035</v>
      </c>
      <c r="Q14" s="348">
        <f>IFERROR(P14/P7,0)</f>
        <v>0.22278346903683352</v>
      </c>
      <c r="R14" s="347">
        <f>R7-R12</f>
        <v>1061268</v>
      </c>
      <c r="S14" s="348">
        <f>IFERROR(R14/R7,0)</f>
        <v>0.23521000212322601</v>
      </c>
      <c r="T14" s="347">
        <f>T7-T12</f>
        <v>1265325</v>
      </c>
      <c r="U14" s="348">
        <f>IFERROR(T14/T7,0)</f>
        <v>0.23323640686995112</v>
      </c>
      <c r="V14" s="347">
        <f>V7-V12</f>
        <v>1317150</v>
      </c>
      <c r="W14" s="348">
        <f>IFERROR(V14/V7,0)</f>
        <v>0.23708809060521679</v>
      </c>
      <c r="X14" s="347">
        <f>X7-X12</f>
        <v>1506060</v>
      </c>
      <c r="Y14" s="348">
        <f>IFERROR(X14/X7,0)</f>
        <v>0.24640429308835679</v>
      </c>
      <c r="Z14" s="347">
        <f>Z7-Z12</f>
        <v>1940850</v>
      </c>
      <c r="AA14" s="348">
        <f>IFERROR(Z14/Z7,0)</f>
        <v>0.24569400946393805</v>
      </c>
      <c r="AB14" s="341"/>
      <c r="AC14" s="342">
        <f t="shared" si="0"/>
        <v>17446833</v>
      </c>
      <c r="AD14" s="343">
        <f t="shared" si="1"/>
        <v>0.24496802951977958</v>
      </c>
    </row>
    <row r="15" spans="1:37" ht="15" customHeight="1" outlineLevel="1" thickBot="1">
      <c r="A15" s="680"/>
      <c r="B15" s="681"/>
      <c r="C15" s="349" t="s">
        <v>239</v>
      </c>
      <c r="D15" s="350">
        <v>486956</v>
      </c>
      <c r="E15" s="351">
        <f>D15/D14</f>
        <v>0.36787656361666671</v>
      </c>
      <c r="F15" s="352">
        <v>361305</v>
      </c>
      <c r="G15" s="351">
        <f>F15/F14</f>
        <v>0.26922475074887109</v>
      </c>
      <c r="H15" s="352">
        <v>394307</v>
      </c>
      <c r="I15" s="351">
        <f>H15/H14</f>
        <v>0.2496919275519987</v>
      </c>
      <c r="J15" s="352">
        <v>369635</v>
      </c>
      <c r="K15" s="351">
        <f>J15/J14</f>
        <v>0.21673408671005237</v>
      </c>
      <c r="L15" s="352">
        <v>336516</v>
      </c>
      <c r="M15" s="351">
        <f>L15/L14</f>
        <v>0.22260324264253536</v>
      </c>
      <c r="N15" s="352">
        <v>328916</v>
      </c>
      <c r="O15" s="351">
        <f>N15/N14</f>
        <v>0.22824745845043545</v>
      </c>
      <c r="P15" s="352">
        <v>441503</v>
      </c>
      <c r="Q15" s="351">
        <f>P15/P14</f>
        <v>0.30384884053033823</v>
      </c>
      <c r="R15" s="352">
        <v>225741</v>
      </c>
      <c r="S15" s="351">
        <f>R15/R14</f>
        <v>0.21270875971008266</v>
      </c>
      <c r="T15" s="352">
        <v>358096</v>
      </c>
      <c r="U15" s="351">
        <f>T15/T14</f>
        <v>0.28300713255487719</v>
      </c>
      <c r="V15" s="352">
        <v>424058</v>
      </c>
      <c r="W15" s="351">
        <f>V15/V14</f>
        <v>0.32195118247731846</v>
      </c>
      <c r="X15" s="352">
        <v>379401</v>
      </c>
      <c r="Y15" s="351">
        <f>X15/X14</f>
        <v>0.25191625831640174</v>
      </c>
      <c r="Z15" s="352">
        <v>568462</v>
      </c>
      <c r="AA15" s="351">
        <f>Z15/Z14</f>
        <v>0.29289331993714096</v>
      </c>
      <c r="AB15" s="341"/>
      <c r="AC15" s="353">
        <f t="shared" si="0"/>
        <v>4674896</v>
      </c>
      <c r="AD15" s="354">
        <f t="shared" si="1"/>
        <v>6.563942357503505E-2</v>
      </c>
    </row>
    <row r="16" spans="1:37" ht="15" customHeight="1" outlineLevel="1" thickTop="1">
      <c r="A16" s="682" t="s">
        <v>240</v>
      </c>
      <c r="B16" s="683"/>
      <c r="C16" s="331" t="s">
        <v>241</v>
      </c>
      <c r="D16" s="355">
        <f>D28</f>
        <v>1359735</v>
      </c>
      <c r="E16" s="356">
        <f>D16/D7</f>
        <v>0.27290905901483908</v>
      </c>
      <c r="F16" s="355">
        <f>F28</f>
        <v>1397503</v>
      </c>
      <c r="G16" s="356">
        <f>F16/F7</f>
        <v>0.27939834020748405</v>
      </c>
      <c r="H16" s="355">
        <f>H28</f>
        <v>1503672</v>
      </c>
      <c r="I16" s="356">
        <f>H16/H7</f>
        <v>0.2327437214366268</v>
      </c>
      <c r="J16" s="355">
        <f>J28</f>
        <v>1680037</v>
      </c>
      <c r="K16" s="356">
        <f>J16/J7</f>
        <v>0.25162847215305506</v>
      </c>
      <c r="L16" s="355">
        <f>L28</f>
        <v>1816688</v>
      </c>
      <c r="M16" s="356">
        <f>L16/L7</f>
        <v>0.29467721869064284</v>
      </c>
      <c r="N16" s="355">
        <f>N28</f>
        <v>1856999</v>
      </c>
      <c r="O16" s="356">
        <f>N16/N7</f>
        <v>0.31432205756649939</v>
      </c>
      <c r="P16" s="355">
        <f>P28</f>
        <v>1795469</v>
      </c>
      <c r="Q16" s="356">
        <f>P16/P7</f>
        <v>0.27528642625132527</v>
      </c>
      <c r="R16" s="355">
        <f>R28</f>
        <v>1640003</v>
      </c>
      <c r="S16" s="356">
        <f>R16/R7</f>
        <v>0.36347568108347472</v>
      </c>
      <c r="T16" s="355">
        <f>T28</f>
        <v>1753226</v>
      </c>
      <c r="U16" s="356">
        <f>T16/T7</f>
        <v>0.32317083173965339</v>
      </c>
      <c r="V16" s="355">
        <f>V28</f>
        <v>1745812</v>
      </c>
      <c r="W16" s="356">
        <f>V16/V7</f>
        <v>0.31424760553898545</v>
      </c>
      <c r="X16" s="355">
        <f>X28</f>
        <v>1736152</v>
      </c>
      <c r="Y16" s="356">
        <f>X16/X7</f>
        <v>0.28404931161702512</v>
      </c>
      <c r="Z16" s="355">
        <f>Z28</f>
        <v>1673367</v>
      </c>
      <c r="AA16" s="356">
        <f>Z16/Z7</f>
        <v>0.2118330873249564</v>
      </c>
      <c r="AB16" s="341"/>
      <c r="AC16" s="357">
        <f t="shared" si="0"/>
        <v>19958663</v>
      </c>
      <c r="AD16" s="358">
        <f t="shared" si="1"/>
        <v>0.28023620945757505</v>
      </c>
    </row>
    <row r="17" spans="1:30" ht="15" customHeight="1" outlineLevel="1">
      <c r="A17" s="684"/>
      <c r="B17" s="685"/>
      <c r="C17" s="359" t="s">
        <v>242</v>
      </c>
      <c r="D17" s="360">
        <f>D51</f>
        <v>788242</v>
      </c>
      <c r="E17" s="339">
        <f>D17/D7</f>
        <v>0.15820610817252981</v>
      </c>
      <c r="F17" s="360">
        <f>F51</f>
        <v>1065475</v>
      </c>
      <c r="G17" s="339">
        <f>F17/F7</f>
        <v>0.21301703576491005</v>
      </c>
      <c r="H17" s="360">
        <f>H51</f>
        <v>1033411</v>
      </c>
      <c r="I17" s="339">
        <f>H17/H7</f>
        <v>0.15995504465970367</v>
      </c>
      <c r="J17" s="360">
        <f>J51</f>
        <v>904443</v>
      </c>
      <c r="K17" s="339">
        <f>J17/J7</f>
        <v>0.13546345124513659</v>
      </c>
      <c r="L17" s="360">
        <f>L51</f>
        <v>801115</v>
      </c>
      <c r="M17" s="339">
        <f>L17/L7</f>
        <v>0.12994545021013754</v>
      </c>
      <c r="N17" s="360">
        <f>N51</f>
        <v>829650</v>
      </c>
      <c r="O17" s="339">
        <f>N17/N7</f>
        <v>0.14042942137289585</v>
      </c>
      <c r="P17" s="360">
        <f>P51</f>
        <v>875410</v>
      </c>
      <c r="Q17" s="339">
        <f>P17/P7</f>
        <v>0.1342203571349172</v>
      </c>
      <c r="R17" s="360">
        <f>R51</f>
        <v>553656</v>
      </c>
      <c r="S17" s="339">
        <f>R17/R7</f>
        <v>0.12270739241693598</v>
      </c>
      <c r="T17" s="360">
        <f>T51</f>
        <v>841300</v>
      </c>
      <c r="U17" s="339">
        <f>T17/T7</f>
        <v>0.15507619710326587</v>
      </c>
      <c r="V17" s="360">
        <f>V51</f>
        <v>1192073</v>
      </c>
      <c r="W17" s="339">
        <f>V17/V7</f>
        <v>0.21457412704098439</v>
      </c>
      <c r="X17" s="360">
        <f>X51</f>
        <v>1168012</v>
      </c>
      <c r="Y17" s="339">
        <f>X17/X7</f>
        <v>0.19109674991615061</v>
      </c>
      <c r="Z17" s="360">
        <f>Z51</f>
        <v>1318465</v>
      </c>
      <c r="AA17" s="339">
        <f>Z17/Z7</f>
        <v>0.16690571254237632</v>
      </c>
      <c r="AB17" s="341"/>
      <c r="AC17" s="342">
        <f t="shared" si="0"/>
        <v>11371252</v>
      </c>
      <c r="AD17" s="343">
        <f t="shared" si="1"/>
        <v>0.15966182490615075</v>
      </c>
    </row>
    <row r="18" spans="1:30" ht="15" customHeight="1" outlineLevel="1" thickBot="1">
      <c r="A18" s="686"/>
      <c r="B18" s="687"/>
      <c r="C18" s="361" t="s">
        <v>211</v>
      </c>
      <c r="D18" s="362">
        <f>D16+D17</f>
        <v>2147977</v>
      </c>
      <c r="E18" s="351">
        <f>D18/D7</f>
        <v>0.43111516718736892</v>
      </c>
      <c r="F18" s="362">
        <f>F16+F17</f>
        <v>2462978</v>
      </c>
      <c r="G18" s="351">
        <f>F18/F7</f>
        <v>0.4924153759723941</v>
      </c>
      <c r="H18" s="362">
        <f>H16+H17</f>
        <v>2537083</v>
      </c>
      <c r="I18" s="351">
        <f>H18/H7</f>
        <v>0.39269876609633048</v>
      </c>
      <c r="J18" s="362">
        <f>J16+J17</f>
        <v>2584480</v>
      </c>
      <c r="K18" s="351">
        <f>J18/J7</f>
        <v>0.38709192339819165</v>
      </c>
      <c r="L18" s="362">
        <f>L16+L17</f>
        <v>2617803</v>
      </c>
      <c r="M18" s="351">
        <f>L18/L7</f>
        <v>0.42462266890078038</v>
      </c>
      <c r="N18" s="362">
        <f>N16+N17</f>
        <v>2686649</v>
      </c>
      <c r="O18" s="351">
        <f>N18/N7</f>
        <v>0.45475147893939522</v>
      </c>
      <c r="P18" s="362">
        <f>P16+P17</f>
        <v>2670879</v>
      </c>
      <c r="Q18" s="351">
        <f>P18/P7</f>
        <v>0.40950678338624247</v>
      </c>
      <c r="R18" s="362">
        <f>R16+R17</f>
        <v>2193659</v>
      </c>
      <c r="S18" s="351">
        <f>R18/R7</f>
        <v>0.48618307350041068</v>
      </c>
      <c r="T18" s="362">
        <f>T16+T17</f>
        <v>2594526</v>
      </c>
      <c r="U18" s="351">
        <f>T18/T7</f>
        <v>0.4782470288429192</v>
      </c>
      <c r="V18" s="362">
        <f>V16+V17</f>
        <v>2937885</v>
      </c>
      <c r="W18" s="351">
        <f>V18/V7</f>
        <v>0.52882173257996989</v>
      </c>
      <c r="X18" s="362">
        <f>X16+X17</f>
        <v>2904164</v>
      </c>
      <c r="Y18" s="351">
        <f>X18/X7</f>
        <v>0.47514606153317573</v>
      </c>
      <c r="Z18" s="362">
        <f>Z16+Z17</f>
        <v>2991832</v>
      </c>
      <c r="AA18" s="351">
        <f>Z18/Z7</f>
        <v>0.37873879986733272</v>
      </c>
      <c r="AB18" s="341"/>
      <c r="AC18" s="353">
        <f t="shared" si="0"/>
        <v>31329915</v>
      </c>
      <c r="AD18" s="354">
        <f t="shared" si="1"/>
        <v>0.43989803436372577</v>
      </c>
    </row>
    <row r="19" spans="1:30" ht="15" customHeight="1" outlineLevel="1" thickTop="1">
      <c r="A19" s="676" t="s">
        <v>243</v>
      </c>
      <c r="B19" s="677"/>
      <c r="C19" s="363" t="s">
        <v>244</v>
      </c>
      <c r="D19" s="364">
        <f>D42</f>
        <v>1886544</v>
      </c>
      <c r="E19" s="365">
        <f>D19/D7</f>
        <v>0.37864359439897527</v>
      </c>
      <c r="F19" s="364">
        <f>G2</f>
        <v>1777663</v>
      </c>
      <c r="G19" s="365">
        <f>F19/F7</f>
        <v>0.35540252267670031</v>
      </c>
      <c r="H19" s="364">
        <f>I2</f>
        <v>2136935</v>
      </c>
      <c r="I19" s="365">
        <f>H19/H7</f>
        <v>0.3307624298172594</v>
      </c>
      <c r="J19" s="364">
        <f>K2</f>
        <v>3575772</v>
      </c>
      <c r="K19" s="365">
        <f>J19/J7</f>
        <v>0.53556323171910736</v>
      </c>
      <c r="L19" s="364">
        <f>M2</f>
        <v>2108269</v>
      </c>
      <c r="M19" s="365">
        <f>L19/L7</f>
        <v>0.34197333013247344</v>
      </c>
      <c r="N19" s="364">
        <f>O2</f>
        <v>3786280</v>
      </c>
      <c r="O19" s="365">
        <f>N19/N7</f>
        <v>0.64087881583290307</v>
      </c>
      <c r="P19" s="364">
        <f>Q2</f>
        <v>3135203</v>
      </c>
      <c r="Q19" s="365">
        <f>P19/P7</f>
        <v>0.48069826292875778</v>
      </c>
      <c r="R19" s="364">
        <f>S2</f>
        <v>1526066</v>
      </c>
      <c r="S19" s="365">
        <f>R19/R7</f>
        <v>0.33822369759587873</v>
      </c>
      <c r="T19" s="364">
        <f>U2</f>
        <v>2070876</v>
      </c>
      <c r="U19" s="365">
        <f>T19/T7</f>
        <v>0.3817230176541338</v>
      </c>
      <c r="V19" s="364">
        <f>W2</f>
        <v>2301711</v>
      </c>
      <c r="W19" s="365">
        <f>V19/V7</f>
        <v>0.41430988582547479</v>
      </c>
      <c r="X19" s="364">
        <f>Y2</f>
        <v>1745321</v>
      </c>
      <c r="Y19" s="365">
        <f>X19/X7</f>
        <v>0.28554943841365149</v>
      </c>
      <c r="Z19" s="364">
        <f>AA2</f>
        <v>2648227</v>
      </c>
      <c r="AA19" s="365">
        <f>Z19/Z7</f>
        <v>0.33524152283826997</v>
      </c>
      <c r="AB19" s="341"/>
      <c r="AC19" s="357">
        <f t="shared" si="0"/>
        <v>28698867</v>
      </c>
      <c r="AD19" s="358">
        <f t="shared" si="1"/>
        <v>0.40295593466391455</v>
      </c>
    </row>
    <row r="20" spans="1:30" ht="15" customHeight="1" outlineLevel="1">
      <c r="A20" s="678"/>
      <c r="B20" s="679"/>
      <c r="C20" s="366" t="s">
        <v>245</v>
      </c>
      <c r="D20" s="367">
        <f>D51</f>
        <v>788242</v>
      </c>
      <c r="E20" s="339">
        <f>D20/D7</f>
        <v>0.15820610817252981</v>
      </c>
      <c r="F20" s="367">
        <f>F51</f>
        <v>1065475</v>
      </c>
      <c r="G20" s="339">
        <f>F20/F7</f>
        <v>0.21301703576491005</v>
      </c>
      <c r="H20" s="367">
        <f>H51</f>
        <v>1033411</v>
      </c>
      <c r="I20" s="339">
        <f>H20/H7</f>
        <v>0.15995504465970367</v>
      </c>
      <c r="J20" s="367">
        <f>J51</f>
        <v>904443</v>
      </c>
      <c r="K20" s="339">
        <f>J20/J7</f>
        <v>0.13546345124513659</v>
      </c>
      <c r="L20" s="367">
        <f>L51</f>
        <v>801115</v>
      </c>
      <c r="M20" s="339">
        <f>L20/L7</f>
        <v>0.12994545021013754</v>
      </c>
      <c r="N20" s="367">
        <f>N51</f>
        <v>829650</v>
      </c>
      <c r="O20" s="339">
        <f>N20/N7</f>
        <v>0.14042942137289585</v>
      </c>
      <c r="P20" s="367">
        <f>P51</f>
        <v>875410</v>
      </c>
      <c r="Q20" s="339">
        <f>P20/P7</f>
        <v>0.1342203571349172</v>
      </c>
      <c r="R20" s="367">
        <f>R51</f>
        <v>553656</v>
      </c>
      <c r="S20" s="339">
        <f>R20/R7</f>
        <v>0.12270739241693598</v>
      </c>
      <c r="T20" s="367">
        <f>T51</f>
        <v>841300</v>
      </c>
      <c r="U20" s="339">
        <f>T20/T7</f>
        <v>0.15507619710326587</v>
      </c>
      <c r="V20" s="367">
        <f>V51</f>
        <v>1192073</v>
      </c>
      <c r="W20" s="339">
        <f>V20/V7</f>
        <v>0.21457412704098439</v>
      </c>
      <c r="X20" s="367">
        <f>X51</f>
        <v>1168012</v>
      </c>
      <c r="Y20" s="339">
        <f>X20/X7</f>
        <v>0.19109674991615061</v>
      </c>
      <c r="Z20" s="367">
        <f>Z51</f>
        <v>1318465</v>
      </c>
      <c r="AA20" s="339">
        <f>Z20/Z7</f>
        <v>0.16690571254237632</v>
      </c>
      <c r="AB20" s="341"/>
      <c r="AC20" s="342">
        <f t="shared" si="0"/>
        <v>11371252</v>
      </c>
      <c r="AD20" s="343">
        <f t="shared" si="1"/>
        <v>0.15966182490615075</v>
      </c>
    </row>
    <row r="21" spans="1:30" ht="15" customHeight="1" outlineLevel="1" thickBot="1">
      <c r="A21" s="680"/>
      <c r="B21" s="681"/>
      <c r="C21" s="349" t="s">
        <v>246</v>
      </c>
      <c r="D21" s="368">
        <f t="shared" ref="D21:AA21" si="2">D19+D20</f>
        <v>2674786</v>
      </c>
      <c r="E21" s="369">
        <f t="shared" si="2"/>
        <v>0.53684970257150511</v>
      </c>
      <c r="F21" s="368">
        <f t="shared" si="2"/>
        <v>2843138</v>
      </c>
      <c r="G21" s="369">
        <f t="shared" si="2"/>
        <v>0.5684195584416103</v>
      </c>
      <c r="H21" s="368">
        <f t="shared" si="2"/>
        <v>3170346</v>
      </c>
      <c r="I21" s="369">
        <f t="shared" si="2"/>
        <v>0.49071747447696307</v>
      </c>
      <c r="J21" s="368">
        <f t="shared" si="2"/>
        <v>4480215</v>
      </c>
      <c r="K21" s="369">
        <f t="shared" si="2"/>
        <v>0.67102668296424395</v>
      </c>
      <c r="L21" s="368">
        <f t="shared" si="2"/>
        <v>2909384</v>
      </c>
      <c r="M21" s="369">
        <f t="shared" si="2"/>
        <v>0.47191878034261098</v>
      </c>
      <c r="N21" s="368">
        <f t="shared" si="2"/>
        <v>4615930</v>
      </c>
      <c r="O21" s="369">
        <f t="shared" si="2"/>
        <v>0.78130823720579889</v>
      </c>
      <c r="P21" s="368">
        <f t="shared" si="2"/>
        <v>4010613</v>
      </c>
      <c r="Q21" s="369">
        <f t="shared" si="2"/>
        <v>0.61491862006367493</v>
      </c>
      <c r="R21" s="368">
        <f t="shared" si="2"/>
        <v>2079722</v>
      </c>
      <c r="S21" s="369">
        <f t="shared" si="2"/>
        <v>0.46093109001281474</v>
      </c>
      <c r="T21" s="368">
        <f t="shared" si="2"/>
        <v>2912176</v>
      </c>
      <c r="U21" s="369">
        <f t="shared" si="2"/>
        <v>0.53679921475739967</v>
      </c>
      <c r="V21" s="368">
        <f t="shared" si="2"/>
        <v>3493784</v>
      </c>
      <c r="W21" s="369">
        <f t="shared" si="2"/>
        <v>0.62888401286645923</v>
      </c>
      <c r="X21" s="368">
        <f t="shared" si="2"/>
        <v>2913333</v>
      </c>
      <c r="Y21" s="369">
        <f t="shared" si="2"/>
        <v>0.4766461883298021</v>
      </c>
      <c r="Z21" s="368">
        <f t="shared" si="2"/>
        <v>3966692</v>
      </c>
      <c r="AA21" s="369">
        <f t="shared" si="2"/>
        <v>0.50214723538064632</v>
      </c>
      <c r="AB21" s="341"/>
      <c r="AC21" s="353">
        <f t="shared" si="0"/>
        <v>40070119</v>
      </c>
      <c r="AD21" s="354">
        <f t="shared" si="1"/>
        <v>0.56261775957006532</v>
      </c>
    </row>
    <row r="22" spans="1:30" ht="26" outlineLevel="1" thickTop="1" thickBot="1">
      <c r="A22" s="688" t="s">
        <v>247</v>
      </c>
      <c r="B22" s="689"/>
      <c r="C22" s="690"/>
      <c r="D22" s="674">
        <f>(D7-D21)/D7</f>
        <v>0.46315029742849495</v>
      </c>
      <c r="E22" s="675"/>
      <c r="F22" s="674">
        <f>(F7-F21)/F7</f>
        <v>0.43158044155838965</v>
      </c>
      <c r="G22" s="675"/>
      <c r="H22" s="674">
        <f>(H7-H21)/H7</f>
        <v>0.50928252552303688</v>
      </c>
      <c r="I22" s="675"/>
      <c r="J22" s="674">
        <f>(J7-J21)/J7</f>
        <v>0.32897331703575605</v>
      </c>
      <c r="K22" s="675"/>
      <c r="L22" s="674">
        <f>(L7-L21)/L7</f>
        <v>0.52808121965738908</v>
      </c>
      <c r="M22" s="675"/>
      <c r="N22" s="674">
        <f>(N7-N21)/N7</f>
        <v>0.21869176279420102</v>
      </c>
      <c r="O22" s="675"/>
      <c r="P22" s="674">
        <f>(P7-P21)/P7</f>
        <v>0.38508137993632502</v>
      </c>
      <c r="Q22" s="675"/>
      <c r="R22" s="674">
        <f>(R7-R21)/R7</f>
        <v>0.53906890998718526</v>
      </c>
      <c r="S22" s="675"/>
      <c r="T22" s="674">
        <f>(T7-T21)/T7</f>
        <v>0.46320078524260033</v>
      </c>
      <c r="U22" s="675"/>
      <c r="V22" s="674">
        <f>(V7-V21)/V7</f>
        <v>0.37111598713354083</v>
      </c>
      <c r="W22" s="675"/>
      <c r="X22" s="674">
        <f>(X7-X21)/X7</f>
        <v>0.5233538116701979</v>
      </c>
      <c r="Y22" s="675"/>
      <c r="Z22" s="674">
        <f>(Z7-Z21)/Z7</f>
        <v>0.49785276461935374</v>
      </c>
      <c r="AA22" s="675"/>
      <c r="AB22" s="341"/>
      <c r="AC22" s="674">
        <f>(AC7-AC21)/AC7</f>
        <v>0.43738224042993473</v>
      </c>
      <c r="AD22" s="675"/>
    </row>
    <row r="23" spans="1:30" ht="23" customHeight="1" outlineLevel="1" thickTop="1" thickBot="1">
      <c r="A23" s="671" t="s">
        <v>248</v>
      </c>
      <c r="B23" s="672"/>
      <c r="C23" s="673"/>
      <c r="D23" s="370">
        <f>D7-D10</f>
        <v>-1558085.2143572206</v>
      </c>
      <c r="E23" s="371">
        <f>D23/D7</f>
        <v>-0.31271944144643105</v>
      </c>
      <c r="F23" s="370">
        <f>F7-F10</f>
        <v>-2122004.2909564264</v>
      </c>
      <c r="G23" s="371">
        <f>F23/F7</f>
        <v>-0.42424558430742876</v>
      </c>
      <c r="H23" s="370">
        <f>H7-H10</f>
        <v>-1326828.6260019466</v>
      </c>
      <c r="I23" s="371">
        <f>H23/H7</f>
        <v>-0.20537127254104576</v>
      </c>
      <c r="J23" s="370">
        <f>J7-J10</f>
        <v>-1290918.082670006</v>
      </c>
      <c r="K23" s="371">
        <f>J23/J7</f>
        <v>-0.19334797079886026</v>
      </c>
      <c r="L23" s="370">
        <f>L7-L10</f>
        <v>-1516184.6190182716</v>
      </c>
      <c r="M23" s="371">
        <f>L23/L7</f>
        <v>-0.24593384585236222</v>
      </c>
      <c r="N23" s="370">
        <f>N7-N10</f>
        <v>-2481628.9616406206</v>
      </c>
      <c r="O23" s="371">
        <f>N23/N7</f>
        <v>-0.4200490799076872</v>
      </c>
      <c r="P23" s="370">
        <f>P7-P10</f>
        <v>-1559847.4657349978</v>
      </c>
      <c r="Q23" s="371">
        <f>P23/P7</f>
        <v>-0.23916026082286806</v>
      </c>
      <c r="R23" s="370">
        <f>R7-R10</f>
        <v>-2129476.6896202844</v>
      </c>
      <c r="S23" s="371">
        <f>R23/R7</f>
        <v>-0.47195827697334453</v>
      </c>
      <c r="T23" s="370">
        <f>T7-T10</f>
        <v>-2138574.3342502387</v>
      </c>
      <c r="U23" s="371">
        <f>T23/T7</f>
        <v>-0.39420180075855887</v>
      </c>
      <c r="V23" s="370">
        <f>V7-V10</f>
        <v>-2468890.1627710257</v>
      </c>
      <c r="W23" s="371">
        <f>V23/V7</f>
        <v>-0.44440227354924294</v>
      </c>
      <c r="X23" s="370">
        <f>X7-X10</f>
        <v>-1995215.6282956889</v>
      </c>
      <c r="Y23" s="371">
        <f>X23/X7</f>
        <v>-0.326434336247587</v>
      </c>
      <c r="Z23" s="370">
        <f>Z7-Z10</f>
        <v>-1117477.2255723514</v>
      </c>
      <c r="AA23" s="371">
        <f>Z23/Z7</f>
        <v>-0.141462482951031</v>
      </c>
      <c r="AB23" s="315"/>
      <c r="AC23" s="372">
        <f>AC7-AC10</f>
        <v>-21705131.300889075</v>
      </c>
      <c r="AD23" s="373">
        <f>AC23/AC7</f>
        <v>-0.30475807530494997</v>
      </c>
    </row>
    <row r="24" spans="1:30" ht="23" customHeight="1" outlineLevel="1" thickTop="1">
      <c r="A24" s="374"/>
      <c r="B24" s="374"/>
      <c r="C24" s="375"/>
      <c r="D24" s="669" t="s">
        <v>201</v>
      </c>
      <c r="E24" s="669"/>
      <c r="F24" s="669" t="s">
        <v>206</v>
      </c>
      <c r="G24" s="669"/>
      <c r="H24" s="669" t="s">
        <v>216</v>
      </c>
      <c r="I24" s="669"/>
      <c r="J24" s="669" t="s">
        <v>249</v>
      </c>
      <c r="K24" s="669"/>
      <c r="L24" s="669" t="s">
        <v>250</v>
      </c>
      <c r="M24" s="669"/>
      <c r="N24" s="669" t="s">
        <v>251</v>
      </c>
      <c r="O24" s="669"/>
      <c r="P24" s="669" t="s">
        <v>252</v>
      </c>
      <c r="Q24" s="669"/>
      <c r="R24" s="669" t="s">
        <v>253</v>
      </c>
      <c r="S24" s="669"/>
      <c r="T24" s="669" t="s">
        <v>254</v>
      </c>
      <c r="U24" s="669"/>
      <c r="V24" s="669" t="s">
        <v>255</v>
      </c>
      <c r="W24" s="669"/>
      <c r="X24" s="669" t="s">
        <v>256</v>
      </c>
      <c r="Y24" s="669"/>
      <c r="Z24" s="669" t="s">
        <v>257</v>
      </c>
      <c r="AA24" s="670"/>
      <c r="AB24" s="376"/>
      <c r="AC24" s="377"/>
      <c r="AD24" s="377"/>
    </row>
    <row r="25" spans="1:30" ht="15" customHeight="1" outlineLevel="1" thickBot="1">
      <c r="A25" s="378"/>
      <c r="B25" s="378"/>
      <c r="C25" s="379" t="s">
        <v>184</v>
      </c>
      <c r="D25" s="659">
        <v>22</v>
      </c>
      <c r="E25" s="659"/>
      <c r="F25" s="659">
        <v>23</v>
      </c>
      <c r="G25" s="659"/>
      <c r="H25" s="659">
        <v>25</v>
      </c>
      <c r="I25" s="659"/>
      <c r="J25" s="659">
        <v>25</v>
      </c>
      <c r="K25" s="659"/>
      <c r="L25" s="659">
        <v>24</v>
      </c>
      <c r="M25" s="659"/>
      <c r="N25" s="659">
        <v>25</v>
      </c>
      <c r="O25" s="659"/>
      <c r="P25" s="659">
        <v>26</v>
      </c>
      <c r="Q25" s="659"/>
      <c r="R25" s="659">
        <v>22</v>
      </c>
      <c r="S25" s="659"/>
      <c r="T25" s="659">
        <v>23</v>
      </c>
      <c r="U25" s="659"/>
      <c r="V25" s="659">
        <v>26</v>
      </c>
      <c r="W25" s="659"/>
      <c r="X25" s="659">
        <v>25</v>
      </c>
      <c r="Y25" s="659"/>
      <c r="Z25" s="659">
        <v>24</v>
      </c>
      <c r="AA25" s="659"/>
      <c r="AB25" s="376"/>
      <c r="AC25" s="660">
        <f>SUM(D25:AA25)</f>
        <v>290</v>
      </c>
      <c r="AD25" s="661"/>
    </row>
    <row r="26" spans="1:30" ht="13.25" customHeight="1" thickBot="1">
      <c r="A26" s="380"/>
      <c r="B26" s="381"/>
      <c r="C26" s="382"/>
      <c r="D26" s="383" t="s">
        <v>258</v>
      </c>
      <c r="E26" s="384" t="s">
        <v>259</v>
      </c>
      <c r="F26" s="383" t="s">
        <v>258</v>
      </c>
      <c r="G26" s="384" t="s">
        <v>259</v>
      </c>
      <c r="H26" s="383" t="s">
        <v>258</v>
      </c>
      <c r="I26" s="384" t="s">
        <v>259</v>
      </c>
      <c r="J26" s="383" t="s">
        <v>258</v>
      </c>
      <c r="K26" s="384" t="s">
        <v>259</v>
      </c>
      <c r="L26" s="383" t="s">
        <v>258</v>
      </c>
      <c r="M26" s="384" t="s">
        <v>259</v>
      </c>
      <c r="N26" s="383" t="s">
        <v>258</v>
      </c>
      <c r="O26" s="384" t="s">
        <v>259</v>
      </c>
      <c r="P26" s="383" t="s">
        <v>258</v>
      </c>
      <c r="Q26" s="384" t="s">
        <v>259</v>
      </c>
      <c r="R26" s="383" t="s">
        <v>258</v>
      </c>
      <c r="S26" s="384" t="s">
        <v>259</v>
      </c>
      <c r="T26" s="383" t="s">
        <v>258</v>
      </c>
      <c r="U26" s="384" t="s">
        <v>259</v>
      </c>
      <c r="V26" s="383" t="s">
        <v>258</v>
      </c>
      <c r="W26" s="384" t="s">
        <v>259</v>
      </c>
      <c r="X26" s="383" t="s">
        <v>258</v>
      </c>
      <c r="Y26" s="384" t="s">
        <v>259</v>
      </c>
      <c r="Z26" s="383" t="s">
        <v>258</v>
      </c>
      <c r="AA26" s="385" t="s">
        <v>259</v>
      </c>
      <c r="AB26" s="386"/>
      <c r="AC26" s="387" t="s">
        <v>258</v>
      </c>
      <c r="AD26" s="388" t="s">
        <v>259</v>
      </c>
    </row>
    <row r="27" spans="1:30" ht="13.25" customHeight="1" outlineLevel="1">
      <c r="A27" s="662" t="s">
        <v>260</v>
      </c>
      <c r="B27" s="665" t="s">
        <v>232</v>
      </c>
      <c r="C27" s="873" t="s">
        <v>261</v>
      </c>
      <c r="D27" s="390">
        <v>696429</v>
      </c>
      <c r="E27" s="391">
        <f>D27/D$7</f>
        <v>0.13977854733506556</v>
      </c>
      <c r="F27" s="392">
        <v>696429</v>
      </c>
      <c r="G27" s="391">
        <f>F27/F$7</f>
        <v>0.13923484004854222</v>
      </c>
      <c r="H27" s="392">
        <v>696429</v>
      </c>
      <c r="I27" s="391">
        <f>H27/H$7</f>
        <v>0.1077957674123004</v>
      </c>
      <c r="J27" s="392">
        <v>696429</v>
      </c>
      <c r="K27" s="391">
        <f>J27/J$7</f>
        <v>0.10430803918787501</v>
      </c>
      <c r="L27" s="392">
        <v>696429</v>
      </c>
      <c r="M27" s="391">
        <f>L27/L$7</f>
        <v>0.11296478026799632</v>
      </c>
      <c r="N27" s="392">
        <v>696429</v>
      </c>
      <c r="O27" s="391">
        <f>N27/N$7</f>
        <v>0.11787997528753628</v>
      </c>
      <c r="P27" s="392">
        <v>696429</v>
      </c>
      <c r="Q27" s="391">
        <f>P27/P$7</f>
        <v>0.10677847991125673</v>
      </c>
      <c r="R27" s="392">
        <v>696429</v>
      </c>
      <c r="S27" s="391">
        <f>R27/R$7</f>
        <v>0.15435033051847052</v>
      </c>
      <c r="T27" s="392">
        <v>696429</v>
      </c>
      <c r="U27" s="391">
        <f>T27/T$7</f>
        <v>0.12837223448523752</v>
      </c>
      <c r="V27" s="392">
        <v>696429</v>
      </c>
      <c r="W27" s="391">
        <f>V27/V$7</f>
        <v>0.12535779664586458</v>
      </c>
      <c r="X27" s="392">
        <v>696429</v>
      </c>
      <c r="Y27" s="391">
        <f>X27/X$7</f>
        <v>0.11394173899527989</v>
      </c>
      <c r="Z27" s="392">
        <v>696429</v>
      </c>
      <c r="AA27" s="393">
        <f>Z27/Z$7</f>
        <v>8.8161595855919261E-2</v>
      </c>
      <c r="AB27" s="394"/>
      <c r="AC27" s="395">
        <f t="shared" ref="AC27:AC59" si="3">D27+F27+H27+J27+L27+N27+P27+R27+T27+V27+X27+Z27</f>
        <v>8357148</v>
      </c>
      <c r="AD27" s="396">
        <f>AC27/AC$7</f>
        <v>0.11734130073722646</v>
      </c>
    </row>
    <row r="28" spans="1:30" ht="13.25" customHeight="1" outlineLevel="1">
      <c r="A28" s="663"/>
      <c r="B28" s="666"/>
      <c r="C28" s="874" t="s">
        <v>262</v>
      </c>
      <c r="D28" s="398">
        <v>1359735</v>
      </c>
      <c r="E28" s="399">
        <f>D28/D$7</f>
        <v>0.27290905901483908</v>
      </c>
      <c r="F28" s="400">
        <v>1397503</v>
      </c>
      <c r="G28" s="399">
        <f t="shared" ref="G28:G58" si="4">F28/F$7</f>
        <v>0.27939834020748405</v>
      </c>
      <c r="H28" s="400">
        <v>1503672</v>
      </c>
      <c r="I28" s="399">
        <f t="shared" ref="I28:I60" si="5">H28/H$7</f>
        <v>0.2327437214366268</v>
      </c>
      <c r="J28" s="400">
        <v>1680037</v>
      </c>
      <c r="K28" s="399">
        <f t="shared" ref="K28:K60" si="6">J28/J$7</f>
        <v>0.25162847215305506</v>
      </c>
      <c r="L28" s="400">
        <v>1816688</v>
      </c>
      <c r="M28" s="399">
        <f t="shared" ref="M28:M60" si="7">L28/L$7</f>
        <v>0.29467721869064284</v>
      </c>
      <c r="N28" s="400">
        <v>1856999</v>
      </c>
      <c r="O28" s="399">
        <f t="shared" ref="O28:O60" si="8">N28/N$7</f>
        <v>0.31432205756649939</v>
      </c>
      <c r="P28" s="400">
        <v>1795469</v>
      </c>
      <c r="Q28" s="399">
        <f t="shared" ref="Q28:Q60" si="9">P28/P$7</f>
        <v>0.27528642625132527</v>
      </c>
      <c r="R28" s="400">
        <v>1640003</v>
      </c>
      <c r="S28" s="399">
        <f t="shared" ref="S28:S60" si="10">R28/R$7</f>
        <v>0.36347568108347472</v>
      </c>
      <c r="T28" s="400">
        <v>1753226</v>
      </c>
      <c r="U28" s="399">
        <f t="shared" ref="U28:U60" si="11">T28/T$7</f>
        <v>0.32317083173965339</v>
      </c>
      <c r="V28" s="400">
        <v>1745812</v>
      </c>
      <c r="W28" s="399">
        <f t="shared" ref="W28:W60" si="12">V28/V$7</f>
        <v>0.31424760553898545</v>
      </c>
      <c r="X28" s="400">
        <v>1736152</v>
      </c>
      <c r="Y28" s="399">
        <f t="shared" ref="Y28:Y60" si="13">X28/X$7</f>
        <v>0.28404931161702512</v>
      </c>
      <c r="Z28" s="400">
        <v>1673367</v>
      </c>
      <c r="AA28" s="401">
        <f t="shared" ref="AA28:AA60" si="14">Z28/Z$7</f>
        <v>0.2118330873249564</v>
      </c>
      <c r="AB28" s="394"/>
      <c r="AC28" s="402">
        <f t="shared" si="3"/>
        <v>19958663</v>
      </c>
      <c r="AD28" s="403">
        <f t="shared" ref="AD28:AD60" si="15">AC28/AC$7</f>
        <v>0.28023620945757505</v>
      </c>
    </row>
    <row r="29" spans="1:30" ht="13.25" customHeight="1" outlineLevel="1">
      <c r="A29" s="663"/>
      <c r="B29" s="666"/>
      <c r="C29" s="404" t="s">
        <v>263</v>
      </c>
      <c r="D29" s="405">
        <v>0</v>
      </c>
      <c r="E29" s="399">
        <f t="shared" ref="E29:E58" si="16">D29/D$7</f>
        <v>0</v>
      </c>
      <c r="F29" s="406">
        <v>0</v>
      </c>
      <c r="G29" s="399">
        <f t="shared" si="4"/>
        <v>0</v>
      </c>
      <c r="H29" s="406">
        <v>0</v>
      </c>
      <c r="I29" s="399">
        <f t="shared" si="5"/>
        <v>0</v>
      </c>
      <c r="J29" s="406">
        <v>0</v>
      </c>
      <c r="K29" s="399">
        <f t="shared" si="6"/>
        <v>0</v>
      </c>
      <c r="L29" s="406">
        <v>0</v>
      </c>
      <c r="M29" s="399">
        <f t="shared" si="7"/>
        <v>0</v>
      </c>
      <c r="N29" s="406">
        <v>0</v>
      </c>
      <c r="O29" s="399">
        <f t="shared" si="8"/>
        <v>0</v>
      </c>
      <c r="P29" s="406">
        <v>0</v>
      </c>
      <c r="Q29" s="399">
        <f t="shared" si="9"/>
        <v>0</v>
      </c>
      <c r="R29" s="406">
        <v>0</v>
      </c>
      <c r="S29" s="399">
        <f t="shared" si="10"/>
        <v>0</v>
      </c>
      <c r="T29" s="406">
        <v>0</v>
      </c>
      <c r="U29" s="399">
        <f t="shared" si="11"/>
        <v>0</v>
      </c>
      <c r="V29" s="406">
        <v>0</v>
      </c>
      <c r="W29" s="399">
        <f t="shared" si="12"/>
        <v>0</v>
      </c>
      <c r="X29" s="406">
        <v>0</v>
      </c>
      <c r="Y29" s="399">
        <f t="shared" si="13"/>
        <v>0</v>
      </c>
      <c r="Z29" s="406">
        <v>0</v>
      </c>
      <c r="AA29" s="401">
        <f t="shared" si="14"/>
        <v>0</v>
      </c>
      <c r="AB29" s="394"/>
      <c r="AC29" s="402">
        <f t="shared" si="3"/>
        <v>0</v>
      </c>
      <c r="AD29" s="403">
        <f t="shared" si="15"/>
        <v>0</v>
      </c>
    </row>
    <row r="30" spans="1:30" ht="13.25" customHeight="1" outlineLevel="1">
      <c r="A30" s="663"/>
      <c r="B30" s="666"/>
      <c r="C30" s="404" t="s">
        <v>264</v>
      </c>
      <c r="D30" s="405">
        <v>40920</v>
      </c>
      <c r="E30" s="399">
        <f t="shared" si="16"/>
        <v>8.212952299446007E-3</v>
      </c>
      <c r="F30" s="406">
        <v>40920</v>
      </c>
      <c r="G30" s="399">
        <f t="shared" si="4"/>
        <v>8.1810057518948067E-3</v>
      </c>
      <c r="H30" s="406">
        <v>40920</v>
      </c>
      <c r="I30" s="399">
        <f t="shared" si="5"/>
        <v>6.3337437161739858E-3</v>
      </c>
      <c r="J30" s="406">
        <v>40920</v>
      </c>
      <c r="K30" s="399">
        <f t="shared" si="6"/>
        <v>6.1288156632877799E-3</v>
      </c>
      <c r="L30" s="406">
        <v>40920</v>
      </c>
      <c r="M30" s="399">
        <f t="shared" si="7"/>
        <v>6.6374588200181347E-3</v>
      </c>
      <c r="N30" s="406">
        <v>40920</v>
      </c>
      <c r="O30" s="399">
        <f t="shared" si="8"/>
        <v>6.9262603779652841E-3</v>
      </c>
      <c r="P30" s="406">
        <v>40920</v>
      </c>
      <c r="Q30" s="399">
        <f t="shared" si="9"/>
        <v>6.2739710695112142E-3</v>
      </c>
      <c r="R30" s="406">
        <v>40920</v>
      </c>
      <c r="S30" s="399">
        <f t="shared" si="10"/>
        <v>9.0691449161591688E-3</v>
      </c>
      <c r="T30" s="406">
        <v>40920</v>
      </c>
      <c r="U30" s="399">
        <f t="shared" si="11"/>
        <v>7.5427528651677627E-3</v>
      </c>
      <c r="V30" s="406">
        <v>40920</v>
      </c>
      <c r="W30" s="399">
        <f t="shared" si="12"/>
        <v>7.3656338819158571E-3</v>
      </c>
      <c r="X30" s="406">
        <v>40920</v>
      </c>
      <c r="Y30" s="399">
        <f t="shared" si="13"/>
        <v>6.6948618734815083E-3</v>
      </c>
      <c r="Z30" s="406">
        <v>40920</v>
      </c>
      <c r="AA30" s="401">
        <f t="shared" si="14"/>
        <v>5.1801009182906171E-3</v>
      </c>
      <c r="AB30" s="394"/>
      <c r="AC30" s="402">
        <f t="shared" si="3"/>
        <v>491040</v>
      </c>
      <c r="AD30" s="403">
        <f t="shared" si="15"/>
        <v>6.8946095383266726E-3</v>
      </c>
    </row>
    <row r="31" spans="1:30" ht="13.25" customHeight="1" outlineLevel="1">
      <c r="A31" s="663"/>
      <c r="B31" s="666"/>
      <c r="C31" s="404" t="s">
        <v>265</v>
      </c>
      <c r="D31" s="405">
        <v>500</v>
      </c>
      <c r="E31" s="399">
        <f t="shared" si="16"/>
        <v>1.0035376709978015E-4</v>
      </c>
      <c r="F31" s="406">
        <v>500</v>
      </c>
      <c r="G31" s="399">
        <f t="shared" si="4"/>
        <v>9.996341339069901E-5</v>
      </c>
      <c r="H31" s="406">
        <v>500</v>
      </c>
      <c r="I31" s="399">
        <f t="shared" si="5"/>
        <v>7.739178538824518E-5</v>
      </c>
      <c r="J31" s="406">
        <v>500</v>
      </c>
      <c r="K31" s="399">
        <f t="shared" si="6"/>
        <v>7.4887776921893698E-5</v>
      </c>
      <c r="L31" s="406">
        <v>500</v>
      </c>
      <c r="M31" s="399">
        <f t="shared" si="7"/>
        <v>8.1102869257308586E-5</v>
      </c>
      <c r="N31" s="406">
        <v>500</v>
      </c>
      <c r="O31" s="399">
        <f t="shared" si="8"/>
        <v>8.4631725048451667E-5</v>
      </c>
      <c r="P31" s="406">
        <v>500</v>
      </c>
      <c r="Q31" s="399">
        <f t="shared" si="9"/>
        <v>7.6661425580537814E-5</v>
      </c>
      <c r="R31" s="406">
        <v>500</v>
      </c>
      <c r="S31" s="399">
        <f t="shared" si="10"/>
        <v>1.1081555371650987E-4</v>
      </c>
      <c r="T31" s="406">
        <v>500</v>
      </c>
      <c r="U31" s="399">
        <f t="shared" si="11"/>
        <v>9.2164624452196515E-5</v>
      </c>
      <c r="V31" s="406">
        <v>500</v>
      </c>
      <c r="W31" s="399">
        <f t="shared" si="12"/>
        <v>9.0000414001904406E-5</v>
      </c>
      <c r="X31" s="406">
        <v>500</v>
      </c>
      <c r="Y31" s="399">
        <f t="shared" si="13"/>
        <v>8.1804275091416272E-5</v>
      </c>
      <c r="Z31" s="406">
        <v>500</v>
      </c>
      <c r="AA31" s="401">
        <f t="shared" si="14"/>
        <v>6.329546576601439E-5</v>
      </c>
      <c r="AB31" s="394"/>
      <c r="AC31" s="407">
        <f t="shared" si="3"/>
        <v>6000</v>
      </c>
      <c r="AD31" s="403">
        <f t="shared" si="15"/>
        <v>8.4244984583659247E-5</v>
      </c>
    </row>
    <row r="32" spans="1:30" ht="13.25" customHeight="1" outlineLevel="1">
      <c r="A32" s="663"/>
      <c r="B32" s="666"/>
      <c r="C32" s="404" t="s">
        <v>266</v>
      </c>
      <c r="D32" s="405">
        <v>112200</v>
      </c>
      <c r="E32" s="399">
        <f t="shared" si="16"/>
        <v>2.2519385337190664E-2</v>
      </c>
      <c r="F32" s="408">
        <v>16500</v>
      </c>
      <c r="G32" s="399">
        <f t="shared" si="4"/>
        <v>3.298792641893067E-3</v>
      </c>
      <c r="H32" s="406">
        <v>16500</v>
      </c>
      <c r="I32" s="399">
        <f t="shared" si="5"/>
        <v>2.5539289178120911E-3</v>
      </c>
      <c r="J32" s="406">
        <v>16500</v>
      </c>
      <c r="K32" s="399">
        <f t="shared" si="6"/>
        <v>2.471296638422492E-3</v>
      </c>
      <c r="L32" s="406">
        <v>16500</v>
      </c>
      <c r="M32" s="399">
        <f t="shared" si="7"/>
        <v>2.6763946854911833E-3</v>
      </c>
      <c r="N32" s="406">
        <v>16500</v>
      </c>
      <c r="O32" s="399">
        <f t="shared" si="8"/>
        <v>2.7928469265989047E-3</v>
      </c>
      <c r="P32" s="406">
        <v>16500</v>
      </c>
      <c r="Q32" s="399">
        <f t="shared" si="9"/>
        <v>2.5298270441577479E-3</v>
      </c>
      <c r="R32" s="406">
        <v>16500</v>
      </c>
      <c r="S32" s="399">
        <f t="shared" si="10"/>
        <v>3.6569132726448259E-3</v>
      </c>
      <c r="T32" s="406">
        <v>16500</v>
      </c>
      <c r="U32" s="399">
        <f t="shared" si="11"/>
        <v>3.0414326069224851E-3</v>
      </c>
      <c r="V32" s="406">
        <v>16500</v>
      </c>
      <c r="W32" s="399">
        <f t="shared" si="12"/>
        <v>2.9700136620628456E-3</v>
      </c>
      <c r="X32" s="406">
        <v>16500</v>
      </c>
      <c r="Y32" s="399">
        <f t="shared" si="13"/>
        <v>2.6995410780167373E-3</v>
      </c>
      <c r="Z32" s="406">
        <v>16500</v>
      </c>
      <c r="AA32" s="401">
        <f t="shared" si="14"/>
        <v>2.0887503702784749E-3</v>
      </c>
      <c r="AB32" s="394"/>
      <c r="AC32" s="407">
        <f t="shared" si="3"/>
        <v>293700</v>
      </c>
      <c r="AD32" s="403">
        <f t="shared" si="15"/>
        <v>4.1237919953701204E-3</v>
      </c>
    </row>
    <row r="33" spans="1:30" ht="13.25" customHeight="1" outlineLevel="1">
      <c r="A33" s="663"/>
      <c r="B33" s="666"/>
      <c r="C33" s="404" t="s">
        <v>267</v>
      </c>
      <c r="D33" s="405">
        <v>0</v>
      </c>
      <c r="E33" s="399">
        <f t="shared" si="16"/>
        <v>0</v>
      </c>
      <c r="F33" s="406">
        <v>0</v>
      </c>
      <c r="G33" s="399">
        <f t="shared" si="4"/>
        <v>0</v>
      </c>
      <c r="H33" s="406">
        <v>0</v>
      </c>
      <c r="I33" s="399">
        <f t="shared" si="5"/>
        <v>0</v>
      </c>
      <c r="J33" s="406">
        <v>0</v>
      </c>
      <c r="K33" s="399">
        <f t="shared" si="6"/>
        <v>0</v>
      </c>
      <c r="L33" s="406">
        <v>0</v>
      </c>
      <c r="M33" s="399">
        <f t="shared" si="7"/>
        <v>0</v>
      </c>
      <c r="N33" s="409">
        <v>0</v>
      </c>
      <c r="O33" s="399">
        <f t="shared" si="8"/>
        <v>0</v>
      </c>
      <c r="P33" s="406">
        <v>0</v>
      </c>
      <c r="Q33" s="399">
        <f t="shared" si="9"/>
        <v>0</v>
      </c>
      <c r="R33" s="406">
        <v>0</v>
      </c>
      <c r="S33" s="399">
        <f t="shared" si="10"/>
        <v>0</v>
      </c>
      <c r="T33" s="406">
        <v>0</v>
      </c>
      <c r="U33" s="399">
        <f t="shared" si="11"/>
        <v>0</v>
      </c>
      <c r="V33" s="406">
        <v>0</v>
      </c>
      <c r="W33" s="399">
        <f t="shared" si="12"/>
        <v>0</v>
      </c>
      <c r="X33" s="406">
        <v>0</v>
      </c>
      <c r="Y33" s="399">
        <f t="shared" si="13"/>
        <v>0</v>
      </c>
      <c r="Z33" s="406">
        <v>0</v>
      </c>
      <c r="AA33" s="401">
        <f t="shared" si="14"/>
        <v>0</v>
      </c>
      <c r="AB33" s="394"/>
      <c r="AC33" s="407">
        <f t="shared" si="3"/>
        <v>0</v>
      </c>
      <c r="AD33" s="403">
        <f t="shared" si="15"/>
        <v>0</v>
      </c>
    </row>
    <row r="34" spans="1:30" ht="13.25" customHeight="1" outlineLevel="1">
      <c r="A34" s="663"/>
      <c r="B34" s="666"/>
      <c r="C34" s="404" t="s">
        <v>268</v>
      </c>
      <c r="D34" s="405">
        <v>122620</v>
      </c>
      <c r="E34" s="399">
        <f t="shared" si="16"/>
        <v>2.4610757843550084E-2</v>
      </c>
      <c r="F34" s="406">
        <v>122620</v>
      </c>
      <c r="G34" s="399">
        <f t="shared" si="4"/>
        <v>2.4515027499935022E-2</v>
      </c>
      <c r="H34" s="406">
        <v>122620</v>
      </c>
      <c r="I34" s="399">
        <f t="shared" si="5"/>
        <v>1.8979561448613246E-2</v>
      </c>
      <c r="J34" s="406">
        <v>122620</v>
      </c>
      <c r="K34" s="399">
        <f t="shared" si="6"/>
        <v>1.836547841232521E-2</v>
      </c>
      <c r="L34" s="406">
        <v>122620</v>
      </c>
      <c r="M34" s="399">
        <f t="shared" si="7"/>
        <v>1.9889667656662356E-2</v>
      </c>
      <c r="N34" s="406">
        <v>122620</v>
      </c>
      <c r="O34" s="399">
        <f t="shared" si="8"/>
        <v>2.0755084250882287E-2</v>
      </c>
      <c r="P34" s="406">
        <v>122620</v>
      </c>
      <c r="Q34" s="399">
        <f t="shared" si="9"/>
        <v>1.8800448009371092E-2</v>
      </c>
      <c r="R34" s="406">
        <v>122620</v>
      </c>
      <c r="S34" s="399">
        <f t="shared" si="10"/>
        <v>2.7176406393436884E-2</v>
      </c>
      <c r="T34" s="406">
        <v>122620</v>
      </c>
      <c r="U34" s="399">
        <f t="shared" si="11"/>
        <v>2.2602452500656674E-2</v>
      </c>
      <c r="V34" s="406">
        <v>122620</v>
      </c>
      <c r="W34" s="399">
        <f t="shared" si="12"/>
        <v>2.2071701529827036E-2</v>
      </c>
      <c r="X34" s="406">
        <v>122620</v>
      </c>
      <c r="Y34" s="399">
        <f t="shared" si="13"/>
        <v>2.0061680423418927E-2</v>
      </c>
      <c r="Z34" s="406">
        <v>122620</v>
      </c>
      <c r="AA34" s="401">
        <f t="shared" si="14"/>
        <v>1.5522580024457368E-2</v>
      </c>
      <c r="AB34" s="394"/>
      <c r="AC34" s="407">
        <f t="shared" si="3"/>
        <v>1471440</v>
      </c>
      <c r="AD34" s="403">
        <f t="shared" si="15"/>
        <v>2.0660240019296595E-2</v>
      </c>
    </row>
    <row r="35" spans="1:30" ht="13.25" customHeight="1" outlineLevel="1">
      <c r="A35" s="663"/>
      <c r="B35" s="666"/>
      <c r="C35" s="404" t="s">
        <v>269</v>
      </c>
      <c r="D35" s="405">
        <v>0</v>
      </c>
      <c r="E35" s="399">
        <f t="shared" si="16"/>
        <v>0</v>
      </c>
      <c r="F35" s="406">
        <v>0</v>
      </c>
      <c r="G35" s="399">
        <f t="shared" si="4"/>
        <v>0</v>
      </c>
      <c r="H35" s="406">
        <v>0</v>
      </c>
      <c r="I35" s="399">
        <f t="shared" si="5"/>
        <v>0</v>
      </c>
      <c r="J35" s="406">
        <v>0</v>
      </c>
      <c r="K35" s="399">
        <f t="shared" si="6"/>
        <v>0</v>
      </c>
      <c r="L35" s="406">
        <v>0</v>
      </c>
      <c r="M35" s="399">
        <f t="shared" si="7"/>
        <v>0</v>
      </c>
      <c r="N35" s="406">
        <v>0</v>
      </c>
      <c r="O35" s="399">
        <f t="shared" si="8"/>
        <v>0</v>
      </c>
      <c r="P35" s="406">
        <v>0</v>
      </c>
      <c r="Q35" s="399">
        <f t="shared" si="9"/>
        <v>0</v>
      </c>
      <c r="R35" s="406">
        <v>0</v>
      </c>
      <c r="S35" s="399">
        <f t="shared" si="10"/>
        <v>0</v>
      </c>
      <c r="T35" s="406">
        <v>0</v>
      </c>
      <c r="U35" s="399">
        <f t="shared" si="11"/>
        <v>0</v>
      </c>
      <c r="V35" s="406">
        <v>0</v>
      </c>
      <c r="W35" s="399">
        <f t="shared" si="12"/>
        <v>0</v>
      </c>
      <c r="X35" s="406">
        <v>0</v>
      </c>
      <c r="Y35" s="399">
        <f t="shared" si="13"/>
        <v>0</v>
      </c>
      <c r="Z35" s="406">
        <v>0</v>
      </c>
      <c r="AA35" s="401">
        <f t="shared" si="14"/>
        <v>0</v>
      </c>
      <c r="AB35" s="394"/>
      <c r="AC35" s="407">
        <f t="shared" si="3"/>
        <v>0</v>
      </c>
      <c r="AD35" s="403">
        <f t="shared" si="15"/>
        <v>0</v>
      </c>
    </row>
    <row r="36" spans="1:30" ht="13.25" customHeight="1" outlineLevel="1">
      <c r="A36" s="663"/>
      <c r="B36" s="666"/>
      <c r="C36" s="404" t="s">
        <v>270</v>
      </c>
      <c r="D36" s="405">
        <v>0</v>
      </c>
      <c r="E36" s="399">
        <f t="shared" si="16"/>
        <v>0</v>
      </c>
      <c r="F36" s="406">
        <v>0</v>
      </c>
      <c r="G36" s="399">
        <f t="shared" si="4"/>
        <v>0</v>
      </c>
      <c r="H36" s="406">
        <v>0</v>
      </c>
      <c r="I36" s="399">
        <f t="shared" si="5"/>
        <v>0</v>
      </c>
      <c r="J36" s="406">
        <v>0</v>
      </c>
      <c r="K36" s="399">
        <f t="shared" si="6"/>
        <v>0</v>
      </c>
      <c r="L36" s="406">
        <v>0</v>
      </c>
      <c r="M36" s="399">
        <f t="shared" si="7"/>
        <v>0</v>
      </c>
      <c r="N36" s="406">
        <v>0</v>
      </c>
      <c r="O36" s="399">
        <f t="shared" si="8"/>
        <v>0</v>
      </c>
      <c r="P36" s="406">
        <v>0</v>
      </c>
      <c r="Q36" s="399">
        <f t="shared" si="9"/>
        <v>0</v>
      </c>
      <c r="R36" s="406">
        <v>0</v>
      </c>
      <c r="S36" s="399">
        <f t="shared" si="10"/>
        <v>0</v>
      </c>
      <c r="T36" s="406">
        <v>0</v>
      </c>
      <c r="U36" s="399">
        <f t="shared" si="11"/>
        <v>0</v>
      </c>
      <c r="V36" s="406">
        <v>0</v>
      </c>
      <c r="W36" s="399">
        <f t="shared" si="12"/>
        <v>0</v>
      </c>
      <c r="X36" s="406">
        <v>0</v>
      </c>
      <c r="Y36" s="399">
        <f t="shared" si="13"/>
        <v>0</v>
      </c>
      <c r="Z36" s="406">
        <v>24200</v>
      </c>
      <c r="AA36" s="401">
        <f t="shared" si="14"/>
        <v>3.0635005430750964E-3</v>
      </c>
      <c r="AB36" s="394"/>
      <c r="AC36" s="407">
        <f t="shared" si="3"/>
        <v>24200</v>
      </c>
      <c r="AD36" s="403">
        <f t="shared" si="15"/>
        <v>3.3978810448742565E-4</v>
      </c>
    </row>
    <row r="37" spans="1:30" ht="13.25" customHeight="1" outlineLevel="1">
      <c r="A37" s="663"/>
      <c r="B37" s="666"/>
      <c r="C37" s="404" t="s">
        <v>271</v>
      </c>
      <c r="D37" s="405">
        <v>11770</v>
      </c>
      <c r="E37" s="399">
        <f t="shared" si="16"/>
        <v>2.3623276775288247E-3</v>
      </c>
      <c r="F37" s="406">
        <v>11770</v>
      </c>
      <c r="G37" s="399">
        <f t="shared" si="4"/>
        <v>2.3531387512170546E-3</v>
      </c>
      <c r="H37" s="406">
        <v>11770</v>
      </c>
      <c r="I37" s="399">
        <f t="shared" si="5"/>
        <v>1.8218026280392915E-3</v>
      </c>
      <c r="J37" s="406">
        <v>11770</v>
      </c>
      <c r="K37" s="399">
        <f t="shared" si="6"/>
        <v>1.7628582687413776E-3</v>
      </c>
      <c r="L37" s="406">
        <v>11770</v>
      </c>
      <c r="M37" s="399">
        <f t="shared" si="7"/>
        <v>1.9091615423170441E-3</v>
      </c>
      <c r="N37" s="406">
        <v>11770</v>
      </c>
      <c r="O37" s="399">
        <f t="shared" si="8"/>
        <v>1.9922308076405523E-3</v>
      </c>
      <c r="P37" s="406">
        <v>11770</v>
      </c>
      <c r="Q37" s="399">
        <f t="shared" si="9"/>
        <v>1.80460995816586E-3</v>
      </c>
      <c r="R37" s="406">
        <v>11770</v>
      </c>
      <c r="S37" s="399">
        <f t="shared" si="10"/>
        <v>2.6085981344866425E-3</v>
      </c>
      <c r="T37" s="406">
        <v>11770</v>
      </c>
      <c r="U37" s="399">
        <f t="shared" si="11"/>
        <v>2.1695552596047059E-3</v>
      </c>
      <c r="V37" s="406">
        <v>11770</v>
      </c>
      <c r="W37" s="399">
        <f t="shared" si="12"/>
        <v>2.1186097456048296E-3</v>
      </c>
      <c r="X37" s="406">
        <v>11770</v>
      </c>
      <c r="Y37" s="399">
        <f t="shared" si="13"/>
        <v>1.9256726356519391E-3</v>
      </c>
      <c r="Z37" s="406">
        <v>11770</v>
      </c>
      <c r="AA37" s="401">
        <f t="shared" si="14"/>
        <v>1.4899752641319786E-3</v>
      </c>
      <c r="AB37" s="394"/>
      <c r="AC37" s="407">
        <f t="shared" si="3"/>
        <v>141240</v>
      </c>
      <c r="AD37" s="403">
        <f t="shared" si="15"/>
        <v>1.9831269370993387E-3</v>
      </c>
    </row>
    <row r="38" spans="1:30" ht="13.25" customHeight="1" outlineLevel="1">
      <c r="A38" s="663"/>
      <c r="B38" s="666"/>
      <c r="C38" s="875" t="s">
        <v>272</v>
      </c>
      <c r="D38" s="410">
        <v>17860</v>
      </c>
      <c r="E38" s="399">
        <f>D38/D$7</f>
        <v>3.5846365608041466E-3</v>
      </c>
      <c r="F38" s="406">
        <v>17860</v>
      </c>
      <c r="G38" s="399">
        <f>F38/F$7</f>
        <v>3.5706931263157684E-3</v>
      </c>
      <c r="H38" s="406">
        <v>17860</v>
      </c>
      <c r="I38" s="399">
        <f>H38/H$7</f>
        <v>2.7644345740681178E-3</v>
      </c>
      <c r="J38" s="406">
        <v>17860</v>
      </c>
      <c r="K38" s="399">
        <f>J38/J$7</f>
        <v>2.674991391650043E-3</v>
      </c>
      <c r="L38" s="406">
        <v>17860</v>
      </c>
      <c r="M38" s="399">
        <f>L38/L$7</f>
        <v>2.8969944898710625E-3</v>
      </c>
      <c r="N38" s="406">
        <v>17860</v>
      </c>
      <c r="O38" s="399">
        <f>N38/N$7</f>
        <v>3.0230452187306935E-3</v>
      </c>
      <c r="P38" s="406">
        <v>17860</v>
      </c>
      <c r="Q38" s="399">
        <f>P38/P$7</f>
        <v>2.7383461217368107E-3</v>
      </c>
      <c r="R38" s="406">
        <v>17860</v>
      </c>
      <c r="S38" s="399">
        <f>R38/R$7</f>
        <v>3.9583315787537331E-3</v>
      </c>
      <c r="T38" s="406">
        <v>17860</v>
      </c>
      <c r="U38" s="399">
        <f>T38/T$7</f>
        <v>3.2921203854324593E-3</v>
      </c>
      <c r="V38" s="406">
        <v>17860</v>
      </c>
      <c r="W38" s="399">
        <f>V38/V$7</f>
        <v>3.2148147881480254E-3</v>
      </c>
      <c r="X38" s="406">
        <v>17860</v>
      </c>
      <c r="Y38" s="399">
        <f>X38/X$7</f>
        <v>2.9220487062653895E-3</v>
      </c>
      <c r="Z38" s="406">
        <v>17860</v>
      </c>
      <c r="AA38" s="401">
        <f>Z38/Z$7</f>
        <v>2.260914037162034E-3</v>
      </c>
      <c r="AB38" s="394"/>
      <c r="AC38" s="407">
        <f>D38+F38+H38+J38+L38+N38+P38+R38+T38+V38+X38+Z38</f>
        <v>214320</v>
      </c>
      <c r="AD38" s="403">
        <f>AC38/AC$7</f>
        <v>3.0092308493283085E-3</v>
      </c>
    </row>
    <row r="39" spans="1:30" ht="13.25" customHeight="1" outlineLevel="1">
      <c r="A39" s="663"/>
      <c r="B39" s="666"/>
      <c r="C39" s="875" t="s">
        <v>273</v>
      </c>
      <c r="D39" s="410">
        <v>220485</v>
      </c>
      <c r="E39" s="411">
        <f>D39/D$7</f>
        <v>4.4253000677990054E-2</v>
      </c>
      <c r="F39" s="406">
        <v>220485</v>
      </c>
      <c r="G39" s="411">
        <f>F39/F$7</f>
        <v>4.4080866402896539E-2</v>
      </c>
      <c r="H39" s="406">
        <v>220485</v>
      </c>
      <c r="I39" s="411">
        <f>H39/H$7</f>
        <v>3.4127455602654476E-2</v>
      </c>
      <c r="J39" s="406">
        <v>220485</v>
      </c>
      <c r="K39" s="411">
        <f>J39/J$7</f>
        <v>3.3023262989247466E-2</v>
      </c>
      <c r="L39" s="406">
        <v>220485</v>
      </c>
      <c r="M39" s="411">
        <f>L39/L$7</f>
        <v>3.5763932256395368E-2</v>
      </c>
      <c r="N39" s="406">
        <v>220485</v>
      </c>
      <c r="O39" s="411">
        <f>N39/N$7</f>
        <v>3.7320051794615727E-2</v>
      </c>
      <c r="P39" s="406">
        <v>220485</v>
      </c>
      <c r="Q39" s="411">
        <f>P39/P$7</f>
        <v>3.380538883824976E-2</v>
      </c>
      <c r="R39" s="406">
        <v>220485</v>
      </c>
      <c r="S39" s="411">
        <f>R39/R$7</f>
        <v>4.8866334722369363E-2</v>
      </c>
      <c r="T39" s="406">
        <v>220485</v>
      </c>
      <c r="U39" s="411">
        <f>T39/T$7</f>
        <v>4.0641834444685096E-2</v>
      </c>
      <c r="V39" s="406">
        <v>220485</v>
      </c>
      <c r="W39" s="411">
        <f>V39/V$7</f>
        <v>3.9687482562419787E-2</v>
      </c>
      <c r="X39" s="406">
        <v>220485</v>
      </c>
      <c r="Y39" s="411">
        <f>X39/X$7</f>
        <v>3.6073231187061836E-2</v>
      </c>
      <c r="Z39" s="406">
        <v>220485</v>
      </c>
      <c r="AA39" s="412">
        <f>Z39/Z$7</f>
        <v>2.7911401538839364E-2</v>
      </c>
      <c r="AB39" s="394"/>
      <c r="AC39" s="407">
        <f>D39+F39+H39+J39+L39+N39+P39+R39+T39+V39+X39+Z39</f>
        <v>2645820</v>
      </c>
      <c r="AD39" s="403">
        <f>AC39/AC$7</f>
        <v>3.7149510851856221E-2</v>
      </c>
    </row>
    <row r="40" spans="1:30" ht="13.25" customHeight="1" outlineLevel="1">
      <c r="A40" s="663"/>
      <c r="B40" s="666"/>
      <c r="C40" s="877" t="s">
        <v>274</v>
      </c>
      <c r="D40" s="414">
        <v>19120</v>
      </c>
      <c r="E40" s="399">
        <f t="shared" si="16"/>
        <v>3.8375280538955926E-3</v>
      </c>
      <c r="F40" s="415">
        <v>19120</v>
      </c>
      <c r="G40" s="399">
        <f t="shared" si="4"/>
        <v>3.8226009280603298E-3</v>
      </c>
      <c r="H40" s="415">
        <v>19120</v>
      </c>
      <c r="I40" s="399">
        <f t="shared" si="5"/>
        <v>2.9594618732464955E-3</v>
      </c>
      <c r="J40" s="415">
        <v>19120</v>
      </c>
      <c r="K40" s="399">
        <f t="shared" si="6"/>
        <v>2.8637085894932151E-3</v>
      </c>
      <c r="L40" s="415">
        <v>19120</v>
      </c>
      <c r="M40" s="399">
        <f t="shared" si="7"/>
        <v>3.1013737203994802E-3</v>
      </c>
      <c r="N40" s="415">
        <v>19120</v>
      </c>
      <c r="O40" s="399">
        <f t="shared" si="8"/>
        <v>3.2363171658527914E-3</v>
      </c>
      <c r="P40" s="415">
        <v>19120</v>
      </c>
      <c r="Q40" s="399">
        <f t="shared" si="9"/>
        <v>2.931532914199766E-3</v>
      </c>
      <c r="R40" s="415">
        <v>19120</v>
      </c>
      <c r="S40" s="399">
        <f t="shared" si="10"/>
        <v>4.2375867741193379E-3</v>
      </c>
      <c r="T40" s="415">
        <v>19120</v>
      </c>
      <c r="U40" s="399">
        <f t="shared" si="11"/>
        <v>3.5243752390519945E-3</v>
      </c>
      <c r="V40" s="415">
        <v>19420</v>
      </c>
      <c r="W40" s="399">
        <f t="shared" si="12"/>
        <v>3.4956160798339671E-3</v>
      </c>
      <c r="X40" s="415">
        <v>19420</v>
      </c>
      <c r="Y40" s="399">
        <f t="shared" si="13"/>
        <v>3.1772780445506084E-3</v>
      </c>
      <c r="Z40" s="415">
        <v>19420</v>
      </c>
      <c r="AA40" s="401">
        <f t="shared" si="14"/>
        <v>2.4583958903519987E-3</v>
      </c>
      <c r="AB40" s="394"/>
      <c r="AC40" s="407">
        <f t="shared" si="3"/>
        <v>230340</v>
      </c>
      <c r="AD40" s="403">
        <f t="shared" si="15"/>
        <v>3.2341649581666787E-3</v>
      </c>
    </row>
    <row r="41" spans="1:30" ht="13.25" customHeight="1" outlineLevel="1" thickBot="1">
      <c r="A41" s="663"/>
      <c r="B41" s="667"/>
      <c r="C41" s="876" t="s">
        <v>275</v>
      </c>
      <c r="D41" s="417">
        <v>288295</v>
      </c>
      <c r="E41" s="418">
        <f>D41/D$7</f>
        <v>5.7862978572062233E-2</v>
      </c>
      <c r="F41" s="419">
        <v>288295</v>
      </c>
      <c r="G41" s="418">
        <f t="shared" si="4"/>
        <v>5.7637904526943139E-2</v>
      </c>
      <c r="H41" s="419">
        <v>209894</v>
      </c>
      <c r="I41" s="418">
        <f t="shared" si="5"/>
        <v>3.2488142804560666E-2</v>
      </c>
      <c r="J41" s="419">
        <v>209894</v>
      </c>
      <c r="K41" s="418">
        <f t="shared" si="6"/>
        <v>3.143699009848791E-2</v>
      </c>
      <c r="L41" s="419">
        <v>209894</v>
      </c>
      <c r="M41" s="418">
        <f t="shared" si="7"/>
        <v>3.4046011279787056E-2</v>
      </c>
      <c r="N41" s="419">
        <v>209894</v>
      </c>
      <c r="O41" s="418">
        <f t="shared" si="8"/>
        <v>3.5527382594639424E-2</v>
      </c>
      <c r="P41" s="419">
        <v>209894</v>
      </c>
      <c r="Q41" s="418">
        <f t="shared" si="9"/>
        <v>3.2181546521602808E-2</v>
      </c>
      <c r="R41" s="419">
        <v>209894</v>
      </c>
      <c r="S41" s="418">
        <f t="shared" si="10"/>
        <v>4.6519039663546251E-2</v>
      </c>
      <c r="T41" s="419">
        <v>209894</v>
      </c>
      <c r="U41" s="418">
        <f t="shared" si="11"/>
        <v>3.8689603369538667E-2</v>
      </c>
      <c r="V41" s="419">
        <v>209894</v>
      </c>
      <c r="W41" s="418">
        <f t="shared" si="12"/>
        <v>3.7781093793031448E-2</v>
      </c>
      <c r="X41" s="419">
        <v>209894</v>
      </c>
      <c r="Y41" s="418">
        <f t="shared" si="13"/>
        <v>3.4340453032075453E-2</v>
      </c>
      <c r="Z41" s="419">
        <v>209894</v>
      </c>
      <c r="AA41" s="420">
        <f t="shared" si="14"/>
        <v>2.6570676982983647E-2</v>
      </c>
      <c r="AB41" s="394"/>
      <c r="AC41" s="421">
        <f t="shared" si="3"/>
        <v>2675530</v>
      </c>
      <c r="AD41" s="422">
        <f t="shared" si="15"/>
        <v>3.7566663933852974E-2</v>
      </c>
    </row>
    <row r="42" spans="1:30" ht="13.25" customHeight="1" outlineLevel="1" thickTop="1">
      <c r="A42" s="663"/>
      <c r="B42" s="668" t="s">
        <v>276</v>
      </c>
      <c r="C42" s="423" t="s">
        <v>277</v>
      </c>
      <c r="D42" s="398">
        <v>1886544</v>
      </c>
      <c r="E42" s="399">
        <f t="shared" si="16"/>
        <v>0.37864359439897527</v>
      </c>
      <c r="F42" s="400">
        <v>1945204</v>
      </c>
      <c r="G42" s="399">
        <f t="shared" si="4"/>
        <v>0.38889846316248255</v>
      </c>
      <c r="H42" s="400">
        <v>2312204</v>
      </c>
      <c r="I42" s="399">
        <f t="shared" si="5"/>
        <v>0.35789119148368409</v>
      </c>
      <c r="J42" s="400">
        <v>2433974</v>
      </c>
      <c r="K42" s="399">
        <f t="shared" si="6"/>
        <v>0.36454980389137859</v>
      </c>
      <c r="L42" s="400">
        <v>2171317</v>
      </c>
      <c r="M42" s="399">
        <f t="shared" si="7"/>
        <v>0.35220007753434301</v>
      </c>
      <c r="N42" s="400">
        <v>2854169</v>
      </c>
      <c r="O42" s="399">
        <f t="shared" si="8"/>
        <v>0.48310649209962847</v>
      </c>
      <c r="P42" s="400">
        <v>2352995</v>
      </c>
      <c r="Q42" s="399">
        <f t="shared" si="9"/>
        <v>0.36076790216775512</v>
      </c>
      <c r="R42" s="400">
        <v>1682700</v>
      </c>
      <c r="S42" s="399">
        <f t="shared" si="10"/>
        <v>0.37293866447754231</v>
      </c>
      <c r="T42" s="424">
        <v>2227818</v>
      </c>
      <c r="U42" s="399">
        <f t="shared" si="11"/>
        <v>0.41065201863568707</v>
      </c>
      <c r="V42" s="400">
        <v>2339889</v>
      </c>
      <c r="W42" s="399">
        <f t="shared" si="12"/>
        <v>0.42118195743700421</v>
      </c>
      <c r="X42" s="400">
        <v>2413240</v>
      </c>
      <c r="Y42" s="399">
        <f t="shared" si="13"/>
        <v>0.39482669764321882</v>
      </c>
      <c r="Z42" s="400">
        <v>2830519</v>
      </c>
      <c r="AA42" s="401">
        <f t="shared" si="14"/>
        <v>0.35831803692910652</v>
      </c>
      <c r="AB42" s="394"/>
      <c r="AC42" s="425">
        <f t="shared" si="3"/>
        <v>27450573</v>
      </c>
      <c r="AD42" s="396">
        <f t="shared" si="15"/>
        <v>0.3854288498662688</v>
      </c>
    </row>
    <row r="43" spans="1:30" ht="13.25" customHeight="1" outlineLevel="1">
      <c r="A43" s="663"/>
      <c r="B43" s="666"/>
      <c r="C43" s="426" t="s">
        <v>278</v>
      </c>
      <c r="D43" s="405">
        <v>41030</v>
      </c>
      <c r="E43" s="399">
        <f t="shared" si="16"/>
        <v>8.235030128207959E-3</v>
      </c>
      <c r="F43" s="427">
        <v>24255</v>
      </c>
      <c r="G43" s="399">
        <f t="shared" si="4"/>
        <v>4.8492251835828091E-3</v>
      </c>
      <c r="H43" s="427">
        <v>24255</v>
      </c>
      <c r="I43" s="399">
        <f t="shared" si="5"/>
        <v>3.7542755091837738E-3</v>
      </c>
      <c r="J43" s="427">
        <v>24255</v>
      </c>
      <c r="K43" s="399">
        <f t="shared" si="6"/>
        <v>3.632806058481063E-3</v>
      </c>
      <c r="L43" s="427">
        <v>24255</v>
      </c>
      <c r="M43" s="399">
        <f t="shared" si="7"/>
        <v>3.9343001876720393E-3</v>
      </c>
      <c r="N43" s="427">
        <v>24255</v>
      </c>
      <c r="O43" s="399">
        <f t="shared" si="8"/>
        <v>4.1054849821003901E-3</v>
      </c>
      <c r="P43" s="427">
        <v>36355</v>
      </c>
      <c r="Q43" s="399">
        <f t="shared" si="9"/>
        <v>5.5740522539609039E-3</v>
      </c>
      <c r="R43" s="427">
        <v>24255</v>
      </c>
      <c r="S43" s="399">
        <f t="shared" si="10"/>
        <v>5.3756625107878944E-3</v>
      </c>
      <c r="T43" s="428">
        <v>24255</v>
      </c>
      <c r="U43" s="399">
        <f t="shared" si="11"/>
        <v>4.4709059321760532E-3</v>
      </c>
      <c r="V43" s="427">
        <v>24255</v>
      </c>
      <c r="W43" s="399">
        <f t="shared" si="12"/>
        <v>4.3659200832323825E-3</v>
      </c>
      <c r="X43" s="427">
        <v>21615</v>
      </c>
      <c r="Y43" s="399">
        <f t="shared" si="13"/>
        <v>3.5363988122019256E-3</v>
      </c>
      <c r="Z43" s="427">
        <v>19800</v>
      </c>
      <c r="AA43" s="401">
        <f t="shared" si="14"/>
        <v>2.5065004443341698E-3</v>
      </c>
      <c r="AB43" s="394"/>
      <c r="AC43" s="407">
        <f t="shared" si="3"/>
        <v>312840</v>
      </c>
      <c r="AD43" s="403">
        <f t="shared" si="15"/>
        <v>4.3925334961919934E-3</v>
      </c>
    </row>
    <row r="44" spans="1:30" ht="13.25" customHeight="1" outlineLevel="1">
      <c r="A44" s="663"/>
      <c r="B44" s="666"/>
      <c r="C44" s="426" t="s">
        <v>279</v>
      </c>
      <c r="D44" s="405">
        <v>66179</v>
      </c>
      <c r="E44" s="399">
        <f t="shared" si="16"/>
        <v>1.32826239057927E-2</v>
      </c>
      <c r="F44" s="427">
        <v>30990</v>
      </c>
      <c r="G44" s="399">
        <f t="shared" si="4"/>
        <v>6.1957323619555244E-3</v>
      </c>
      <c r="H44" s="427">
        <v>58439</v>
      </c>
      <c r="I44" s="399">
        <f t="shared" si="5"/>
        <v>9.0453970926073195E-3</v>
      </c>
      <c r="J44" s="427">
        <v>86272</v>
      </c>
      <c r="K44" s="399">
        <f t="shared" si="6"/>
        <v>1.2921436581211226E-2</v>
      </c>
      <c r="L44" s="427">
        <v>50545</v>
      </c>
      <c r="M44" s="399">
        <f t="shared" si="7"/>
        <v>8.1986890532213252E-3</v>
      </c>
      <c r="N44" s="427">
        <v>84005</v>
      </c>
      <c r="O44" s="399">
        <f t="shared" si="8"/>
        <v>1.4218976125390364E-2</v>
      </c>
      <c r="P44" s="427">
        <v>105563</v>
      </c>
      <c r="Q44" s="399">
        <f t="shared" si="9"/>
        <v>1.6185220137116627E-2</v>
      </c>
      <c r="R44" s="427">
        <v>77885</v>
      </c>
      <c r="S44" s="399">
        <f t="shared" si="10"/>
        <v>1.7261738802420743E-2</v>
      </c>
      <c r="T44" s="427">
        <v>67559</v>
      </c>
      <c r="U44" s="399">
        <f t="shared" si="11"/>
        <v>1.2453099726731889E-2</v>
      </c>
      <c r="V44" s="427">
        <v>86089</v>
      </c>
      <c r="W44" s="399">
        <f t="shared" si="12"/>
        <v>1.5496091282019897E-2</v>
      </c>
      <c r="X44" s="427">
        <v>71768</v>
      </c>
      <c r="Y44" s="399">
        <f t="shared" si="13"/>
        <v>1.1741858429521527E-2</v>
      </c>
      <c r="Z44" s="427">
        <v>112760</v>
      </c>
      <c r="AA44" s="401">
        <f t="shared" si="14"/>
        <v>1.4274393439551565E-2</v>
      </c>
      <c r="AB44" s="394"/>
      <c r="AC44" s="407">
        <f t="shared" si="3"/>
        <v>898054</v>
      </c>
      <c r="AD44" s="403">
        <f t="shared" si="15"/>
        <v>1.2609424230882254E-2</v>
      </c>
    </row>
    <row r="45" spans="1:30" ht="13.25" customHeight="1" outlineLevel="1">
      <c r="A45" s="663"/>
      <c r="B45" s="666"/>
      <c r="C45" s="426" t="s">
        <v>280</v>
      </c>
      <c r="D45" s="405">
        <v>18090</v>
      </c>
      <c r="E45" s="399">
        <f t="shared" si="16"/>
        <v>3.6307992936700458E-3</v>
      </c>
      <c r="F45" s="427">
        <v>648</v>
      </c>
      <c r="G45" s="399">
        <f t="shared" si="4"/>
        <v>1.295525837543459E-4</v>
      </c>
      <c r="H45" s="427">
        <v>0</v>
      </c>
      <c r="I45" s="399">
        <f t="shared" si="5"/>
        <v>0</v>
      </c>
      <c r="J45" s="427">
        <v>0</v>
      </c>
      <c r="K45" s="399">
        <f t="shared" si="6"/>
        <v>0</v>
      </c>
      <c r="L45" s="427">
        <v>0</v>
      </c>
      <c r="M45" s="399">
        <f t="shared" si="7"/>
        <v>0</v>
      </c>
      <c r="N45" s="427">
        <v>0</v>
      </c>
      <c r="O45" s="399">
        <f t="shared" si="8"/>
        <v>0</v>
      </c>
      <c r="P45" s="427">
        <v>0</v>
      </c>
      <c r="Q45" s="399">
        <f t="shared" si="9"/>
        <v>0</v>
      </c>
      <c r="R45" s="427">
        <v>0</v>
      </c>
      <c r="S45" s="399">
        <f t="shared" si="10"/>
        <v>0</v>
      </c>
      <c r="T45" s="427">
        <v>0</v>
      </c>
      <c r="U45" s="399">
        <f t="shared" si="11"/>
        <v>0</v>
      </c>
      <c r="V45" s="427">
        <v>0</v>
      </c>
      <c r="W45" s="399">
        <f t="shared" si="12"/>
        <v>0</v>
      </c>
      <c r="X45" s="427">
        <v>0</v>
      </c>
      <c r="Y45" s="399">
        <f t="shared" si="13"/>
        <v>0</v>
      </c>
      <c r="Z45" s="427">
        <v>0</v>
      </c>
      <c r="AA45" s="401">
        <f t="shared" si="14"/>
        <v>0</v>
      </c>
      <c r="AB45" s="394"/>
      <c r="AC45" s="407">
        <f t="shared" si="3"/>
        <v>18738</v>
      </c>
      <c r="AD45" s="403">
        <f t="shared" si="15"/>
        <v>2.6309708685476785E-4</v>
      </c>
    </row>
    <row r="46" spans="1:30" ht="13.25" customHeight="1" outlineLevel="1">
      <c r="A46" s="663"/>
      <c r="B46" s="666"/>
      <c r="C46" s="426" t="s">
        <v>281</v>
      </c>
      <c r="D46" s="405">
        <v>174792</v>
      </c>
      <c r="E46" s="399">
        <f t="shared" si="16"/>
        <v>3.5082071317809542E-2</v>
      </c>
      <c r="F46" s="427">
        <v>159636</v>
      </c>
      <c r="G46" s="399">
        <f t="shared" si="4"/>
        <v>3.1915518920075256E-2</v>
      </c>
      <c r="H46" s="427">
        <v>165072</v>
      </c>
      <c r="I46" s="399">
        <f t="shared" si="5"/>
        <v>2.5550433595216818E-2</v>
      </c>
      <c r="J46" s="427">
        <v>137363</v>
      </c>
      <c r="K46" s="399">
        <f>J46/J$7</f>
        <v>2.0573619402644166E-2</v>
      </c>
      <c r="L46" s="427">
        <v>169052</v>
      </c>
      <c r="M46" s="399">
        <f t="shared" si="7"/>
        <v>2.7421204507373061E-2</v>
      </c>
      <c r="N46" s="427">
        <v>211012</v>
      </c>
      <c r="O46" s="399">
        <f t="shared" si="8"/>
        <v>3.5716619131847767E-2</v>
      </c>
      <c r="P46" s="427">
        <v>275564</v>
      </c>
      <c r="Q46" s="399">
        <f t="shared" si="9"/>
        <v>4.2250258157350645E-2</v>
      </c>
      <c r="R46" s="427">
        <v>225602</v>
      </c>
      <c r="S46" s="399">
        <f t="shared" si="10"/>
        <v>5.0000421099104124E-2</v>
      </c>
      <c r="T46" s="427">
        <v>211026</v>
      </c>
      <c r="U46" s="399">
        <f t="shared" si="11"/>
        <v>3.8898264079298445E-2</v>
      </c>
      <c r="V46" s="427">
        <v>157805</v>
      </c>
      <c r="W46" s="399">
        <f t="shared" si="12"/>
        <v>2.840503066314105E-2</v>
      </c>
      <c r="X46" s="427">
        <v>163328</v>
      </c>
      <c r="Y46" s="399">
        <f t="shared" si="13"/>
        <v>2.6721857284261675E-2</v>
      </c>
      <c r="Z46" s="427">
        <v>168660</v>
      </c>
      <c r="AA46" s="401">
        <f t="shared" si="14"/>
        <v>2.1350826512191973E-2</v>
      </c>
      <c r="AB46" s="394"/>
      <c r="AC46" s="407">
        <f t="shared" si="3"/>
        <v>2218912</v>
      </c>
      <c r="AD46" s="403">
        <f t="shared" si="15"/>
        <v>3.1155367872082753E-2</v>
      </c>
    </row>
    <row r="47" spans="1:30" ht="13.25" customHeight="1" outlineLevel="1">
      <c r="A47" s="663"/>
      <c r="B47" s="666"/>
      <c r="C47" s="426" t="s">
        <v>282</v>
      </c>
      <c r="D47" s="429">
        <v>112613</v>
      </c>
      <c r="E47" s="399">
        <f t="shared" si="16"/>
        <v>2.2602277548815084E-2</v>
      </c>
      <c r="F47" s="428">
        <v>122621</v>
      </c>
      <c r="G47" s="399">
        <f t="shared" si="4"/>
        <v>2.4515227426761804E-2</v>
      </c>
      <c r="H47" s="430">
        <v>140289</v>
      </c>
      <c r="I47" s="399">
        <f t="shared" si="5"/>
        <v>2.1714432360663057E-2</v>
      </c>
      <c r="J47" s="428">
        <v>128057</v>
      </c>
      <c r="K47" s="399">
        <f t="shared" si="6"/>
        <v>1.9179808098573881E-2</v>
      </c>
      <c r="L47" s="428">
        <v>128652</v>
      </c>
      <c r="M47" s="399">
        <f>L47/L$7</f>
        <v>2.0868092671382527E-2</v>
      </c>
      <c r="N47" s="430">
        <v>127236</v>
      </c>
      <c r="O47" s="399">
        <f t="shared" si="8"/>
        <v>2.1536404336529591E-2</v>
      </c>
      <c r="P47" s="428">
        <v>131887</v>
      </c>
      <c r="Q47" s="399">
        <f t="shared" si="9"/>
        <v>2.022129087108078E-2</v>
      </c>
      <c r="R47" s="430">
        <v>100987</v>
      </c>
      <c r="S47" s="399">
        <f t="shared" si="10"/>
        <v>2.2381860646338365E-2</v>
      </c>
      <c r="T47" s="430">
        <v>108159</v>
      </c>
      <c r="U47" s="399">
        <f t="shared" si="11"/>
        <v>1.9936867232250244E-2</v>
      </c>
      <c r="V47" s="430">
        <v>127592</v>
      </c>
      <c r="W47" s="399">
        <f t="shared" si="12"/>
        <v>2.2966665646661975E-2</v>
      </c>
      <c r="X47" s="430">
        <v>130578</v>
      </c>
      <c r="Y47" s="399">
        <f t="shared" si="13"/>
        <v>2.1363677265773911E-2</v>
      </c>
      <c r="Z47" s="430">
        <v>148517</v>
      </c>
      <c r="AA47" s="401">
        <f t="shared" si="14"/>
        <v>1.8800905378342316E-2</v>
      </c>
      <c r="AB47" s="394"/>
      <c r="AC47" s="407">
        <f t="shared" si="3"/>
        <v>1507188</v>
      </c>
      <c r="AD47" s="403">
        <f t="shared" si="15"/>
        <v>2.1162171637446037E-2</v>
      </c>
    </row>
    <row r="48" spans="1:30" ht="13.25" customHeight="1" outlineLevel="1">
      <c r="A48" s="663"/>
      <c r="B48" s="666"/>
      <c r="C48" s="426" t="s">
        <v>283</v>
      </c>
      <c r="D48" s="405">
        <v>45267</v>
      </c>
      <c r="E48" s="399">
        <f t="shared" si="16"/>
        <v>9.0854279506114959E-3</v>
      </c>
      <c r="F48" s="430">
        <v>30000</v>
      </c>
      <c r="G48" s="399">
        <f t="shared" si="4"/>
        <v>5.9978048034419404E-3</v>
      </c>
      <c r="H48" s="431">
        <v>81546</v>
      </c>
      <c r="I48" s="399">
        <f t="shared" si="5"/>
        <v>1.2621981062539683E-2</v>
      </c>
      <c r="J48" s="430">
        <v>50000</v>
      </c>
      <c r="K48" s="399">
        <f t="shared" si="6"/>
        <v>7.4887776921893695E-3</v>
      </c>
      <c r="L48" s="431">
        <v>57591</v>
      </c>
      <c r="M48" s="399">
        <f t="shared" si="7"/>
        <v>9.3415906867953171E-3</v>
      </c>
      <c r="N48" s="430">
        <v>50000</v>
      </c>
      <c r="O48" s="399">
        <f t="shared" si="8"/>
        <v>8.4631725048451671E-3</v>
      </c>
      <c r="P48" s="430">
        <v>45422</v>
      </c>
      <c r="Q48" s="399">
        <f t="shared" si="9"/>
        <v>6.9642305454383768E-3</v>
      </c>
      <c r="R48" s="430">
        <v>50000</v>
      </c>
      <c r="S48" s="399">
        <f t="shared" si="10"/>
        <v>1.1081555371650988E-2</v>
      </c>
      <c r="T48" s="430">
        <v>51328</v>
      </c>
      <c r="U48" s="399">
        <f t="shared" si="11"/>
        <v>9.4612516877646859E-3</v>
      </c>
      <c r="V48" s="430">
        <v>50000</v>
      </c>
      <c r="W48" s="399">
        <f t="shared" si="12"/>
        <v>9.0000414001904401E-3</v>
      </c>
      <c r="X48" s="430">
        <v>61075</v>
      </c>
      <c r="Y48" s="399">
        <f t="shared" si="13"/>
        <v>9.9923922024164977E-3</v>
      </c>
      <c r="Z48" s="430">
        <v>60000</v>
      </c>
      <c r="AA48" s="401">
        <f t="shared" si="14"/>
        <v>7.5954558919217267E-3</v>
      </c>
      <c r="AB48" s="394"/>
      <c r="AC48" s="407">
        <f t="shared" si="3"/>
        <v>632229</v>
      </c>
      <c r="AD48" s="403">
        <f t="shared" si="15"/>
        <v>8.8770203930570515E-3</v>
      </c>
    </row>
    <row r="49" spans="1:30" ht="13.25" customHeight="1" outlineLevel="1">
      <c r="A49" s="663"/>
      <c r="B49" s="666"/>
      <c r="C49" s="426" t="s">
        <v>284</v>
      </c>
      <c r="D49" s="405">
        <v>39600</v>
      </c>
      <c r="E49" s="399">
        <f>D49/D$7</f>
        <v>7.9480183543025867E-3</v>
      </c>
      <c r="F49" s="427">
        <v>34100</v>
      </c>
      <c r="G49" s="399">
        <f t="shared" si="4"/>
        <v>6.8175047932456717E-3</v>
      </c>
      <c r="H49" s="427">
        <v>34100</v>
      </c>
      <c r="I49" s="399">
        <f t="shared" si="5"/>
        <v>5.2781197634783209E-3</v>
      </c>
      <c r="J49" s="427">
        <v>34100</v>
      </c>
      <c r="K49" s="399">
        <f t="shared" si="6"/>
        <v>5.1073463860731505E-3</v>
      </c>
      <c r="L49" s="427">
        <v>34100</v>
      </c>
      <c r="M49" s="399">
        <f t="shared" si="7"/>
        <v>5.5312156833484455E-3</v>
      </c>
      <c r="N49" s="427">
        <v>34100</v>
      </c>
      <c r="O49" s="399">
        <f>N49/N$7</f>
        <v>5.7718836483044034E-3</v>
      </c>
      <c r="P49" s="427">
        <v>34100</v>
      </c>
      <c r="Q49" s="399">
        <f t="shared" si="9"/>
        <v>5.2283092245926791E-3</v>
      </c>
      <c r="R49" s="427">
        <v>34100</v>
      </c>
      <c r="S49" s="399">
        <f t="shared" si="10"/>
        <v>7.5576207634659737E-3</v>
      </c>
      <c r="T49" s="427">
        <v>34100</v>
      </c>
      <c r="U49" s="399">
        <f t="shared" si="11"/>
        <v>6.2856273876398024E-3</v>
      </c>
      <c r="V49" s="427">
        <v>34100</v>
      </c>
      <c r="W49" s="399">
        <f t="shared" si="12"/>
        <v>6.1380282349298805E-3</v>
      </c>
      <c r="X49" s="427">
        <v>34100</v>
      </c>
      <c r="Y49" s="399">
        <f t="shared" si="13"/>
        <v>5.5790515612345899E-3</v>
      </c>
      <c r="Z49" s="427">
        <v>41030</v>
      </c>
      <c r="AA49" s="401">
        <f t="shared" si="14"/>
        <v>5.1940259207591405E-3</v>
      </c>
      <c r="AB49" s="394"/>
      <c r="AC49" s="407">
        <f t="shared" si="3"/>
        <v>421630</v>
      </c>
      <c r="AD49" s="403">
        <f t="shared" si="15"/>
        <v>5.9200354750013747E-3</v>
      </c>
    </row>
    <row r="50" spans="1:30" ht="13.25" customHeight="1" outlineLevel="1">
      <c r="A50" s="663"/>
      <c r="B50" s="666"/>
      <c r="C50" s="426" t="s">
        <v>285</v>
      </c>
      <c r="D50" s="405">
        <v>59471</v>
      </c>
      <c r="E50" s="399">
        <f t="shared" si="16"/>
        <v>1.193627776638205E-2</v>
      </c>
      <c r="F50" s="427">
        <v>95203</v>
      </c>
      <c r="G50" s="399">
        <f>F50/F$7</f>
        <v>1.9033633690069433E-2</v>
      </c>
      <c r="H50" s="427">
        <v>65406</v>
      </c>
      <c r="I50" s="399">
        <f t="shared" si="5"/>
        <v>1.0123774230207128E-2</v>
      </c>
      <c r="J50" s="427">
        <v>121718</v>
      </c>
      <c r="K50" s="399">
        <f t="shared" si="6"/>
        <v>1.8230380862758112E-2</v>
      </c>
      <c r="L50" s="427">
        <v>106887</v>
      </c>
      <c r="M50" s="399">
        <f t="shared" si="7"/>
        <v>1.7337684772611887E-2</v>
      </c>
      <c r="N50" s="427">
        <v>107348</v>
      </c>
      <c r="O50" s="399">
        <f t="shared" si="8"/>
        <v>1.8170092841002378E-2</v>
      </c>
      <c r="P50" s="427">
        <v>100000</v>
      </c>
      <c r="Q50" s="399">
        <f t="shared" si="9"/>
        <v>1.5332285116107562E-2</v>
      </c>
      <c r="R50" s="427">
        <v>54927</v>
      </c>
      <c r="S50" s="399">
        <f t="shared" si="10"/>
        <v>1.2173531837973477E-2</v>
      </c>
      <c r="T50" s="427">
        <v>77089</v>
      </c>
      <c r="U50" s="399">
        <f t="shared" si="11"/>
        <v>1.4209757468790754E-2</v>
      </c>
      <c r="V50" s="432">
        <v>69865</v>
      </c>
      <c r="W50" s="399">
        <f t="shared" si="12"/>
        <v>1.2575757848486102E-2</v>
      </c>
      <c r="X50" s="427">
        <v>60678</v>
      </c>
      <c r="Y50" s="399">
        <f t="shared" si="13"/>
        <v>9.9274396079939136E-3</v>
      </c>
      <c r="Z50" s="427">
        <v>133981</v>
      </c>
      <c r="AA50" s="401">
        <f t="shared" si="14"/>
        <v>1.6960779597592748E-2</v>
      </c>
      <c r="AB50" s="394"/>
      <c r="AC50" s="407">
        <f t="shared" si="3"/>
        <v>1052573</v>
      </c>
      <c r="AD50" s="403">
        <f t="shared" si="15"/>
        <v>1.4778999359695994E-2</v>
      </c>
    </row>
    <row r="51" spans="1:30" ht="13.25" customHeight="1" outlineLevel="1">
      <c r="A51" s="663"/>
      <c r="B51" s="666"/>
      <c r="C51" s="433" t="s">
        <v>286</v>
      </c>
      <c r="D51" s="405">
        <v>788242</v>
      </c>
      <c r="E51" s="399">
        <f t="shared" si="16"/>
        <v>0.15820610817252981</v>
      </c>
      <c r="F51" s="427">
        <v>1065475</v>
      </c>
      <c r="G51" s="399">
        <f t="shared" si="4"/>
        <v>0.21301703576491005</v>
      </c>
      <c r="H51" s="427">
        <v>1033411</v>
      </c>
      <c r="I51" s="399">
        <f t="shared" si="5"/>
        <v>0.15995504465970367</v>
      </c>
      <c r="J51" s="427">
        <v>904443</v>
      </c>
      <c r="K51" s="399">
        <f t="shared" si="6"/>
        <v>0.13546345124513659</v>
      </c>
      <c r="L51" s="427">
        <v>801115</v>
      </c>
      <c r="M51" s="399">
        <f t="shared" si="7"/>
        <v>0.12994545021013754</v>
      </c>
      <c r="N51" s="427">
        <v>829650</v>
      </c>
      <c r="O51" s="399">
        <f t="shared" si="8"/>
        <v>0.14042942137289585</v>
      </c>
      <c r="P51" s="427">
        <v>875410</v>
      </c>
      <c r="Q51" s="399">
        <f t="shared" si="9"/>
        <v>0.1342203571349172</v>
      </c>
      <c r="R51" s="432">
        <v>553656</v>
      </c>
      <c r="S51" s="399">
        <f t="shared" si="10"/>
        <v>0.12270739241693598</v>
      </c>
      <c r="T51" s="427">
        <v>841300</v>
      </c>
      <c r="U51" s="399">
        <f t="shared" si="11"/>
        <v>0.15507619710326587</v>
      </c>
      <c r="V51" s="427">
        <v>1192073</v>
      </c>
      <c r="W51" s="399">
        <f t="shared" si="12"/>
        <v>0.21457412704098439</v>
      </c>
      <c r="X51" s="427">
        <v>1168012</v>
      </c>
      <c r="Y51" s="399">
        <f t="shared" si="13"/>
        <v>0.19109674991615061</v>
      </c>
      <c r="Z51" s="427">
        <v>1318465</v>
      </c>
      <c r="AA51" s="401">
        <f t="shared" si="14"/>
        <v>0.16690571254237632</v>
      </c>
      <c r="AB51" s="394"/>
      <c r="AC51" s="407">
        <f t="shared" si="3"/>
        <v>11371252</v>
      </c>
      <c r="AD51" s="403">
        <f t="shared" si="15"/>
        <v>0.15966182490615075</v>
      </c>
    </row>
    <row r="52" spans="1:30" ht="13.25" customHeight="1" outlineLevel="1">
      <c r="A52" s="663"/>
      <c r="B52" s="666"/>
      <c r="C52" s="426" t="s">
        <v>287</v>
      </c>
      <c r="D52" s="434">
        <f>[1]Ｂ広告宣伝費!$C$9</f>
        <v>27500</v>
      </c>
      <c r="E52" s="399">
        <f t="shared" si="16"/>
        <v>5.5194571904879077E-3</v>
      </c>
      <c r="F52" s="435">
        <f>[1]Ｂ広告宣伝費!$G$9</f>
        <v>27500</v>
      </c>
      <c r="G52" s="399">
        <f t="shared" si="4"/>
        <v>5.4979877364884451E-3</v>
      </c>
      <c r="H52" s="436">
        <f>[1]Ｂ広告宣伝費!$K$9</f>
        <v>27500</v>
      </c>
      <c r="I52" s="399">
        <f t="shared" si="5"/>
        <v>4.2565481963534844E-3</v>
      </c>
      <c r="J52" s="436">
        <f>[1]Ｂ広告宣伝費!$C$17</f>
        <v>27500</v>
      </c>
      <c r="K52" s="399">
        <f t="shared" si="6"/>
        <v>4.1188277307041537E-3</v>
      </c>
      <c r="L52" s="436">
        <f>[1]Ｂ広告宣伝費!$G$17</f>
        <v>27500</v>
      </c>
      <c r="M52" s="399">
        <f t="shared" si="7"/>
        <v>4.4606578091519718E-3</v>
      </c>
      <c r="N52" s="436">
        <f>[1]Ｂ広告宣伝費!$K$17</f>
        <v>27500</v>
      </c>
      <c r="O52" s="399">
        <f t="shared" si="8"/>
        <v>4.6547448776648416E-3</v>
      </c>
      <c r="P52" s="437">
        <f>[1]Ｂ広告宣伝費!$C$26</f>
        <v>27500</v>
      </c>
      <c r="Q52" s="399">
        <f t="shared" si="9"/>
        <v>4.2163784069295792E-3</v>
      </c>
      <c r="R52" s="437">
        <f>[1]Ｂ広告宣伝費!$G$26</f>
        <v>27500</v>
      </c>
      <c r="S52" s="399">
        <f>R52/R$7</f>
        <v>6.094855454408043E-3</v>
      </c>
      <c r="T52" s="437">
        <f>[1]Ｂ広告宣伝費!$K$26</f>
        <v>0</v>
      </c>
      <c r="U52" s="399">
        <f t="shared" si="11"/>
        <v>0</v>
      </c>
      <c r="V52" s="437">
        <f>[1]Ｂ広告宣伝費!$C$34</f>
        <v>0</v>
      </c>
      <c r="W52" s="399">
        <f t="shared" si="12"/>
        <v>0</v>
      </c>
      <c r="X52" s="437">
        <f>[1]Ｂ広告宣伝費!$G$34</f>
        <v>0</v>
      </c>
      <c r="Y52" s="399">
        <f t="shared" si="13"/>
        <v>0</v>
      </c>
      <c r="Z52" s="437">
        <f>[1]Ｂ広告宣伝費!$K$34</f>
        <v>0</v>
      </c>
      <c r="AA52" s="401">
        <f>Z52/Z$7</f>
        <v>0</v>
      </c>
      <c r="AB52" s="394"/>
      <c r="AC52" s="407">
        <f t="shared" si="3"/>
        <v>220000</v>
      </c>
      <c r="AD52" s="403">
        <f t="shared" si="15"/>
        <v>3.088982768067506E-3</v>
      </c>
    </row>
    <row r="53" spans="1:30" ht="13.25" customHeight="1" outlineLevel="1">
      <c r="A53" s="663"/>
      <c r="B53" s="666"/>
      <c r="C53" s="426" t="s">
        <v>288</v>
      </c>
      <c r="D53" s="438">
        <f>[1]Ｂ通信費!$C$8</f>
        <v>13346</v>
      </c>
      <c r="E53" s="399">
        <f t="shared" si="16"/>
        <v>2.6786427514273316E-3</v>
      </c>
      <c r="F53" s="436">
        <f>[1]Ｂ通信費!$G$8</f>
        <v>12395</v>
      </c>
      <c r="G53" s="399">
        <f t="shared" si="4"/>
        <v>2.4780930179554282E-3</v>
      </c>
      <c r="H53" s="436">
        <f>[1]Ｂ通信費!$K$8</f>
        <v>12807</v>
      </c>
      <c r="I53" s="399">
        <f t="shared" si="5"/>
        <v>1.982313190934512E-3</v>
      </c>
      <c r="J53" s="436">
        <f>[1]Ｂ通信費!$C$16</f>
        <v>12675</v>
      </c>
      <c r="K53" s="399">
        <f t="shared" si="6"/>
        <v>1.8984051449700051E-3</v>
      </c>
      <c r="L53" s="436">
        <f>[1]Ｂ通信費!$G$16</f>
        <v>12845</v>
      </c>
      <c r="M53" s="399">
        <f t="shared" si="7"/>
        <v>2.0835327112202575E-3</v>
      </c>
      <c r="N53" s="436">
        <f>[1]Ｂ通信費!$K$16</f>
        <v>12948</v>
      </c>
      <c r="O53" s="399">
        <f t="shared" si="8"/>
        <v>2.1916231518547043E-3</v>
      </c>
      <c r="P53" s="436">
        <f>[1]Ｂ通信費!$C$24</f>
        <v>12913</v>
      </c>
      <c r="Q53" s="399">
        <f t="shared" si="9"/>
        <v>1.9798579770429693E-3</v>
      </c>
      <c r="R53" s="436">
        <f>[1]Ｂ通信費!$G$24</f>
        <v>12895</v>
      </c>
      <c r="S53" s="399">
        <f t="shared" si="10"/>
        <v>2.8579331303487899E-3</v>
      </c>
      <c r="T53" s="436">
        <f>[1]Ｂ通信費!$K$24</f>
        <v>12631</v>
      </c>
      <c r="U53" s="399">
        <f t="shared" si="11"/>
        <v>2.3282627429113884E-3</v>
      </c>
      <c r="V53" s="436">
        <f>[1]Ｂ通信費!$C$32</f>
        <v>13397</v>
      </c>
      <c r="W53" s="399">
        <f t="shared" si="12"/>
        <v>2.4114710927670268E-3</v>
      </c>
      <c r="X53" s="436">
        <f>[1]Ｂ通信費!$G$32</f>
        <v>12825</v>
      </c>
      <c r="Y53" s="399">
        <f t="shared" si="13"/>
        <v>2.0982796560948275E-3</v>
      </c>
      <c r="Z53" s="439">
        <f>[1]Ｂ通信費!$K$32</f>
        <v>12851</v>
      </c>
      <c r="AA53" s="401">
        <f t="shared" si="14"/>
        <v>1.6268200611181016E-3</v>
      </c>
      <c r="AB53" s="394"/>
      <c r="AC53" s="407">
        <f t="shared" si="3"/>
        <v>154528</v>
      </c>
      <c r="AD53" s="403">
        <f t="shared" si="15"/>
        <v>2.1697014962906163E-3</v>
      </c>
    </row>
    <row r="54" spans="1:30" ht="13.25" customHeight="1" outlineLevel="1">
      <c r="A54" s="663"/>
      <c r="B54" s="666"/>
      <c r="C54" s="404" t="s">
        <v>289</v>
      </c>
      <c r="D54" s="405">
        <v>52469</v>
      </c>
      <c r="E54" s="399">
        <f t="shared" si="16"/>
        <v>1.0530923611916728E-2</v>
      </c>
      <c r="F54" s="406">
        <v>46169</v>
      </c>
      <c r="G54" s="399">
        <f t="shared" si="4"/>
        <v>9.2304216656703651E-3</v>
      </c>
      <c r="H54" s="406">
        <v>84910</v>
      </c>
      <c r="I54" s="399">
        <f t="shared" si="5"/>
        <v>1.3142672994631796E-2</v>
      </c>
      <c r="J54" s="406">
        <v>58130</v>
      </c>
      <c r="K54" s="399">
        <f t="shared" si="6"/>
        <v>8.7064529449393611E-3</v>
      </c>
      <c r="L54" s="406">
        <v>69363</v>
      </c>
      <c r="M54" s="399">
        <f t="shared" si="7"/>
        <v>1.1251076640589391E-2</v>
      </c>
      <c r="N54" s="406">
        <v>56140</v>
      </c>
      <c r="O54" s="399">
        <f t="shared" si="8"/>
        <v>9.5024500884401519E-3</v>
      </c>
      <c r="P54" s="406">
        <v>58464</v>
      </c>
      <c r="Q54" s="399">
        <f t="shared" si="9"/>
        <v>8.9638671702811246E-3</v>
      </c>
      <c r="R54" s="406">
        <v>63148</v>
      </c>
      <c r="S54" s="399">
        <f t="shared" si="10"/>
        <v>1.3995561172180331E-2</v>
      </c>
      <c r="T54" s="406">
        <v>67472</v>
      </c>
      <c r="U54" s="399">
        <f t="shared" si="11"/>
        <v>1.2437063082077206E-2</v>
      </c>
      <c r="V54" s="406">
        <v>79884</v>
      </c>
      <c r="W54" s="399">
        <f>V54/V$7</f>
        <v>1.4379186144256264E-2</v>
      </c>
      <c r="X54" s="440">
        <v>61547</v>
      </c>
      <c r="Y54" s="399">
        <f t="shared" si="13"/>
        <v>1.0069615438102796E-2</v>
      </c>
      <c r="Z54" s="406">
        <v>61738</v>
      </c>
      <c r="AA54" s="401">
        <f t="shared" si="14"/>
        <v>7.8154709309243928E-3</v>
      </c>
      <c r="AB54" s="394"/>
      <c r="AC54" s="407">
        <f t="shared" si="3"/>
        <v>759434</v>
      </c>
      <c r="AD54" s="403">
        <f t="shared" si="15"/>
        <v>1.0663084270384447E-2</v>
      </c>
    </row>
    <row r="55" spans="1:30" ht="13.25" customHeight="1" outlineLevel="1">
      <c r="A55" s="663"/>
      <c r="B55" s="666"/>
      <c r="C55" s="441" t="s">
        <v>290</v>
      </c>
      <c r="D55" s="442">
        <f>[1]本部費用案分表!$C$3</f>
        <v>189240.47361648001</v>
      </c>
      <c r="E55" s="399">
        <f t="shared" si="16"/>
        <v>3.7981988830320647E-2</v>
      </c>
      <c r="F55" s="443">
        <f>[1]本部費用案分表!$C$4</f>
        <v>187138.62428976002</v>
      </c>
      <c r="G55" s="399">
        <f t="shared" si="4"/>
        <v>3.7414031322487974E-2</v>
      </c>
      <c r="H55" s="443">
        <f>[1]本部費用案分表!$C$5</f>
        <v>189235.95933528003</v>
      </c>
      <c r="I55" s="399">
        <f>H55/H$7</f>
        <v>2.9290617505229367E-2</v>
      </c>
      <c r="J55" s="443">
        <f>[1]本部費用案分表!$C$6</f>
        <v>191827.15674408001</v>
      </c>
      <c r="K55" s="399">
        <f t="shared" si="6"/>
        <v>2.8731018643623599E-2</v>
      </c>
      <c r="L55" s="443">
        <f>[1]本部費用案分表!$C$7</f>
        <v>189235.50790716</v>
      </c>
      <c r="M55" s="399">
        <f t="shared" si="7"/>
        <v>3.0695085313269567E-2</v>
      </c>
      <c r="N55" s="443">
        <f>[1]本部費用案分表!$C$8</f>
        <v>184814.22089988002</v>
      </c>
      <c r="O55" s="399">
        <f t="shared" si="8"/>
        <v>3.1282292656484911E-2</v>
      </c>
      <c r="P55" s="443">
        <f>[1]本部費用案分表!$C$9</f>
        <v>182730.42869796001</v>
      </c>
      <c r="Q55" s="399">
        <f t="shared" si="9"/>
        <v>2.8016750321856864E-2</v>
      </c>
      <c r="R55" s="443">
        <f>[1]本部費用案分表!$C$10</f>
        <v>182587.32598392002</v>
      </c>
      <c r="S55" s="399">
        <f t="shared" si="10"/>
        <v>4.0467031261049974E-2</v>
      </c>
      <c r="T55" s="443">
        <f>[1]本部費用案分表!$C$11</f>
        <v>178553.81573172001</v>
      </c>
      <c r="U55" s="399">
        <f t="shared" si="11"/>
        <v>3.2912690742841345E-2</v>
      </c>
      <c r="V55" s="443">
        <f>[1]本部費用案分表!$C$12</f>
        <v>182413.97758584001</v>
      </c>
      <c r="W55" s="399">
        <f t="shared" si="12"/>
        <v>3.2834667004919424E-2</v>
      </c>
      <c r="X55" s="443">
        <f>[1]本部費用案分表!$C$13</f>
        <v>174878.73940680001</v>
      </c>
      <c r="Y55" s="399">
        <f t="shared" si="13"/>
        <v>2.8611657012147938E-2</v>
      </c>
      <c r="Z55" s="443">
        <f>[1]本部費用案分表!$C$14</f>
        <v>178448.63297976</v>
      </c>
      <c r="AA55" s="401">
        <f t="shared" si="14"/>
        <v>2.258997867952493E-2</v>
      </c>
      <c r="AB55" s="394"/>
      <c r="AC55" s="407">
        <f t="shared" si="3"/>
        <v>2211104.8631786401</v>
      </c>
      <c r="AD55" s="403">
        <f t="shared" si="15"/>
        <v>3.1045749185223088E-2</v>
      </c>
    </row>
    <row r="56" spans="1:30" ht="13.25" customHeight="1" outlineLevel="1">
      <c r="A56" s="663"/>
      <c r="B56" s="666"/>
      <c r="C56" s="404" t="s">
        <v>291</v>
      </c>
      <c r="D56" s="405">
        <v>16242</v>
      </c>
      <c r="E56" s="399">
        <f t="shared" si="16"/>
        <v>3.2598917704692583E-3</v>
      </c>
      <c r="F56" s="406">
        <v>8667</v>
      </c>
      <c r="G56" s="399">
        <f t="shared" si="4"/>
        <v>1.7327658077143765E-3</v>
      </c>
      <c r="H56" s="406">
        <v>13531</v>
      </c>
      <c r="I56" s="399">
        <f t="shared" si="5"/>
        <v>2.0943764961766911E-3</v>
      </c>
      <c r="J56" s="406">
        <v>12173</v>
      </c>
      <c r="K56" s="399">
        <f t="shared" si="6"/>
        <v>1.823217816940424E-3</v>
      </c>
      <c r="L56" s="406">
        <v>12652</v>
      </c>
      <c r="M56" s="399">
        <f t="shared" si="7"/>
        <v>2.0522270036869364E-3</v>
      </c>
      <c r="N56" s="406">
        <v>12652</v>
      </c>
      <c r="O56" s="399">
        <f t="shared" si="8"/>
        <v>2.1415211706260207E-3</v>
      </c>
      <c r="P56" s="406">
        <v>9201</v>
      </c>
      <c r="Q56" s="399">
        <f>P56/P$7</f>
        <v>1.4107235535330569E-3</v>
      </c>
      <c r="R56" s="406">
        <v>9986</v>
      </c>
      <c r="S56" s="399">
        <f t="shared" si="10"/>
        <v>2.2132082388261354E-3</v>
      </c>
      <c r="T56" s="406">
        <v>10778</v>
      </c>
      <c r="U56" s="399">
        <f>T56/T$7</f>
        <v>1.9867006446915481E-3</v>
      </c>
      <c r="V56" s="406">
        <v>10778</v>
      </c>
      <c r="W56" s="399">
        <f t="shared" si="12"/>
        <v>1.9400489242250515E-3</v>
      </c>
      <c r="X56" s="406">
        <v>9570</v>
      </c>
      <c r="Y56" s="399">
        <f t="shared" si="13"/>
        <v>1.5657338252497075E-3</v>
      </c>
      <c r="Z56" s="406">
        <v>16242</v>
      </c>
      <c r="AA56" s="401">
        <f t="shared" si="14"/>
        <v>2.0560899099432112E-3</v>
      </c>
      <c r="AB56" s="394"/>
      <c r="AC56" s="407">
        <f t="shared" si="3"/>
        <v>142472</v>
      </c>
      <c r="AD56" s="403">
        <f t="shared" si="15"/>
        <v>2.0004252406005166E-3</v>
      </c>
    </row>
    <row r="57" spans="1:30" ht="13.25" customHeight="1" outlineLevel="1">
      <c r="A57" s="663"/>
      <c r="B57" s="666"/>
      <c r="C57" s="404" t="s">
        <v>292</v>
      </c>
      <c r="D57" s="405">
        <v>11675</v>
      </c>
      <c r="E57" s="399">
        <f t="shared" si="16"/>
        <v>2.3432604617798663E-3</v>
      </c>
      <c r="F57" s="406">
        <v>4844</v>
      </c>
      <c r="G57" s="399">
        <f t="shared" si="4"/>
        <v>9.6844554892909192E-4</v>
      </c>
      <c r="H57" s="406">
        <v>7274</v>
      </c>
      <c r="I57" s="399">
        <f t="shared" si="5"/>
        <v>1.1258956938281909E-3</v>
      </c>
      <c r="J57" s="406">
        <v>7201</v>
      </c>
      <c r="K57" s="399">
        <f t="shared" si="6"/>
        <v>1.0785337632291129E-3</v>
      </c>
      <c r="L57" s="406">
        <v>7944</v>
      </c>
      <c r="M57" s="399">
        <f t="shared" si="7"/>
        <v>1.2885623867601188E-3</v>
      </c>
      <c r="N57" s="406">
        <v>7944</v>
      </c>
      <c r="O57" s="399">
        <f t="shared" si="8"/>
        <v>1.3446288475698E-3</v>
      </c>
      <c r="P57" s="406">
        <v>8436</v>
      </c>
      <c r="Q57" s="399">
        <f t="shared" si="9"/>
        <v>1.2934315723948338E-3</v>
      </c>
      <c r="R57" s="406">
        <v>8387</v>
      </c>
      <c r="S57" s="399">
        <f t="shared" si="10"/>
        <v>1.8588200980407367E-3</v>
      </c>
      <c r="T57" s="406">
        <v>8694</v>
      </c>
      <c r="U57" s="399">
        <f t="shared" si="11"/>
        <v>1.602558489974793E-3</v>
      </c>
      <c r="V57" s="406">
        <v>8694</v>
      </c>
      <c r="W57" s="399">
        <f t="shared" si="12"/>
        <v>1.5649271986651139E-3</v>
      </c>
      <c r="X57" s="406">
        <v>7310</v>
      </c>
      <c r="Y57" s="399">
        <f t="shared" si="13"/>
        <v>1.195978501836506E-3</v>
      </c>
      <c r="Z57" s="406">
        <v>12298</v>
      </c>
      <c r="AA57" s="401">
        <f t="shared" si="14"/>
        <v>1.5568152759808899E-3</v>
      </c>
      <c r="AB57" s="394"/>
      <c r="AC57" s="407">
        <f t="shared" si="3"/>
        <v>100701</v>
      </c>
      <c r="AD57" s="403">
        <f t="shared" si="15"/>
        <v>1.413925698759845E-3</v>
      </c>
    </row>
    <row r="58" spans="1:30" ht="13.25" customHeight="1" outlineLevel="1" thickBot="1">
      <c r="A58" s="664"/>
      <c r="B58" s="667"/>
      <c r="C58" s="416" t="s">
        <v>293</v>
      </c>
      <c r="D58" s="444">
        <f>(D7-(D27+D29+D30+D31+D32+D33+D34+D35+D36+D37+D42+D43+D45+D46+D47+D48+D49+D50+D52+D53+D54+D44))/108*8</f>
        <v>108224.74074074074</v>
      </c>
      <c r="E58" s="445">
        <f t="shared" si="16"/>
        <v>2.1721520853460768E-2</v>
      </c>
      <c r="F58" s="446">
        <f>(F4+F7-(F42+F43+F27+F46+F47+F48+F52+F54+F53+F49+F29+F30+F44+F32+F33+F45+F35+F37+F50))/108*8</f>
        <v>496986.66666666669</v>
      </c>
      <c r="G58" s="445">
        <f t="shared" si="4"/>
        <v>9.9360967219331062E-2</v>
      </c>
      <c r="H58" s="446">
        <f>(H4+H7-(H42+H43+H27+H46+H47+H48+H52+H54+H53+H49+H29+H30+H44+H32+H33+H45+H35+H37+H50))/108*8</f>
        <v>677712.66666666663</v>
      </c>
      <c r="I58" s="445">
        <f t="shared" si="5"/>
        <v>0.10489878650712402</v>
      </c>
      <c r="J58" s="446">
        <f>(J4+J7-(J42+J43+J27+J46+J47+J48+J52+J54+J53+J49+J29+J30+J44+J32+J33+J45+J35+J37+J50))/108*8</f>
        <v>701751.92592592596</v>
      </c>
      <c r="K58" s="445">
        <f t="shared" si="6"/>
        <v>0.10510528336650002</v>
      </c>
      <c r="L58" s="446">
        <f>(L4+L7-(L42+L43+L27+L46+L47+L48+L52+L54+L53+L49+L29+L30+L44+L32+L33+L45+L35+L37+L50))/108*8</f>
        <v>645355.11111111112</v>
      </c>
      <c r="M58" s="445">
        <f t="shared" si="7"/>
        <v>0.10468030240196061</v>
      </c>
      <c r="N58" s="446">
        <f>(N4+N7-(N42+N43+N27+N46+N47+N48+N52+N54+N53+N49+N29+N30+N44+N32+N33+N45+N35+N37+N50))/108*8</f>
        <v>552708.74074074079</v>
      </c>
      <c r="O58" s="445">
        <f t="shared" si="8"/>
        <v>9.3553388356492656E-2</v>
      </c>
      <c r="P58" s="446">
        <f>(P4+P7-(P42+P43+P27+P46+P47+P48+P52+P54+P53+P49+P29+P30+P44+P32+P33+P45+P35+P37+P50))/108*8</f>
        <v>673925.03703703708</v>
      </c>
      <c r="Q58" s="445">
        <f t="shared" si="9"/>
        <v>0.10332810814735201</v>
      </c>
      <c r="R58" s="446">
        <f>(R4+R7-(R42+R43+R27+R46+R47+R48+R52+R54+R53+R49+R29+R30+R44+R32+R33+R45+R35+R37+R50))/110*10</f>
        <v>536762.36363636365</v>
      </c>
      <c r="S58" s="445">
        <f t="shared" si="10"/>
        <v>0.11896323708109252</v>
      </c>
      <c r="T58" s="446">
        <f>(T4+T7-(T42+T43+T27+T46+T47+T48+T52+T54+T53+T49+T29+T30+T44+T32+T33+T45+T35+T37+T50))/108*8</f>
        <v>533562.51851851854</v>
      </c>
      <c r="U58" s="445">
        <f t="shared" si="11"/>
        <v>9.8351178282054821E-2</v>
      </c>
      <c r="V58" s="446">
        <f>(V4+V7-(V42+V43+V27+V46+V47+V48+V52+V54+V53+V49+V29+V30+V44+V32+V33+V45+V35+V37+V50))/108*8</f>
        <v>545375.18518518517</v>
      </c>
      <c r="W58" s="445">
        <f t="shared" si="12"/>
        <v>9.8167984906063904E-2</v>
      </c>
      <c r="X58" s="446">
        <f>(X4+X7-(X42+X43+X27+X46+X47+X48+X52+X54+X53+X49+X29+X30+X44+X32+X33+X45+X35+X37+X50))/108*8</f>
        <v>624290.88888888888</v>
      </c>
      <c r="Y58" s="445">
        <f t="shared" si="13"/>
        <v>0.10213932722346292</v>
      </c>
      <c r="Z58" s="446">
        <f>(Z4+Z7-(Z42+Z43+Z27+Z46+Z47+Z48+Z52+Z54+Z53+Z49+Z29+Z30+Z44+Z32+Z33+Z45+Z35+Z37+Z50))/108*8</f>
        <v>847662.59259259258</v>
      </c>
      <c r="AA58" s="447">
        <f t="shared" si="14"/>
        <v>0.10730639722115089</v>
      </c>
      <c r="AB58" s="394"/>
      <c r="AC58" s="421">
        <f t="shared" si="3"/>
        <v>6944318.4377104379</v>
      </c>
      <c r="AD58" s="422">
        <f t="shared" si="15"/>
        <v>9.7503999954822757E-2</v>
      </c>
    </row>
    <row r="59" spans="1:30" ht="13.25" customHeight="1" outlineLevel="1" thickTop="1">
      <c r="A59" s="448"/>
      <c r="B59" s="301"/>
      <c r="C59" s="449" t="s">
        <v>294</v>
      </c>
      <c r="D59" s="450">
        <f>SUM(D27:D58)</f>
        <v>6540459.2143572206</v>
      </c>
      <c r="E59" s="399">
        <f>D59/D$7</f>
        <v>1.3127194414464312</v>
      </c>
      <c r="F59" s="451">
        <f>SUM(F27:F58)</f>
        <v>7123834.2909564273</v>
      </c>
      <c r="G59" s="399">
        <f>F59/F$7</f>
        <v>1.4242455843074289</v>
      </c>
      <c r="H59" s="451">
        <f>SUM(H27:H58)</f>
        <v>7787462.6260019466</v>
      </c>
      <c r="I59" s="399">
        <f t="shared" si="5"/>
        <v>1.2053712725410457</v>
      </c>
      <c r="J59" s="451">
        <f>SUM(J27:J58)</f>
        <v>7967575.082670006</v>
      </c>
      <c r="K59" s="399">
        <f t="shared" si="6"/>
        <v>1.1933479707988603</v>
      </c>
      <c r="L59" s="451">
        <f>SUM(L27:L58)</f>
        <v>7681194.6190182706</v>
      </c>
      <c r="M59" s="399">
        <f t="shared" si="7"/>
        <v>1.2459338458523621</v>
      </c>
      <c r="N59" s="451">
        <f>SUM(N27:N58)</f>
        <v>8389578.9616406206</v>
      </c>
      <c r="O59" s="399">
        <f t="shared" si="8"/>
        <v>1.4200490799076873</v>
      </c>
      <c r="P59" s="451">
        <f>SUM(P27:P58)</f>
        <v>8082032.4657349978</v>
      </c>
      <c r="Q59" s="399">
        <f t="shared" si="9"/>
        <v>1.239160260822868</v>
      </c>
      <c r="R59" s="451">
        <f>SUM(R27:R58)</f>
        <v>6641478.6896202834</v>
      </c>
      <c r="S59" s="399">
        <f t="shared" si="10"/>
        <v>1.4719582769733444</v>
      </c>
      <c r="T59" s="451">
        <f>SUM(T27:T58)</f>
        <v>7563649.3342502387</v>
      </c>
      <c r="U59" s="399">
        <f t="shared" si="11"/>
        <v>1.3942018007585588</v>
      </c>
      <c r="V59" s="451">
        <f>SUM(V27:V58)</f>
        <v>8024420.1627710257</v>
      </c>
      <c r="W59" s="399">
        <f t="shared" si="12"/>
        <v>1.444402273549243</v>
      </c>
      <c r="X59" s="451">
        <f>SUM(X27:X58)</f>
        <v>8107365.6282956889</v>
      </c>
      <c r="Y59" s="399">
        <f t="shared" si="13"/>
        <v>1.326434336247587</v>
      </c>
      <c r="Z59" s="451">
        <f>SUM(Z27:Z58)</f>
        <v>9016937.2255723532</v>
      </c>
      <c r="AA59" s="401">
        <f t="shared" si="14"/>
        <v>1.1414624829510311</v>
      </c>
      <c r="AB59" s="386"/>
      <c r="AC59" s="425">
        <f t="shared" si="3"/>
        <v>92925988.300889075</v>
      </c>
      <c r="AD59" s="396">
        <f t="shared" si="15"/>
        <v>1.3047580753049499</v>
      </c>
    </row>
    <row r="60" spans="1:30" ht="13.25" customHeight="1" outlineLevel="1" thickBot="1">
      <c r="A60" s="448"/>
      <c r="B60" s="301"/>
      <c r="C60" s="452" t="s">
        <v>295</v>
      </c>
      <c r="D60" s="453">
        <f>D7-D59</f>
        <v>-1558085.2143572206</v>
      </c>
      <c r="E60" s="411">
        <f>D60/D$7</f>
        <v>-0.31271944144643105</v>
      </c>
      <c r="F60" s="453">
        <f>F7-F59</f>
        <v>-2122004.2909564273</v>
      </c>
      <c r="G60" s="411">
        <f>F60/F$7</f>
        <v>-0.42424558430742892</v>
      </c>
      <c r="H60" s="453">
        <f>H7-H59</f>
        <v>-1326828.6260019466</v>
      </c>
      <c r="I60" s="411">
        <f t="shared" si="5"/>
        <v>-0.20537127254104576</v>
      </c>
      <c r="J60" s="453">
        <f>J7-J59</f>
        <v>-1290918.082670006</v>
      </c>
      <c r="K60" s="411">
        <f t="shared" si="6"/>
        <v>-0.19334797079886026</v>
      </c>
      <c r="L60" s="453">
        <f>L7-L59</f>
        <v>-1516184.6190182706</v>
      </c>
      <c r="M60" s="411">
        <f t="shared" si="7"/>
        <v>-0.24593384585236205</v>
      </c>
      <c r="N60" s="453">
        <f>N7-N59</f>
        <v>-2481628.9616406206</v>
      </c>
      <c r="O60" s="411">
        <f t="shared" si="8"/>
        <v>-0.4200490799076872</v>
      </c>
      <c r="P60" s="453">
        <f>P7-P59</f>
        <v>-1559847.4657349978</v>
      </c>
      <c r="Q60" s="411">
        <f t="shared" si="9"/>
        <v>-0.23916026082286806</v>
      </c>
      <c r="R60" s="453">
        <f>R7-R59</f>
        <v>-2129476.6896202834</v>
      </c>
      <c r="S60" s="411">
        <f t="shared" si="10"/>
        <v>-0.4719582769733443</v>
      </c>
      <c r="T60" s="453">
        <f>T7-T59</f>
        <v>-2138574.3342502387</v>
      </c>
      <c r="U60" s="411">
        <f t="shared" si="11"/>
        <v>-0.39420180075855887</v>
      </c>
      <c r="V60" s="453">
        <f>V7-V59</f>
        <v>-2468890.1627710257</v>
      </c>
      <c r="W60" s="411">
        <f t="shared" si="12"/>
        <v>-0.44440227354924294</v>
      </c>
      <c r="X60" s="453">
        <f>X7-X59</f>
        <v>-1995215.6282956889</v>
      </c>
      <c r="Y60" s="411">
        <f t="shared" si="13"/>
        <v>-0.326434336247587</v>
      </c>
      <c r="Z60" s="453">
        <f>Z7-Z59</f>
        <v>-1117477.2255723532</v>
      </c>
      <c r="AA60" s="412">
        <f t="shared" si="14"/>
        <v>-0.14146248295103123</v>
      </c>
      <c r="AB60" s="386"/>
      <c r="AC60" s="454">
        <f>AC7-AC59</f>
        <v>-21705131.300889075</v>
      </c>
      <c r="AD60" s="422">
        <f t="shared" si="15"/>
        <v>-0.30475807530494997</v>
      </c>
    </row>
    <row r="61" spans="1:30" ht="13.25" customHeight="1" outlineLevel="1" thickTop="1" thickBot="1">
      <c r="A61" s="455"/>
      <c r="B61" s="378"/>
      <c r="C61" s="456" t="s">
        <v>296</v>
      </c>
      <c r="D61" s="457">
        <f>D60</f>
        <v>-1558085.2143572206</v>
      </c>
      <c r="E61" s="418"/>
      <c r="F61" s="458">
        <f>D61+F60</f>
        <v>-3680089.5053136479</v>
      </c>
      <c r="G61" s="418"/>
      <c r="H61" s="458">
        <f>F61+H60</f>
        <v>-5006918.1313155945</v>
      </c>
      <c r="I61" s="418"/>
      <c r="J61" s="458">
        <f>H61+J60</f>
        <v>-6297836.2139856005</v>
      </c>
      <c r="K61" s="418"/>
      <c r="L61" s="458">
        <f>J61+L60</f>
        <v>-7814020.8330038711</v>
      </c>
      <c r="M61" s="418"/>
      <c r="N61" s="458">
        <f>L61+N60</f>
        <v>-10295649.794644492</v>
      </c>
      <c r="O61" s="418"/>
      <c r="P61" s="458">
        <f>N61+P60</f>
        <v>-11855497.26037949</v>
      </c>
      <c r="Q61" s="418"/>
      <c r="R61" s="458">
        <f>P61+R60</f>
        <v>-13984973.949999772</v>
      </c>
      <c r="S61" s="418"/>
      <c r="T61" s="458">
        <f>R61+T60</f>
        <v>-16123548.28425001</v>
      </c>
      <c r="U61" s="418"/>
      <c r="V61" s="458">
        <f>T61+V60</f>
        <v>-18592438.447021037</v>
      </c>
      <c r="W61" s="418"/>
      <c r="X61" s="458">
        <f>V61+X60</f>
        <v>-20587654.075316727</v>
      </c>
      <c r="Y61" s="418"/>
      <c r="Z61" s="458">
        <f>X61+Z60</f>
        <v>-21705131.300889082</v>
      </c>
      <c r="AA61" s="420"/>
      <c r="AB61" s="394"/>
      <c r="AC61" s="459"/>
      <c r="AD61" s="460"/>
    </row>
    <row r="62" spans="1:30" ht="12.75" customHeight="1" outlineLevel="1" thickTop="1" thickBot="1">
      <c r="A62" s="461"/>
      <c r="B62" s="462"/>
      <c r="C62" s="463" t="s">
        <v>297</v>
      </c>
      <c r="D62" s="464"/>
      <c r="E62" s="465"/>
      <c r="F62" s="465"/>
      <c r="G62" s="465"/>
      <c r="H62" s="465"/>
      <c r="I62" s="465"/>
      <c r="J62" s="465"/>
      <c r="K62" s="465"/>
      <c r="L62" s="465"/>
      <c r="M62" s="465"/>
      <c r="N62" s="465"/>
      <c r="O62" s="465"/>
      <c r="P62" s="465"/>
      <c r="Q62" s="465"/>
      <c r="R62" s="465"/>
      <c r="S62" s="465"/>
      <c r="T62" s="465"/>
      <c r="U62" s="465"/>
      <c r="V62" s="465"/>
      <c r="W62" s="465"/>
      <c r="X62" s="465"/>
      <c r="Y62" s="465"/>
      <c r="Z62" s="465"/>
      <c r="AA62" s="466"/>
      <c r="AC62" s="467"/>
      <c r="AD62" s="468"/>
    </row>
    <row r="63" spans="1:30" ht="19" thickBot="1"/>
    <row r="64" spans="1:30" ht="27" outlineLevel="1">
      <c r="C64" s="470" t="s">
        <v>298</v>
      </c>
      <c r="D64" s="658">
        <f>D7</f>
        <v>4982374</v>
      </c>
      <c r="E64" s="656"/>
      <c r="F64" s="656">
        <f>F7</f>
        <v>5001830</v>
      </c>
      <c r="G64" s="656"/>
      <c r="H64" s="656">
        <f>H7</f>
        <v>6460634</v>
      </c>
      <c r="I64" s="656"/>
      <c r="J64" s="656">
        <f>J7</f>
        <v>6676657</v>
      </c>
      <c r="K64" s="656"/>
      <c r="L64" s="656">
        <f>L7</f>
        <v>6165010</v>
      </c>
      <c r="M64" s="656"/>
      <c r="N64" s="656">
        <f>N7</f>
        <v>5907950</v>
      </c>
      <c r="O64" s="656"/>
      <c r="P64" s="656">
        <f>P7</f>
        <v>6522185</v>
      </c>
      <c r="Q64" s="656"/>
      <c r="R64" s="656">
        <f>R7</f>
        <v>4512002</v>
      </c>
      <c r="S64" s="656"/>
      <c r="T64" s="656">
        <f>T7</f>
        <v>5425075</v>
      </c>
      <c r="U64" s="656"/>
      <c r="V64" s="656">
        <f>V7</f>
        <v>5555530</v>
      </c>
      <c r="W64" s="656"/>
      <c r="X64" s="656">
        <f>X7</f>
        <v>6112150</v>
      </c>
      <c r="Y64" s="656"/>
      <c r="Z64" s="656">
        <f>Z7</f>
        <v>7899460</v>
      </c>
      <c r="AA64" s="657"/>
      <c r="AB64" s="471"/>
      <c r="AC64" s="654">
        <f>SUM(D64:AA64)</f>
        <v>71220857</v>
      </c>
      <c r="AD64" s="655"/>
    </row>
    <row r="65" spans="3:30" ht="20" outlineLevel="1">
      <c r="C65" s="472" t="s">
        <v>232</v>
      </c>
      <c r="D65" s="473">
        <f>$D$64*E65</f>
        <v>1743830.9</v>
      </c>
      <c r="E65" s="474">
        <f>IF(D64&gt;=10000000, 22%, IF(D64&gt;=9000000, 24%, IF(D64&gt;=8000000, 25%, IF(D64&gt;=7000000, 26%, IF(D64&gt;=6000000, 28%, IF(D64&gt;=5000000, 30%, 35%))))))</f>
        <v>0.35</v>
      </c>
      <c r="F65" s="475">
        <f>$F$64*G65</f>
        <v>1500549</v>
      </c>
      <c r="G65" s="474">
        <f>IF(F64&gt;=10000000, 22%, IF(F64&gt;=9000000, 24%, IF(F64&gt;=8000000, 25%, IF(F64&gt;=7000000, 26%, IF(F64&gt;=6000000, 28%, IF(F64&gt;=5000000, 30%, 35%))))))</f>
        <v>0.3</v>
      </c>
      <c r="H65" s="475">
        <f>$H$64*I65</f>
        <v>1808977.5200000003</v>
      </c>
      <c r="I65" s="474">
        <f>IF(H64&gt;=10000000, 22%, IF(H64&gt;=9000000, 24%, IF(H64&gt;=8000000, 25%, IF(H64&gt;=7000000, 26%, IF(H64&gt;=6000000, 28%, IF(H64&gt;=5000000, 30%, 35%))))))</f>
        <v>0.28000000000000003</v>
      </c>
      <c r="J65" s="475">
        <f>$J$64*K65</f>
        <v>1869463.9600000002</v>
      </c>
      <c r="K65" s="474">
        <f>IF(J64&gt;=10000000, 22%, IF(J64&gt;=9000000, 24%, IF(J64&gt;=8000000, 25%, IF(J64&gt;=7000000, 26%, IF(J64&gt;=6000000, 28%, IF(J64&gt;=5000000, 30%, 35%))))))</f>
        <v>0.28000000000000003</v>
      </c>
      <c r="L65" s="475">
        <f>$L$64*M65</f>
        <v>1726202.8000000003</v>
      </c>
      <c r="M65" s="474">
        <f>IF(L64&gt;=10000000, 22%, IF(L64&gt;=9000000, 24%, IF(L64&gt;=8000000, 25%, IF(L64&gt;=7000000, 26%, IF(L64&gt;=6000000, 28%, IF(L64&gt;=5000000, 30%, 35%))))))</f>
        <v>0.28000000000000003</v>
      </c>
      <c r="N65" s="475">
        <f>$N$64*O65</f>
        <v>1772385</v>
      </c>
      <c r="O65" s="474">
        <f>IF(N64&gt;=10000000, 22%, IF(N64&gt;=9000000, 24%, IF(N64&gt;=8000000, 25%, IF(N64&gt;=7000000, 26%, IF(N64&gt;=6000000, 28%, IF(N64&gt;=5000000, 30%, 35%))))))</f>
        <v>0.3</v>
      </c>
      <c r="P65" s="475">
        <f>$P$64*Q65</f>
        <v>1826211.8000000003</v>
      </c>
      <c r="Q65" s="474">
        <f>IF(P64&gt;=10000000, 22%, IF(P64&gt;=9000000, 24%, IF(P64&gt;=8000000, 25%, IF(P64&gt;=7000000, 26%, IF(P64&gt;=6000000, 28%, IF(P64&gt;=5000000, 30%, 35%))))))</f>
        <v>0.28000000000000003</v>
      </c>
      <c r="R65" s="475">
        <f>$R$64*S65</f>
        <v>1579200.7</v>
      </c>
      <c r="S65" s="474">
        <f>IF(R64&gt;=10000000, 22%, IF(R64&gt;=9000000, 24%, IF(R64&gt;=8000000, 25%, IF(R64&gt;=7000000, 26%, IF(R64&gt;=6000000, 28%, IF(R64&gt;=5000000, 30%, 35%))))))</f>
        <v>0.35</v>
      </c>
      <c r="T65" s="475">
        <f>$T$64*U65</f>
        <v>1627522.5</v>
      </c>
      <c r="U65" s="474">
        <f>IF(T64&gt;=10000000, 22%, IF(T64&gt;=9000000, 24%, IF(T64&gt;=8000000, 25%, IF(T64&gt;=7000000, 26%, IF(T64&gt;=6000000, 28%, IF(T64&gt;=5000000, 30%, 35%))))))</f>
        <v>0.3</v>
      </c>
      <c r="V65" s="475">
        <f>$V$64*W65</f>
        <v>1666659</v>
      </c>
      <c r="W65" s="474">
        <f>IF(V64&gt;=10000000, 22%, IF(V64&gt;=9000000, 24%, IF(V64&gt;=8000000, 25%, IF(V64&gt;=7000000, 26%, IF(V64&gt;=6000000, 28%, IF(V64&gt;=5000000, 30%, 35%))))))</f>
        <v>0.3</v>
      </c>
      <c r="X65" s="475">
        <f>$X$64*Y65</f>
        <v>1711402.0000000002</v>
      </c>
      <c r="Y65" s="474">
        <f>IF(X64&gt;=10000000, 22%, IF(X64&gt;=9000000, 24%, IF(X64&gt;=8000000, 25%, IF(X64&gt;=7000000, 26%, IF(X64&gt;=6000000, 28%, IF(X64&gt;=5000000, 30%, 35%))))))</f>
        <v>0.28000000000000003</v>
      </c>
      <c r="Z65" s="475">
        <f>$Z$64*AA65</f>
        <v>2053859.6</v>
      </c>
      <c r="AA65" s="476">
        <f>IF(Z64&gt;=10000000, 22%, IF(Z64&gt;=9000000, 24%, IF(Z64&gt;=8000000, 25%, IF(Z64&gt;=7000000, 26%, IF(Z64&gt;=6000000, 28%, IF(Z64&gt;=5000000, 30%, 35%))))))</f>
        <v>0.26</v>
      </c>
      <c r="AB65" s="471"/>
      <c r="AC65" s="407">
        <f t="shared" ref="AC65:AC71" si="17">D65+F65+H65+J65+L65+N65+P65+R65+T65+V65+X65+Z65</f>
        <v>20886264.780000001</v>
      </c>
      <c r="AD65" s="476">
        <f t="shared" ref="AD65:AD71" si="18">AC65/$AC$64</f>
        <v>0.29326050906688755</v>
      </c>
    </row>
    <row r="66" spans="3:30" ht="20" outlineLevel="1">
      <c r="C66" s="472" t="s">
        <v>233</v>
      </c>
      <c r="D66" s="473">
        <f>$D$64*E66</f>
        <v>3238543.1</v>
      </c>
      <c r="E66" s="474">
        <f>IF(D64&gt;=10000000, 50%, IF(D64&gt;=9000000, 52%, IF(D64&gt;=8000000, 54%, IF(D64&gt;=7000000, 56%, IF(D64&gt;=6000000, 58%, IF(D64&gt;=5000000, 60%, 65%))))))</f>
        <v>0.65</v>
      </c>
      <c r="F66" s="475">
        <f>$F$64*G66</f>
        <v>3001098</v>
      </c>
      <c r="G66" s="474">
        <f>IF(F64&gt;=10000000, 50%, IF(F64&gt;=9000000, 52%, IF(F64&gt;=8000000, 54%, IF(F64&gt;=7000000, 56%, IF(F64&gt;=6000000, 58%, IF(F64&gt;=5000000, 60%, 65%))))))</f>
        <v>0.6</v>
      </c>
      <c r="H66" s="475">
        <f>$H$64*I66</f>
        <v>3747167.7199999997</v>
      </c>
      <c r="I66" s="474">
        <f>IF(H64&gt;=10000000, 50%, IF(H64&gt;=9000000, 52%, IF(H64&gt;=8000000, 54%, IF(H64&gt;=7000000, 56%, IF(H64&gt;=6000000, 58%, IF(H64&gt;=5000000, 60%, 65%))))))</f>
        <v>0.57999999999999996</v>
      </c>
      <c r="J66" s="475">
        <f>$J$64*K66</f>
        <v>3872461.0599999996</v>
      </c>
      <c r="K66" s="474">
        <f>IF(J64&gt;=10000000, 50%, IF(J64&gt;=9000000, 52%, IF(J64&gt;=8000000, 54%, IF(J64&gt;=7000000, 56%, IF(J64&gt;=6000000, 58%, IF(J64&gt;=5000000, 60%, 65%))))))</f>
        <v>0.57999999999999996</v>
      </c>
      <c r="L66" s="475">
        <f>$L$64*M66</f>
        <v>3575705.8</v>
      </c>
      <c r="M66" s="474">
        <f>IF(L64&gt;=10000000, 50%, IF(L64&gt;=9000000, 52%, IF(L64&gt;=8000000, 54%, IF(L64&gt;=7000000, 56%, IF(L64&gt;=6000000, 58%, IF(L64&gt;=5000000, 60%, 65%))))))</f>
        <v>0.57999999999999996</v>
      </c>
      <c r="N66" s="475">
        <f>$N$64*O66</f>
        <v>3544770</v>
      </c>
      <c r="O66" s="474">
        <f>IF(N64&gt;=10000000, 50%, IF(N64&gt;=9000000, 52%, IF(N64&gt;=8000000, 54%, IF(N64&gt;=7000000, 56%, IF(N64&gt;=6000000, 58%, IF(N64&gt;=5000000, 60%, 65%))))))</f>
        <v>0.6</v>
      </c>
      <c r="P66" s="475">
        <f>$P$64*Q66</f>
        <v>3782867.3</v>
      </c>
      <c r="Q66" s="474">
        <f>IF(P64&gt;=10000000, 50%, IF(P64&gt;=9000000, 52%, IF(P64&gt;=8000000, 54%, IF(P64&gt;=7000000, 56%, IF(P64&gt;=6000000, 58%, IF(P64&gt;=5000000, 60%, 65%))))))</f>
        <v>0.57999999999999996</v>
      </c>
      <c r="R66" s="475">
        <f>$R$64*S66</f>
        <v>2932801.3000000003</v>
      </c>
      <c r="S66" s="474">
        <f>IF(R64&gt;=10000000, 50%, IF(R64&gt;=9000000, 52%, IF(R64&gt;=8000000, 54%, IF(R64&gt;=7000000, 56%, IF(R64&gt;=6000000, 58%, IF(R64&gt;=5000000, 60%, 65%))))))</f>
        <v>0.65</v>
      </c>
      <c r="T66" s="475">
        <f>$T$64*U66</f>
        <v>3255045</v>
      </c>
      <c r="U66" s="474">
        <f>IF(T64&gt;=10000000, 50%, IF(T64&gt;=9000000, 52%, IF(T64&gt;=8000000, 54%, IF(T64&gt;=7000000, 56%, IF(T64&gt;=6000000, 58%, IF(T64&gt;=5000000, 60%, 65%))))))</f>
        <v>0.6</v>
      </c>
      <c r="V66" s="475">
        <f>$V$64*W66</f>
        <v>3333318</v>
      </c>
      <c r="W66" s="474">
        <f>IF(V64&gt;=10000000, 50%, IF(V64&gt;=9000000, 52%, IF(V64&gt;=8000000, 54%, IF(V64&gt;=7000000, 56%, IF(V64&gt;=6000000, 58%, IF(V64&gt;=5000000, 60%, 65%))))))</f>
        <v>0.6</v>
      </c>
      <c r="X66" s="475">
        <f>$X$64*Y66</f>
        <v>3545046.9999999995</v>
      </c>
      <c r="Y66" s="474">
        <f>IF(X64&gt;=10000000, 50%, IF(X64&gt;=9000000, 52%, IF(X64&gt;=8000000, 54%, IF(X64&gt;=7000000, 56%, IF(X64&gt;=6000000, 58%, IF(X64&gt;=5000000, 60%, 65%))))))</f>
        <v>0.57999999999999996</v>
      </c>
      <c r="Z66" s="475">
        <f>$Z$64*AA66</f>
        <v>4423697.6000000006</v>
      </c>
      <c r="AA66" s="476">
        <f>IF(Z64&gt;=10000000, 50%, IF(Z64&gt;=9000000, 52%, IF(Z64&gt;=8000000, 54%, IF(Z64&gt;=7000000, 56%, IF(Z64&gt;=6000000, 58%, IF(Z64&gt;=5000000, 60%, 65%))))))</f>
        <v>0.56000000000000005</v>
      </c>
      <c r="AB66" s="471"/>
      <c r="AC66" s="407">
        <f t="shared" si="17"/>
        <v>42252521.880000003</v>
      </c>
      <c r="AD66" s="476">
        <f t="shared" si="18"/>
        <v>0.59326050906688754</v>
      </c>
    </row>
    <row r="67" spans="3:30" ht="21" outlineLevel="1" thickBot="1">
      <c r="C67" s="477" t="s">
        <v>299</v>
      </c>
      <c r="D67" s="478">
        <f>D64-D65-D66</f>
        <v>0</v>
      </c>
      <c r="E67" s="479">
        <f>((D64*E65)+(D64*E66))-D64</f>
        <v>0</v>
      </c>
      <c r="F67" s="480">
        <f>F64-F65-F66</f>
        <v>500183</v>
      </c>
      <c r="G67" s="479">
        <f>1-G65-G66</f>
        <v>9.9999999999999978E-2</v>
      </c>
      <c r="H67" s="480">
        <f>H64-H65-H66</f>
        <v>904488.75999999978</v>
      </c>
      <c r="I67" s="479">
        <f>1-I65-I66</f>
        <v>0.14000000000000001</v>
      </c>
      <c r="J67" s="480">
        <f>J64-J65-J66</f>
        <v>934731.98000000045</v>
      </c>
      <c r="K67" s="479">
        <f>1-K65-K66</f>
        <v>0.14000000000000001</v>
      </c>
      <c r="L67" s="480">
        <f>L64-L65-L66</f>
        <v>863101.39999999944</v>
      </c>
      <c r="M67" s="479">
        <f>1-M65-M66</f>
        <v>0.14000000000000001</v>
      </c>
      <c r="N67" s="480">
        <f>N64-N65-N66</f>
        <v>590795</v>
      </c>
      <c r="O67" s="479">
        <f>1-O65-O66</f>
        <v>9.9999999999999978E-2</v>
      </c>
      <c r="P67" s="480">
        <f>P64-P65-P66</f>
        <v>913105.89999999944</v>
      </c>
      <c r="Q67" s="479">
        <f>1-Q65-Q66</f>
        <v>0.14000000000000001</v>
      </c>
      <c r="R67" s="480">
        <f>R64-R65-R66</f>
        <v>0</v>
      </c>
      <c r="S67" s="479">
        <f>1-S65-S66</f>
        <v>0</v>
      </c>
      <c r="T67" s="480">
        <f>T64-T65-T66</f>
        <v>542507.5</v>
      </c>
      <c r="U67" s="479">
        <f>1-U65-U66</f>
        <v>9.9999999999999978E-2</v>
      </c>
      <c r="V67" s="480">
        <f>V64-V65-V66</f>
        <v>555553</v>
      </c>
      <c r="W67" s="479">
        <f>1-W65-W66</f>
        <v>9.9999999999999978E-2</v>
      </c>
      <c r="X67" s="480">
        <f>X64-X65-X66</f>
        <v>855701.00000000047</v>
      </c>
      <c r="Y67" s="479">
        <f>1-Y65-Y66</f>
        <v>0.14000000000000001</v>
      </c>
      <c r="Z67" s="480">
        <f>Z64-Z65-Z66</f>
        <v>1421902.7999999998</v>
      </c>
      <c r="AA67" s="481">
        <f>1-AA65-AA66</f>
        <v>0.17999999999999994</v>
      </c>
      <c r="AB67" s="471"/>
      <c r="AC67" s="421">
        <f t="shared" si="17"/>
        <v>8082070.3399999989</v>
      </c>
      <c r="AD67" s="481">
        <f t="shared" si="18"/>
        <v>0.11347898186622493</v>
      </c>
    </row>
    <row r="68" spans="3:30" ht="21" outlineLevel="1" thickTop="1">
      <c r="C68" s="482" t="s">
        <v>300</v>
      </c>
      <c r="D68" s="483">
        <f>$D$64*E68</f>
        <v>996474.8</v>
      </c>
      <c r="E68" s="484">
        <v>0.2</v>
      </c>
      <c r="F68" s="485">
        <f>$F$64*G68</f>
        <v>1000366</v>
      </c>
      <c r="G68" s="484">
        <v>0.2</v>
      </c>
      <c r="H68" s="485">
        <f>$H$64*I68</f>
        <v>1292126.8</v>
      </c>
      <c r="I68" s="484">
        <v>0.2</v>
      </c>
      <c r="J68" s="485">
        <f>$J$64*K68</f>
        <v>1335331.4000000001</v>
      </c>
      <c r="K68" s="484">
        <v>0.2</v>
      </c>
      <c r="L68" s="485">
        <f>$L$64*M68</f>
        <v>1233002</v>
      </c>
      <c r="M68" s="484">
        <v>0.2</v>
      </c>
      <c r="N68" s="485">
        <f>$N$64*O68</f>
        <v>1181590</v>
      </c>
      <c r="O68" s="484">
        <v>0.2</v>
      </c>
      <c r="P68" s="485">
        <f>$P$64*Q68</f>
        <v>1304437</v>
      </c>
      <c r="Q68" s="484">
        <v>0.2</v>
      </c>
      <c r="R68" s="485">
        <f>$R$64*S68</f>
        <v>902400.4</v>
      </c>
      <c r="S68" s="484">
        <v>0.2</v>
      </c>
      <c r="T68" s="485">
        <f>$T$64*U68</f>
        <v>1085015</v>
      </c>
      <c r="U68" s="484">
        <v>0.2</v>
      </c>
      <c r="V68" s="485">
        <f>$V$64*W68</f>
        <v>1111106</v>
      </c>
      <c r="W68" s="484">
        <v>0.2</v>
      </c>
      <c r="X68" s="485">
        <f>$X$64*Y68</f>
        <v>1222430</v>
      </c>
      <c r="Y68" s="484">
        <v>0.2</v>
      </c>
      <c r="Z68" s="485">
        <f>$Z$64*AA68</f>
        <v>1579892</v>
      </c>
      <c r="AA68" s="486">
        <v>0.2</v>
      </c>
      <c r="AB68" s="471"/>
      <c r="AC68" s="425">
        <f t="shared" si="17"/>
        <v>14244171.4</v>
      </c>
      <c r="AD68" s="486">
        <f t="shared" si="18"/>
        <v>0.2</v>
      </c>
    </row>
    <row r="69" spans="3:30" ht="20" outlineLevel="1">
      <c r="C69" s="472" t="s">
        <v>301</v>
      </c>
      <c r="D69" s="473">
        <f>$D$64*E69</f>
        <v>747356.1</v>
      </c>
      <c r="E69" s="474">
        <v>0.15</v>
      </c>
      <c r="F69" s="475">
        <f>$F$64*G69</f>
        <v>750274.5</v>
      </c>
      <c r="G69" s="474">
        <v>0.15</v>
      </c>
      <c r="H69" s="475">
        <f>$H$64*I69</f>
        <v>969095.1</v>
      </c>
      <c r="I69" s="474">
        <v>0.15</v>
      </c>
      <c r="J69" s="475">
        <f>$J$64*K69</f>
        <v>1001498.5499999999</v>
      </c>
      <c r="K69" s="474">
        <v>0.15</v>
      </c>
      <c r="L69" s="475">
        <f>$L$64*M69</f>
        <v>924751.5</v>
      </c>
      <c r="M69" s="474">
        <v>0.15</v>
      </c>
      <c r="N69" s="475">
        <f>$N$64*O69</f>
        <v>886192.5</v>
      </c>
      <c r="O69" s="474">
        <v>0.15</v>
      </c>
      <c r="P69" s="475">
        <f>$P$64*Q69</f>
        <v>978327.75</v>
      </c>
      <c r="Q69" s="474">
        <v>0.15</v>
      </c>
      <c r="R69" s="475">
        <f>$R$64*S69</f>
        <v>676800.29999999993</v>
      </c>
      <c r="S69" s="474">
        <v>0.15</v>
      </c>
      <c r="T69" s="475">
        <f>$T$64*U69</f>
        <v>813761.25</v>
      </c>
      <c r="U69" s="474">
        <v>0.15</v>
      </c>
      <c r="V69" s="475">
        <f>$V$64*W69</f>
        <v>833329.5</v>
      </c>
      <c r="W69" s="474">
        <v>0.15</v>
      </c>
      <c r="X69" s="475">
        <f>$X$64*Y69</f>
        <v>916822.5</v>
      </c>
      <c r="Y69" s="474">
        <v>0.15</v>
      </c>
      <c r="Z69" s="475">
        <f>$Z$64*AA69</f>
        <v>1184919</v>
      </c>
      <c r="AA69" s="476">
        <v>0.15</v>
      </c>
      <c r="AB69" s="471"/>
      <c r="AC69" s="407">
        <f t="shared" si="17"/>
        <v>10683128.550000001</v>
      </c>
      <c r="AD69" s="476">
        <f t="shared" si="18"/>
        <v>0.15000000000000002</v>
      </c>
    </row>
    <row r="70" spans="3:30" ht="20" outlineLevel="1">
      <c r="C70" s="472" t="s">
        <v>302</v>
      </c>
      <c r="D70" s="473">
        <f>$D$64*E70</f>
        <v>1743830.9</v>
      </c>
      <c r="E70" s="474">
        <v>0.35</v>
      </c>
      <c r="F70" s="475">
        <f>$F$64*G70</f>
        <v>1750640.5</v>
      </c>
      <c r="G70" s="474">
        <v>0.35</v>
      </c>
      <c r="H70" s="475">
        <f>$H$64*I70</f>
        <v>2261221.9</v>
      </c>
      <c r="I70" s="474">
        <v>0.35</v>
      </c>
      <c r="J70" s="475">
        <f>$J$64*K70</f>
        <v>2336829.9499999997</v>
      </c>
      <c r="K70" s="474">
        <v>0.35</v>
      </c>
      <c r="L70" s="475">
        <f>$L$64*M70</f>
        <v>2157753.5</v>
      </c>
      <c r="M70" s="474">
        <v>0.35</v>
      </c>
      <c r="N70" s="475">
        <f>$N$64*O70</f>
        <v>2067782.4999999998</v>
      </c>
      <c r="O70" s="474">
        <v>0.35</v>
      </c>
      <c r="P70" s="475">
        <f>$P$64*Q70</f>
        <v>2282764.75</v>
      </c>
      <c r="Q70" s="474">
        <v>0.35</v>
      </c>
      <c r="R70" s="475">
        <f>$R$64*S70</f>
        <v>1579200.7</v>
      </c>
      <c r="S70" s="474">
        <v>0.35</v>
      </c>
      <c r="T70" s="475">
        <f>$T$64*U70</f>
        <v>1898776.2499999998</v>
      </c>
      <c r="U70" s="474">
        <v>0.35</v>
      </c>
      <c r="V70" s="475">
        <f>$V$64*W70</f>
        <v>1944435.4999999998</v>
      </c>
      <c r="W70" s="474">
        <v>0.35</v>
      </c>
      <c r="X70" s="475">
        <f>$X$64*Y70</f>
        <v>2139252.5</v>
      </c>
      <c r="Y70" s="474">
        <v>0.35</v>
      </c>
      <c r="Z70" s="475">
        <f>$Z$64*AA70</f>
        <v>2764811</v>
      </c>
      <c r="AA70" s="476">
        <v>0.35</v>
      </c>
      <c r="AB70" s="471"/>
      <c r="AC70" s="407">
        <f t="shared" si="17"/>
        <v>24927299.949999999</v>
      </c>
      <c r="AD70" s="476">
        <f t="shared" si="18"/>
        <v>0.35</v>
      </c>
    </row>
    <row r="71" spans="3:30" ht="21" outlineLevel="1" thickBot="1">
      <c r="C71" s="487" t="s">
        <v>303</v>
      </c>
      <c r="D71" s="488">
        <f>$D$64*E71</f>
        <v>1594359.68</v>
      </c>
      <c r="E71" s="489">
        <v>0.32</v>
      </c>
      <c r="F71" s="490">
        <f>$F$64*G71</f>
        <v>1600585.6</v>
      </c>
      <c r="G71" s="489">
        <v>0.32</v>
      </c>
      <c r="H71" s="490">
        <f>$H$64*I71</f>
        <v>2067402.8800000001</v>
      </c>
      <c r="I71" s="489">
        <v>0.32</v>
      </c>
      <c r="J71" s="490">
        <f>$J$64*K71</f>
        <v>2136530.2400000002</v>
      </c>
      <c r="K71" s="489">
        <v>0.32</v>
      </c>
      <c r="L71" s="490">
        <f>$L$64*M71</f>
        <v>1972803.2</v>
      </c>
      <c r="M71" s="489">
        <v>0.32</v>
      </c>
      <c r="N71" s="490">
        <f>$N$64*O71</f>
        <v>1890544</v>
      </c>
      <c r="O71" s="489">
        <v>0.32</v>
      </c>
      <c r="P71" s="490">
        <f>$P$64*Q71</f>
        <v>2087099.2</v>
      </c>
      <c r="Q71" s="489">
        <v>0.32</v>
      </c>
      <c r="R71" s="490">
        <f>$R$64*S71</f>
        <v>1443840.6400000001</v>
      </c>
      <c r="S71" s="489">
        <v>0.32</v>
      </c>
      <c r="T71" s="490">
        <f>$T$64*U71</f>
        <v>1736024</v>
      </c>
      <c r="U71" s="489">
        <v>0.32</v>
      </c>
      <c r="V71" s="490">
        <f>$V$64*W71</f>
        <v>1777769.6</v>
      </c>
      <c r="W71" s="489">
        <v>0.32</v>
      </c>
      <c r="X71" s="490">
        <f>$X$64*Y71</f>
        <v>1955888</v>
      </c>
      <c r="Y71" s="489">
        <v>0.32</v>
      </c>
      <c r="Z71" s="490">
        <f>$Z$64*AA71</f>
        <v>2527827.2000000002</v>
      </c>
      <c r="AA71" s="491">
        <v>0.32</v>
      </c>
      <c r="AB71" s="471"/>
      <c r="AC71" s="492">
        <f t="shared" si="17"/>
        <v>22790674.239999998</v>
      </c>
      <c r="AD71" s="491">
        <f t="shared" si="18"/>
        <v>0.31999999999999995</v>
      </c>
    </row>
    <row r="80" spans="3:30" ht="20">
      <c r="D80" s="493"/>
      <c r="E80" s="494"/>
      <c r="J80" s="495"/>
    </row>
    <row r="81" spans="4:5" ht="20">
      <c r="D81" s="493"/>
      <c r="E81" s="495"/>
    </row>
    <row r="82" spans="4:5" ht="20">
      <c r="D82" s="493"/>
      <c r="E82" s="495"/>
    </row>
    <row r="83" spans="4:5" ht="20">
      <c r="D83" s="493"/>
      <c r="E83" s="495"/>
    </row>
    <row r="84" spans="4:5" ht="20">
      <c r="D84" s="496"/>
      <c r="E84" s="495"/>
    </row>
    <row r="85" spans="4:5" ht="20">
      <c r="D85" s="493"/>
      <c r="E85" s="495"/>
    </row>
    <row r="86" spans="4:5" ht="20">
      <c r="D86" s="493"/>
      <c r="E86" s="495"/>
    </row>
    <row r="87" spans="4:5" ht="20">
      <c r="E87" s="495"/>
    </row>
    <row r="88" spans="4:5" ht="20">
      <c r="D88" s="493"/>
      <c r="E88" s="495"/>
    </row>
    <row r="89" spans="4:5" ht="20">
      <c r="E89" s="495"/>
    </row>
    <row r="90" spans="4:5" ht="20">
      <c r="E90" s="495"/>
    </row>
    <row r="91" spans="4:5" ht="20">
      <c r="E91" s="495"/>
    </row>
    <row r="92" spans="4:5" ht="20">
      <c r="E92" s="495"/>
    </row>
    <row r="93" spans="4:5" ht="20">
      <c r="E93" s="495"/>
    </row>
    <row r="94" spans="4:5" ht="20">
      <c r="E94" s="495"/>
    </row>
    <row r="95" spans="4:5" ht="20">
      <c r="E95" s="495"/>
    </row>
    <row r="96" spans="4:5" ht="20">
      <c r="E96" s="495"/>
    </row>
    <row r="97" spans="5:5" ht="20">
      <c r="E97" s="495"/>
    </row>
    <row r="98" spans="5:5" ht="20">
      <c r="E98" s="495"/>
    </row>
    <row r="99" spans="5:5" ht="20">
      <c r="E99" s="495"/>
    </row>
    <row r="100" spans="5:5" ht="20">
      <c r="E100" s="495"/>
    </row>
    <row r="101" spans="5:5" ht="20">
      <c r="E101" s="495"/>
    </row>
    <row r="102" spans="5:5" ht="20">
      <c r="E102" s="495"/>
    </row>
    <row r="103" spans="5:5" ht="20">
      <c r="E103" s="495"/>
    </row>
    <row r="104" spans="5:5" ht="20">
      <c r="E104" s="495"/>
    </row>
    <row r="105" spans="5:5" ht="20">
      <c r="E105" s="495"/>
    </row>
    <row r="106" spans="5:5" ht="20">
      <c r="E106" s="495"/>
    </row>
    <row r="107" spans="5:5" ht="20">
      <c r="E107" s="495"/>
    </row>
    <row r="108" spans="5:5" ht="20">
      <c r="E108" s="495"/>
    </row>
    <row r="109" spans="5:5" ht="20">
      <c r="E109" s="495"/>
    </row>
    <row r="110" spans="5:5" ht="20">
      <c r="E110" s="495"/>
    </row>
    <row r="111" spans="5:5" ht="20">
      <c r="E111" s="495"/>
    </row>
    <row r="112" spans="5:5" ht="20">
      <c r="E112" s="495"/>
    </row>
    <row r="113" spans="5:5" ht="20">
      <c r="E113" s="495"/>
    </row>
    <row r="114" spans="5:5" ht="20">
      <c r="E114" s="495"/>
    </row>
    <row r="115" spans="5:5" ht="20">
      <c r="E115" s="495"/>
    </row>
    <row r="116" spans="5:5" ht="20">
      <c r="E116" s="495"/>
    </row>
    <row r="117" spans="5:5" ht="20">
      <c r="E117" s="495"/>
    </row>
    <row r="118" spans="5:5" ht="20">
      <c r="E118" s="495"/>
    </row>
    <row r="119" spans="5:5" ht="20">
      <c r="E119" s="495"/>
    </row>
  </sheetData>
  <sheetProtection selectLockedCells="1"/>
  <mergeCells count="124">
    <mergeCell ref="Z3:AA3"/>
    <mergeCell ref="AC3:AD6"/>
    <mergeCell ref="A4:B7"/>
    <mergeCell ref="D4:E4"/>
    <mergeCell ref="F4:G4"/>
    <mergeCell ref="H4:I4"/>
    <mergeCell ref="J4:K4"/>
    <mergeCell ref="L4:M4"/>
    <mergeCell ref="N4:O4"/>
    <mergeCell ref="P4:Q4"/>
    <mergeCell ref="N3:O3"/>
    <mergeCell ref="P3:Q3"/>
    <mergeCell ref="R3:S3"/>
    <mergeCell ref="T3:U3"/>
    <mergeCell ref="V3:W3"/>
    <mergeCell ref="X3:Y3"/>
    <mergeCell ref="A3:B3"/>
    <mergeCell ref="D3:E3"/>
    <mergeCell ref="F3:G3"/>
    <mergeCell ref="H3:I3"/>
    <mergeCell ref="J3:K3"/>
    <mergeCell ref="L3:M3"/>
    <mergeCell ref="R4:S4"/>
    <mergeCell ref="T4:U4"/>
    <mergeCell ref="V4:W4"/>
    <mergeCell ref="X4:Y4"/>
    <mergeCell ref="Z4:AA4"/>
    <mergeCell ref="D5:E5"/>
    <mergeCell ref="F5:G5"/>
    <mergeCell ref="H5:I5"/>
    <mergeCell ref="J5:K5"/>
    <mergeCell ref="L5:M5"/>
    <mergeCell ref="Z5:AA5"/>
    <mergeCell ref="N5:O5"/>
    <mergeCell ref="P5:Q5"/>
    <mergeCell ref="R5:S5"/>
    <mergeCell ref="T5:U5"/>
    <mergeCell ref="V5:W5"/>
    <mergeCell ref="X5:Y5"/>
    <mergeCell ref="X7:Y7"/>
    <mergeCell ref="Z7:AA7"/>
    <mergeCell ref="AC7:AD7"/>
    <mergeCell ref="V6:W6"/>
    <mergeCell ref="X6:Y6"/>
    <mergeCell ref="Z6:AA6"/>
    <mergeCell ref="D7:E7"/>
    <mergeCell ref="F7:G7"/>
    <mergeCell ref="H7:I7"/>
    <mergeCell ref="J7:K7"/>
    <mergeCell ref="L7:M7"/>
    <mergeCell ref="N7:O7"/>
    <mergeCell ref="P7:Q7"/>
    <mergeCell ref="D6:E6"/>
    <mergeCell ref="F6:G6"/>
    <mergeCell ref="H6:I6"/>
    <mergeCell ref="J6:K6"/>
    <mergeCell ref="L6:M6"/>
    <mergeCell ref="N6:O6"/>
    <mergeCell ref="P6:Q6"/>
    <mergeCell ref="R6:S6"/>
    <mergeCell ref="T6:U6"/>
    <mergeCell ref="A8:B10"/>
    <mergeCell ref="A11:B15"/>
    <mergeCell ref="A16:B18"/>
    <mergeCell ref="A19:B21"/>
    <mergeCell ref="A22:C22"/>
    <mergeCell ref="D22:E22"/>
    <mergeCell ref="R7:S7"/>
    <mergeCell ref="T7:U7"/>
    <mergeCell ref="V7:W7"/>
    <mergeCell ref="X22:Y22"/>
    <mergeCell ref="Z22:AA22"/>
    <mergeCell ref="AC22:AD22"/>
    <mergeCell ref="F22:G22"/>
    <mergeCell ref="H22:I22"/>
    <mergeCell ref="J22:K22"/>
    <mergeCell ref="L22:M22"/>
    <mergeCell ref="N22:O22"/>
    <mergeCell ref="P22:Q22"/>
    <mergeCell ref="A23:C23"/>
    <mergeCell ref="D24:E24"/>
    <mergeCell ref="F24:G24"/>
    <mergeCell ref="H24:I24"/>
    <mergeCell ref="J24:K24"/>
    <mergeCell ref="L24:M24"/>
    <mergeCell ref="R22:S22"/>
    <mergeCell ref="T22:U22"/>
    <mergeCell ref="V22:W22"/>
    <mergeCell ref="V25:W25"/>
    <mergeCell ref="X25:Y25"/>
    <mergeCell ref="Z25:AA25"/>
    <mergeCell ref="AC25:AD25"/>
    <mergeCell ref="A27:A58"/>
    <mergeCell ref="B27:B41"/>
    <mergeCell ref="B42:B58"/>
    <mergeCell ref="Z24:AA24"/>
    <mergeCell ref="D25:E25"/>
    <mergeCell ref="F25:G25"/>
    <mergeCell ref="H25:I25"/>
    <mergeCell ref="J25:K25"/>
    <mergeCell ref="L25:M25"/>
    <mergeCell ref="N25:O25"/>
    <mergeCell ref="P25:Q25"/>
    <mergeCell ref="R25:S25"/>
    <mergeCell ref="T25:U25"/>
    <mergeCell ref="N24:O24"/>
    <mergeCell ref="P24:Q24"/>
    <mergeCell ref="R24:S24"/>
    <mergeCell ref="T24:U24"/>
    <mergeCell ref="V24:W24"/>
    <mergeCell ref="X24:Y24"/>
    <mergeCell ref="AC64:AD64"/>
    <mergeCell ref="P64:Q64"/>
    <mergeCell ref="R64:S64"/>
    <mergeCell ref="T64:U64"/>
    <mergeCell ref="V64:W64"/>
    <mergeCell ref="X64:Y64"/>
    <mergeCell ref="Z64:AA64"/>
    <mergeCell ref="D64:E64"/>
    <mergeCell ref="F64:G64"/>
    <mergeCell ref="H64:I64"/>
    <mergeCell ref="J64:K64"/>
    <mergeCell ref="L64:M64"/>
    <mergeCell ref="N64:O64"/>
  </mergeCells>
  <phoneticPr fontId="2"/>
  <pageMargins left="0.19685039370078741" right="0.19685039370078741" top="0.19685039370078741" bottom="0.19685039370078741" header="0.31496062992125984" footer="0.31496062992125984"/>
  <pageSetup paperSize="9" scale="61" fitToWidth="0" orientation="landscape" r:id="rId1"/>
  <colBreaks count="2" manualBreakCount="2">
    <brk id="11" min="1" max="42" man="1"/>
    <brk id="21" min="1" max="42" man="1"/>
  </col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ADA"/>
    <pageSetUpPr fitToPage="1"/>
  </sheetPr>
  <dimension ref="A1:AK119"/>
  <sheetViews>
    <sheetView zoomScaleNormal="100" workbookViewId="0">
      <pane xSplit="3" ySplit="3" topLeftCell="D4" activePane="bottomRight" state="frozen"/>
      <selection pane="topRight" activeCell="D1" sqref="D1"/>
      <selection pane="bottomLeft" activeCell="A3" sqref="A3"/>
      <selection pane="bottomRight" activeCell="D58" sqref="D58"/>
    </sheetView>
  </sheetViews>
  <sheetFormatPr baseColWidth="10" defaultColWidth="7.5703125" defaultRowHeight="18" outlineLevelRow="1"/>
  <cols>
    <col min="1" max="2" width="7.85546875" style="304" customWidth="1"/>
    <col min="3" max="3" width="26.85546875" style="469" customWidth="1"/>
    <col min="4" max="4" width="15.140625" style="304" customWidth="1"/>
    <col min="5" max="5" width="11" style="304" customWidth="1"/>
    <col min="6" max="6" width="15.140625" style="304" customWidth="1"/>
    <col min="7" max="7" width="11.85546875" style="304" bestFit="1" customWidth="1"/>
    <col min="8" max="8" width="15.140625" style="304" customWidth="1"/>
    <col min="9" max="9" width="11.85546875" style="304" bestFit="1" customWidth="1"/>
    <col min="10" max="10" width="15.140625" style="304" customWidth="1"/>
    <col min="11" max="11" width="11.85546875" style="304" bestFit="1" customWidth="1"/>
    <col min="12" max="12" width="15.140625" style="304" customWidth="1"/>
    <col min="13" max="13" width="11.85546875" style="304" bestFit="1" customWidth="1"/>
    <col min="14" max="14" width="15.140625" style="304" customWidth="1"/>
    <col min="15" max="15" width="11.85546875" style="304" bestFit="1" customWidth="1"/>
    <col min="16" max="16" width="15.140625" style="304" customWidth="1"/>
    <col min="17" max="17" width="11.85546875" style="304" bestFit="1" customWidth="1"/>
    <col min="18" max="18" width="15.140625" style="304" customWidth="1"/>
    <col min="19" max="19" width="11.85546875" style="304" bestFit="1" customWidth="1"/>
    <col min="20" max="20" width="15.140625" style="304" customWidth="1"/>
    <col min="21" max="21" width="11.85546875" style="304" bestFit="1" customWidth="1"/>
    <col min="22" max="22" width="15.140625" style="304" customWidth="1"/>
    <col min="23" max="23" width="11.85546875" style="304" bestFit="1" customWidth="1"/>
    <col min="24" max="24" width="15.140625" style="304" customWidth="1"/>
    <col min="25" max="25" width="11.85546875" style="304" bestFit="1" customWidth="1"/>
    <col min="26" max="26" width="15.140625" style="304" customWidth="1"/>
    <col min="27" max="27" width="10.85546875" style="304" customWidth="1"/>
    <col min="28" max="28" width="1.42578125" style="304" customWidth="1"/>
    <col min="29" max="29" width="16.140625" style="304" customWidth="1"/>
    <col min="30" max="30" width="11.140625" style="304" customWidth="1"/>
    <col min="31" max="31" width="7.5703125" style="304"/>
    <col min="32" max="32" width="12.140625" style="304" bestFit="1" customWidth="1"/>
    <col min="33" max="16384" width="7.5703125" style="304"/>
  </cols>
  <sheetData>
    <row r="1" spans="1:37">
      <c r="A1" s="301"/>
      <c r="B1" s="301"/>
      <c r="C1" s="302"/>
      <c r="D1" s="303" t="s">
        <v>212</v>
      </c>
      <c r="E1" s="303" t="s">
        <v>213</v>
      </c>
      <c r="F1" s="303" t="s">
        <v>212</v>
      </c>
      <c r="G1" s="303" t="s">
        <v>213</v>
      </c>
      <c r="H1" s="303" t="s">
        <v>212</v>
      </c>
      <c r="I1" s="303" t="s">
        <v>213</v>
      </c>
      <c r="J1" s="303" t="s">
        <v>212</v>
      </c>
      <c r="K1" s="303" t="s">
        <v>213</v>
      </c>
      <c r="L1" s="303" t="s">
        <v>212</v>
      </c>
      <c r="M1" s="303" t="s">
        <v>213</v>
      </c>
      <c r="N1" s="303" t="s">
        <v>212</v>
      </c>
      <c r="O1" s="303" t="s">
        <v>213</v>
      </c>
      <c r="P1" s="303" t="s">
        <v>212</v>
      </c>
      <c r="Q1" s="303" t="s">
        <v>213</v>
      </c>
      <c r="R1" s="303" t="s">
        <v>212</v>
      </c>
      <c r="S1" s="303" t="s">
        <v>213</v>
      </c>
      <c r="T1" s="303" t="s">
        <v>212</v>
      </c>
      <c r="U1" s="303" t="s">
        <v>213</v>
      </c>
      <c r="V1" s="303" t="s">
        <v>212</v>
      </c>
      <c r="W1" s="303" t="s">
        <v>213</v>
      </c>
      <c r="X1" s="303" t="s">
        <v>212</v>
      </c>
      <c r="Y1" s="303" t="s">
        <v>213</v>
      </c>
      <c r="Z1" s="303" t="s">
        <v>212</v>
      </c>
      <c r="AA1" s="303" t="s">
        <v>213</v>
      </c>
    </row>
    <row r="2" spans="1:37" ht="18" customHeight="1">
      <c r="A2" s="301"/>
      <c r="B2" s="301"/>
      <c r="C2" s="305" t="s">
        <v>214</v>
      </c>
      <c r="D2" s="306">
        <f>D12+D14</f>
        <v>4982374</v>
      </c>
      <c r="E2" s="306">
        <f>D13+D15</f>
        <v>1751378</v>
      </c>
      <c r="F2" s="306">
        <f>F12+F14</f>
        <v>5001830</v>
      </c>
      <c r="G2" s="306">
        <f>F13+F15</f>
        <v>1777663</v>
      </c>
      <c r="H2" s="306">
        <f>H12+H14</f>
        <v>6460634</v>
      </c>
      <c r="I2" s="306">
        <f>H13+H15</f>
        <v>2136935</v>
      </c>
      <c r="J2" s="306">
        <f>J12+J15</f>
        <v>5340815</v>
      </c>
      <c r="K2" s="306">
        <f>J13+J14</f>
        <v>3575772</v>
      </c>
      <c r="L2" s="306">
        <f>L12+L14</f>
        <v>6165010</v>
      </c>
      <c r="M2" s="306">
        <f>L13+L15</f>
        <v>2108269</v>
      </c>
      <c r="N2" s="306">
        <f>N12+N15</f>
        <v>4795816</v>
      </c>
      <c r="O2" s="306">
        <f>N13+N14</f>
        <v>3786280</v>
      </c>
      <c r="P2" s="306">
        <f>P12+P15</f>
        <v>5510653</v>
      </c>
      <c r="Q2" s="306">
        <f>P13+P14</f>
        <v>3135203</v>
      </c>
      <c r="R2" s="306">
        <f>R12+R14</f>
        <v>4512002</v>
      </c>
      <c r="S2" s="306">
        <f>R13+R15</f>
        <v>1526066</v>
      </c>
      <c r="T2" s="306">
        <f>T12+T14</f>
        <v>5425075</v>
      </c>
      <c r="U2" s="306">
        <f>T13+T15</f>
        <v>2070876</v>
      </c>
      <c r="V2" s="306">
        <f>V12+V14</f>
        <v>5555530</v>
      </c>
      <c r="W2" s="306">
        <f>V13+V15</f>
        <v>2301711</v>
      </c>
      <c r="X2" s="306">
        <f>X12+X14</f>
        <v>6112150</v>
      </c>
      <c r="Y2" s="306">
        <f>X13+X15</f>
        <v>1745321</v>
      </c>
      <c r="Z2" s="306">
        <f>Z12+Z14</f>
        <v>7899460</v>
      </c>
      <c r="AA2" s="306">
        <f>Z13+Z15</f>
        <v>2648227</v>
      </c>
    </row>
    <row r="3" spans="1:37" s="309" customFormat="1" ht="27" customHeight="1" thickBot="1">
      <c r="A3" s="706"/>
      <c r="B3" s="707"/>
      <c r="C3" s="307">
        <v>2024</v>
      </c>
      <c r="D3" s="708" t="s">
        <v>201</v>
      </c>
      <c r="E3" s="709"/>
      <c r="F3" s="696" t="s">
        <v>215</v>
      </c>
      <c r="G3" s="697"/>
      <c r="H3" s="696" t="s">
        <v>216</v>
      </c>
      <c r="I3" s="697"/>
      <c r="J3" s="696" t="s">
        <v>217</v>
      </c>
      <c r="K3" s="697"/>
      <c r="L3" s="696" t="s">
        <v>218</v>
      </c>
      <c r="M3" s="697"/>
      <c r="N3" s="696" t="s">
        <v>219</v>
      </c>
      <c r="O3" s="697"/>
      <c r="P3" s="696" t="s">
        <v>220</v>
      </c>
      <c r="Q3" s="697"/>
      <c r="R3" s="696" t="s">
        <v>221</v>
      </c>
      <c r="S3" s="697"/>
      <c r="T3" s="696" t="s">
        <v>222</v>
      </c>
      <c r="U3" s="697"/>
      <c r="V3" s="696" t="s">
        <v>223</v>
      </c>
      <c r="W3" s="697"/>
      <c r="X3" s="696" t="s">
        <v>224</v>
      </c>
      <c r="Y3" s="697"/>
      <c r="Z3" s="696" t="s">
        <v>225</v>
      </c>
      <c r="AA3" s="697"/>
      <c r="AB3" s="308"/>
      <c r="AC3" s="698" t="s">
        <v>211</v>
      </c>
      <c r="AD3" s="699"/>
    </row>
    <row r="4" spans="1:37" ht="17" customHeight="1" thickTop="1">
      <c r="A4" s="678" t="s">
        <v>226</v>
      </c>
      <c r="B4" s="679"/>
      <c r="C4" s="310" t="s">
        <v>227</v>
      </c>
      <c r="D4" s="704">
        <v>4982374</v>
      </c>
      <c r="E4" s="704"/>
      <c r="F4" s="705">
        <v>5001830</v>
      </c>
      <c r="G4" s="695"/>
      <c r="H4" s="694">
        <v>6460634</v>
      </c>
      <c r="I4" s="695"/>
      <c r="J4" s="694">
        <v>6676657</v>
      </c>
      <c r="K4" s="695"/>
      <c r="L4" s="694">
        <v>6165010</v>
      </c>
      <c r="M4" s="695"/>
      <c r="N4" s="694">
        <v>5907950</v>
      </c>
      <c r="O4" s="695"/>
      <c r="P4" s="694">
        <v>6522185</v>
      </c>
      <c r="Q4" s="695"/>
      <c r="R4" s="694">
        <v>4512002</v>
      </c>
      <c r="S4" s="695"/>
      <c r="T4" s="694">
        <v>5425075</v>
      </c>
      <c r="U4" s="695"/>
      <c r="V4" s="694">
        <v>5555530</v>
      </c>
      <c r="W4" s="695"/>
      <c r="X4" s="694">
        <v>6112150</v>
      </c>
      <c r="Y4" s="695"/>
      <c r="Z4" s="694">
        <v>7899460</v>
      </c>
      <c r="AA4" s="695"/>
      <c r="AB4" s="311"/>
      <c r="AC4" s="700"/>
      <c r="AD4" s="701"/>
    </row>
    <row r="5" spans="1:37" ht="17" customHeight="1">
      <c r="A5" s="678"/>
      <c r="B5" s="679"/>
      <c r="C5" s="312" t="s">
        <v>228</v>
      </c>
      <c r="D5" s="693">
        <v>0</v>
      </c>
      <c r="E5" s="693"/>
      <c r="F5" s="693">
        <v>0</v>
      </c>
      <c r="G5" s="693"/>
      <c r="H5" s="693">
        <v>0</v>
      </c>
      <c r="I5" s="693"/>
      <c r="J5" s="693">
        <v>0</v>
      </c>
      <c r="K5" s="693"/>
      <c r="L5" s="693">
        <v>0</v>
      </c>
      <c r="M5" s="693"/>
      <c r="N5" s="693">
        <v>0</v>
      </c>
      <c r="O5" s="693"/>
      <c r="P5" s="693">
        <v>0</v>
      </c>
      <c r="Q5" s="693"/>
      <c r="R5" s="693">
        <v>0</v>
      </c>
      <c r="S5" s="693"/>
      <c r="T5" s="693">
        <v>0</v>
      </c>
      <c r="U5" s="693"/>
      <c r="V5" s="693">
        <v>0</v>
      </c>
      <c r="W5" s="693"/>
      <c r="X5" s="693">
        <v>0</v>
      </c>
      <c r="Y5" s="693"/>
      <c r="Z5" s="693">
        <v>0</v>
      </c>
      <c r="AA5" s="693"/>
      <c r="AB5" s="311"/>
      <c r="AC5" s="700"/>
      <c r="AD5" s="701"/>
    </row>
    <row r="6" spans="1:37" ht="17" customHeight="1">
      <c r="A6" s="678"/>
      <c r="B6" s="679"/>
      <c r="C6" s="313" t="s">
        <v>229</v>
      </c>
      <c r="D6" s="693">
        <v>0</v>
      </c>
      <c r="E6" s="693"/>
      <c r="F6" s="693">
        <v>0</v>
      </c>
      <c r="G6" s="693"/>
      <c r="H6" s="693">
        <v>0</v>
      </c>
      <c r="I6" s="693"/>
      <c r="J6" s="693">
        <v>0</v>
      </c>
      <c r="K6" s="693"/>
      <c r="L6" s="693">
        <v>0</v>
      </c>
      <c r="M6" s="693"/>
      <c r="N6" s="693">
        <v>0</v>
      </c>
      <c r="O6" s="693"/>
      <c r="P6" s="693">
        <v>0</v>
      </c>
      <c r="Q6" s="693"/>
      <c r="R6" s="693">
        <v>0</v>
      </c>
      <c r="S6" s="693"/>
      <c r="T6" s="693">
        <v>0</v>
      </c>
      <c r="U6" s="693"/>
      <c r="V6" s="693">
        <v>0</v>
      </c>
      <c r="W6" s="693"/>
      <c r="X6" s="693">
        <v>0</v>
      </c>
      <c r="Y6" s="693"/>
      <c r="Z6" s="693">
        <v>0</v>
      </c>
      <c r="AA6" s="693"/>
      <c r="AB6" s="311"/>
      <c r="AC6" s="702"/>
      <c r="AD6" s="703"/>
    </row>
    <row r="7" spans="1:37" ht="23" customHeight="1" thickBot="1">
      <c r="A7" s="680"/>
      <c r="B7" s="681"/>
      <c r="C7" s="314" t="s">
        <v>230</v>
      </c>
      <c r="D7" s="691">
        <f>SUM(D4:E6)</f>
        <v>4982374</v>
      </c>
      <c r="E7" s="691"/>
      <c r="F7" s="691">
        <f>SUM(F4:G6)</f>
        <v>5001830</v>
      </c>
      <c r="G7" s="691"/>
      <c r="H7" s="691">
        <f>SUM(H4:I6)</f>
        <v>6460634</v>
      </c>
      <c r="I7" s="691"/>
      <c r="J7" s="691">
        <f>SUM(J4:K6)</f>
        <v>6676657</v>
      </c>
      <c r="K7" s="691"/>
      <c r="L7" s="691">
        <f>SUM(L4:M6)</f>
        <v>6165010</v>
      </c>
      <c r="M7" s="691"/>
      <c r="N7" s="691">
        <f>SUM(N4:O6)</f>
        <v>5907950</v>
      </c>
      <c r="O7" s="691"/>
      <c r="P7" s="691">
        <f>SUM(P4:Q6)</f>
        <v>6522185</v>
      </c>
      <c r="Q7" s="691"/>
      <c r="R7" s="691">
        <f>SUM(R4:S6)</f>
        <v>4512002</v>
      </c>
      <c r="S7" s="691"/>
      <c r="T7" s="691">
        <f>SUM(T4:U6)</f>
        <v>5425075</v>
      </c>
      <c r="U7" s="691"/>
      <c r="V7" s="691">
        <f>SUM(V4:W6)</f>
        <v>5555530</v>
      </c>
      <c r="W7" s="691"/>
      <c r="X7" s="691">
        <f>SUM(X4:Y6)</f>
        <v>6112150</v>
      </c>
      <c r="Y7" s="691"/>
      <c r="Z7" s="691">
        <f>SUM(Z4:AA6)</f>
        <v>7899460</v>
      </c>
      <c r="AA7" s="691"/>
      <c r="AB7" s="315"/>
      <c r="AC7" s="692">
        <f>SUM(D7:AA7)</f>
        <v>71220857</v>
      </c>
      <c r="AD7" s="692"/>
    </row>
    <row r="8" spans="1:37" ht="17" customHeight="1" thickTop="1">
      <c r="A8" s="676" t="s">
        <v>231</v>
      </c>
      <c r="B8" s="677"/>
      <c r="C8" s="316" t="s">
        <v>232</v>
      </c>
      <c r="D8" s="317">
        <f>SUM(D27:D41)</f>
        <v>2480199</v>
      </c>
      <c r="E8" s="318">
        <f>D8/D7</f>
        <v>0.49779462561421522</v>
      </c>
      <c r="F8" s="317">
        <f>SUM(F27:F41)</f>
        <v>2384499</v>
      </c>
      <c r="G8" s="318">
        <f>F8/F7</f>
        <v>0.47672531853341676</v>
      </c>
      <c r="H8" s="317">
        <f>SUM(H27:H41)</f>
        <v>2306098</v>
      </c>
      <c r="I8" s="318">
        <f>H8/H7</f>
        <v>0.35694608300052288</v>
      </c>
      <c r="J8" s="317">
        <f>SUM(J27:J41)</f>
        <v>2306098</v>
      </c>
      <c r="K8" s="318">
        <f>J8/J7</f>
        <v>0.34539710516805044</v>
      </c>
      <c r="L8" s="317">
        <f>SUM(L27:L41)</f>
        <v>2306098</v>
      </c>
      <c r="M8" s="318">
        <f>L8/L7</f>
        <v>0.37406232917708165</v>
      </c>
      <c r="N8" s="317">
        <f>SUM(N27:N41)</f>
        <v>2306098</v>
      </c>
      <c r="O8" s="318">
        <f>N8/N7</f>
        <v>0.39033810374156858</v>
      </c>
      <c r="P8" s="317">
        <f>SUM(P27:P41)</f>
        <v>2306098</v>
      </c>
      <c r="Q8" s="318">
        <f>P8/P7</f>
        <v>0.35357752041685414</v>
      </c>
      <c r="R8" s="317">
        <f>SUM(R27:R41)</f>
        <v>2306098</v>
      </c>
      <c r="S8" s="318">
        <f>R8/R7</f>
        <v>0.51110305358907204</v>
      </c>
      <c r="T8" s="317">
        <f>SUM(T27:T41)</f>
        <v>2306098</v>
      </c>
      <c r="U8" s="318">
        <f>T8/T7</f>
        <v>0.42508131223992296</v>
      </c>
      <c r="V8" s="317">
        <f>SUM(V27:V41)</f>
        <v>2306398</v>
      </c>
      <c r="W8" s="318">
        <f>V8/V7</f>
        <v>0.41515354970632867</v>
      </c>
      <c r="X8" s="317">
        <f>SUM(X27:X41)</f>
        <v>2306398</v>
      </c>
      <c r="Y8" s="318">
        <f>X8/X7</f>
        <v>0.37734643292458464</v>
      </c>
      <c r="Z8" s="317">
        <f>SUM(Z27:Z41)</f>
        <v>2330598</v>
      </c>
      <c r="AA8" s="318">
        <f>Z8/Z7</f>
        <v>0.29503257184668319</v>
      </c>
      <c r="AB8" s="315"/>
      <c r="AC8" s="317">
        <f>SUM(AC27:AC41)</f>
        <v>27950778</v>
      </c>
      <c r="AD8" s="319">
        <f>AC8/AC7</f>
        <v>0.39245214361854702</v>
      </c>
      <c r="AF8" s="547">
        <f>AC8/12</f>
        <v>2329231.5</v>
      </c>
    </row>
    <row r="9" spans="1:37" ht="17" customHeight="1">
      <c r="A9" s="678"/>
      <c r="B9" s="679"/>
      <c r="C9" s="320" t="s">
        <v>233</v>
      </c>
      <c r="D9" s="321">
        <f>SUM(D42:D58)</f>
        <v>3650525.2143572206</v>
      </c>
      <c r="E9" s="322">
        <f>D9/D7</f>
        <v>0.73268791430695901</v>
      </c>
      <c r="F9" s="321">
        <f>SUM(F42:F58)</f>
        <v>4291832.2909564264</v>
      </c>
      <c r="G9" s="322">
        <f>F9/F7</f>
        <v>0.85805241100885599</v>
      </c>
      <c r="H9" s="321">
        <f>SUM(H42:H58)</f>
        <v>4927692.6260019466</v>
      </c>
      <c r="I9" s="322">
        <f>H9/H7</f>
        <v>0.76272586034156198</v>
      </c>
      <c r="J9" s="321">
        <f>SUM(J42:J58)</f>
        <v>4931440.082670006</v>
      </c>
      <c r="K9" s="322">
        <f>J9/J7</f>
        <v>0.73860916962935286</v>
      </c>
      <c r="L9" s="321">
        <f>SUM(L42:L58)</f>
        <v>4508408.6190182716</v>
      </c>
      <c r="M9" s="322">
        <f>L9/L7</f>
        <v>0.73128974957352411</v>
      </c>
      <c r="N9" s="321">
        <f>SUM(N42:N58)</f>
        <v>5176481.9616406206</v>
      </c>
      <c r="O9" s="322">
        <f>N9/N7</f>
        <v>0.87618919619167746</v>
      </c>
      <c r="P9" s="321">
        <f>SUM(P42:P58)</f>
        <v>4930465.4657349978</v>
      </c>
      <c r="Q9" s="322">
        <f>P9/P7</f>
        <v>0.75595302275771048</v>
      </c>
      <c r="R9" s="321">
        <f>SUM(R42:R58)</f>
        <v>3645377.6896202839</v>
      </c>
      <c r="S9" s="322">
        <f>R9/R7</f>
        <v>0.80792909436216653</v>
      </c>
      <c r="T9" s="321">
        <f>SUM(T42:T58)</f>
        <v>4454325.3342502387</v>
      </c>
      <c r="U9" s="322">
        <f>T9/T7</f>
        <v>0.82106244323815591</v>
      </c>
      <c r="V9" s="321">
        <f>SUM(V42:V58)</f>
        <v>4922210.1627710257</v>
      </c>
      <c r="W9" s="322">
        <f>V9/V7</f>
        <v>0.88600190490754716</v>
      </c>
      <c r="X9" s="321">
        <f>SUM(X42:X58)</f>
        <v>5014815.6282956889</v>
      </c>
      <c r="Y9" s="322">
        <f>X9/X7</f>
        <v>0.82046671437966823</v>
      </c>
      <c r="Z9" s="321">
        <f>SUM(Z42:Z58)</f>
        <v>5962972.2255723523</v>
      </c>
      <c r="AA9" s="322">
        <f>Z9/Z7</f>
        <v>0.7548582087348189</v>
      </c>
      <c r="AB9" s="315"/>
      <c r="AC9" s="321">
        <f>SUM(AC42:AC58)</f>
        <v>56416547.300889075</v>
      </c>
      <c r="AD9" s="323">
        <f>AC9/AC7</f>
        <v>0.79213519293778045</v>
      </c>
      <c r="AK9" s="324"/>
    </row>
    <row r="10" spans="1:37" s="330" customFormat="1" ht="23" customHeight="1" thickBot="1">
      <c r="A10" s="680"/>
      <c r="B10" s="681"/>
      <c r="C10" s="325" t="s">
        <v>211</v>
      </c>
      <c r="D10" s="326">
        <f>SUM(D8:D9)</f>
        <v>6130724.2143572206</v>
      </c>
      <c r="E10" s="327">
        <f>D10/D7</f>
        <v>1.2304825399211743</v>
      </c>
      <c r="F10" s="326">
        <f>SUM(F8:F9)</f>
        <v>6676331.2909564264</v>
      </c>
      <c r="G10" s="327">
        <f>F10/F7</f>
        <v>1.3347777295422729</v>
      </c>
      <c r="H10" s="326">
        <f>SUM(H8:H9)</f>
        <v>7233790.6260019466</v>
      </c>
      <c r="I10" s="327">
        <f>H10/H7</f>
        <v>1.1196719433420848</v>
      </c>
      <c r="J10" s="326">
        <f>SUM(J8:J9)</f>
        <v>7237538.082670006</v>
      </c>
      <c r="K10" s="327">
        <f>J10/J7</f>
        <v>1.0840062747974033</v>
      </c>
      <c r="L10" s="326">
        <f>SUM(L8:L9)</f>
        <v>6814506.6190182716</v>
      </c>
      <c r="M10" s="327">
        <f>L10/L7</f>
        <v>1.1053520787506057</v>
      </c>
      <c r="N10" s="326">
        <f>SUM(N8:N9)</f>
        <v>7482579.9616406206</v>
      </c>
      <c r="O10" s="327">
        <f>N10/N7</f>
        <v>1.266527299933246</v>
      </c>
      <c r="P10" s="326">
        <f>SUM(P8:P9)</f>
        <v>7236563.4657349978</v>
      </c>
      <c r="Q10" s="327">
        <f>P10/P7</f>
        <v>1.1095305431745646</v>
      </c>
      <c r="R10" s="326">
        <f>SUM(R8:R9)</f>
        <v>5951475.6896202844</v>
      </c>
      <c r="S10" s="327">
        <f>R10/R7</f>
        <v>1.3190321479512386</v>
      </c>
      <c r="T10" s="326">
        <f>SUM(T8:T9)</f>
        <v>6760423.3342502387</v>
      </c>
      <c r="U10" s="327">
        <f>T10/T7</f>
        <v>1.2461437554780788</v>
      </c>
      <c r="V10" s="326">
        <f>SUM(V8:V9)</f>
        <v>7228608.1627710257</v>
      </c>
      <c r="W10" s="327">
        <f>V10/V7</f>
        <v>1.3011554546138759</v>
      </c>
      <c r="X10" s="326">
        <f>SUM(X8:X9)</f>
        <v>7321213.6282956889</v>
      </c>
      <c r="Y10" s="327">
        <f>X10/X7</f>
        <v>1.1978131473042528</v>
      </c>
      <c r="Z10" s="326">
        <f>SUM(Z8:Z9)</f>
        <v>8293570.2255723523</v>
      </c>
      <c r="AA10" s="327">
        <f>Z10/Z7</f>
        <v>1.0498907805815021</v>
      </c>
      <c r="AB10" s="328"/>
      <c r="AC10" s="326">
        <f>SUM(AC8:AC9)</f>
        <v>84367325.300889075</v>
      </c>
      <c r="AD10" s="329">
        <f>AC10/AC7</f>
        <v>1.1845873365563275</v>
      </c>
      <c r="AF10" s="304"/>
    </row>
    <row r="11" spans="1:37" ht="15" customHeight="1" outlineLevel="1" thickTop="1">
      <c r="A11" s="676" t="s">
        <v>193</v>
      </c>
      <c r="B11" s="677"/>
      <c r="C11" s="331"/>
      <c r="D11" s="332" t="s">
        <v>234</v>
      </c>
      <c r="E11" s="333" t="s">
        <v>235</v>
      </c>
      <c r="F11" s="332" t="s">
        <v>234</v>
      </c>
      <c r="G11" s="333" t="s">
        <v>235</v>
      </c>
      <c r="H11" s="332" t="s">
        <v>234</v>
      </c>
      <c r="I11" s="333" t="s">
        <v>235</v>
      </c>
      <c r="J11" s="332" t="s">
        <v>234</v>
      </c>
      <c r="K11" s="333" t="s">
        <v>235</v>
      </c>
      <c r="L11" s="332" t="s">
        <v>234</v>
      </c>
      <c r="M11" s="333" t="s">
        <v>235</v>
      </c>
      <c r="N11" s="332" t="s">
        <v>234</v>
      </c>
      <c r="O11" s="333" t="s">
        <v>235</v>
      </c>
      <c r="P11" s="332" t="s">
        <v>234</v>
      </c>
      <c r="Q11" s="333" t="s">
        <v>235</v>
      </c>
      <c r="R11" s="332" t="s">
        <v>234</v>
      </c>
      <c r="S11" s="333" t="s">
        <v>235</v>
      </c>
      <c r="T11" s="332" t="s">
        <v>234</v>
      </c>
      <c r="U11" s="333" t="s">
        <v>235</v>
      </c>
      <c r="V11" s="332" t="s">
        <v>234</v>
      </c>
      <c r="W11" s="333" t="s">
        <v>235</v>
      </c>
      <c r="X11" s="332" t="s">
        <v>234</v>
      </c>
      <c r="Y11" s="333" t="s">
        <v>235</v>
      </c>
      <c r="Z11" s="332" t="s">
        <v>234</v>
      </c>
      <c r="AA11" s="333" t="s">
        <v>235</v>
      </c>
      <c r="AB11" s="334"/>
      <c r="AC11" s="335" t="s">
        <v>234</v>
      </c>
      <c r="AD11" s="336" t="s">
        <v>235</v>
      </c>
    </row>
    <row r="12" spans="1:37" ht="15" customHeight="1" outlineLevel="1">
      <c r="A12" s="678"/>
      <c r="B12" s="679"/>
      <c r="C12" s="337" t="s">
        <v>236</v>
      </c>
      <c r="D12" s="338">
        <v>3658680</v>
      </c>
      <c r="E12" s="339">
        <f>D12/D7</f>
        <v>0.73432464122524721</v>
      </c>
      <c r="F12" s="340">
        <v>3659810</v>
      </c>
      <c r="G12" s="339">
        <f>F12/F7</f>
        <v>0.73169419992282825</v>
      </c>
      <c r="H12" s="340">
        <v>4881460</v>
      </c>
      <c r="I12" s="339">
        <f>H12/H7</f>
        <v>0.75556980940260665</v>
      </c>
      <c r="J12" s="340">
        <v>4971180</v>
      </c>
      <c r="K12" s="339">
        <f>J12/J7</f>
        <v>0.74456123775715899</v>
      </c>
      <c r="L12" s="340">
        <v>4653280</v>
      </c>
      <c r="M12" s="339">
        <f>L12/L7</f>
        <v>0.75478871891529775</v>
      </c>
      <c r="N12" s="340">
        <v>4466900</v>
      </c>
      <c r="O12" s="339">
        <f>N12/N7</f>
        <v>0.75608290523785748</v>
      </c>
      <c r="P12" s="340">
        <v>5069150</v>
      </c>
      <c r="Q12" s="339">
        <f>P12/P7</f>
        <v>0.77721653096316645</v>
      </c>
      <c r="R12" s="340">
        <v>3450734</v>
      </c>
      <c r="S12" s="339">
        <f>R12/R7</f>
        <v>0.76478999787677404</v>
      </c>
      <c r="T12" s="340">
        <v>4159750</v>
      </c>
      <c r="U12" s="339">
        <f>T12/T7</f>
        <v>0.76676359313004894</v>
      </c>
      <c r="V12" s="340">
        <v>4238380</v>
      </c>
      <c r="W12" s="339">
        <f>V12/V7</f>
        <v>0.76291190939478326</v>
      </c>
      <c r="X12" s="340">
        <v>4606090</v>
      </c>
      <c r="Y12" s="339">
        <f>X12/X7</f>
        <v>0.75359570691164324</v>
      </c>
      <c r="Z12" s="340">
        <v>5958610</v>
      </c>
      <c r="AA12" s="339">
        <f>Z12/Z7</f>
        <v>0.75430599053606195</v>
      </c>
      <c r="AB12" s="341"/>
      <c r="AC12" s="342">
        <f t="shared" ref="AC12:AC21" si="0">D12+F12+H12+J12+L12+N12+P12+R12+T12+V12+X12+Z12</f>
        <v>53774024</v>
      </c>
      <c r="AD12" s="343">
        <f t="shared" ref="AD12:AD21" si="1">AC12/$AC$7</f>
        <v>0.75503197048022042</v>
      </c>
    </row>
    <row r="13" spans="1:37" ht="15" customHeight="1" outlineLevel="1">
      <c r="A13" s="678"/>
      <c r="B13" s="679"/>
      <c r="C13" s="337" t="s">
        <v>237</v>
      </c>
      <c r="D13" s="344">
        <v>1264422</v>
      </c>
      <c r="E13" s="345">
        <f>IFERROR(D13/D12,0)</f>
        <v>0.34559513267079933</v>
      </c>
      <c r="F13" s="340">
        <v>1416358</v>
      </c>
      <c r="G13" s="345">
        <f>IFERROR(F13/F12,0)</f>
        <v>0.3870031504367713</v>
      </c>
      <c r="H13" s="340">
        <v>1742628</v>
      </c>
      <c r="I13" s="345">
        <f>IFERROR(H13/H12,0)</f>
        <v>0.35698909752410141</v>
      </c>
      <c r="J13" s="340">
        <v>1870295</v>
      </c>
      <c r="K13" s="345">
        <f>IFERROR(J13/J12,0)</f>
        <v>0.37622757574660343</v>
      </c>
      <c r="L13" s="340">
        <v>1771753</v>
      </c>
      <c r="M13" s="345">
        <f>IFERROR(L13/L12,0)</f>
        <v>0.38075357597221743</v>
      </c>
      <c r="N13" s="340">
        <v>2345230</v>
      </c>
      <c r="O13" s="345">
        <f>IFERROR(N13/N12,0)</f>
        <v>0.5250240659070049</v>
      </c>
      <c r="P13" s="340">
        <v>1682168</v>
      </c>
      <c r="Q13" s="345">
        <f>IFERROR(P13/P12,0)</f>
        <v>0.3318441947861081</v>
      </c>
      <c r="R13" s="340">
        <v>1300325</v>
      </c>
      <c r="S13" s="345">
        <f>IFERROR(R13/R12,0)</f>
        <v>0.37682562608418962</v>
      </c>
      <c r="T13" s="340">
        <v>1712780</v>
      </c>
      <c r="U13" s="345">
        <f>IFERROR(T13/T12,0)</f>
        <v>0.41175070617224591</v>
      </c>
      <c r="V13" s="340">
        <v>1877653</v>
      </c>
      <c r="W13" s="345">
        <f>IFERROR(V13/V12,0)</f>
        <v>0.44301195268003341</v>
      </c>
      <c r="X13" s="340">
        <v>1365920</v>
      </c>
      <c r="Y13" s="345">
        <f>IFERROR(X13/X12,0)</f>
        <v>0.29654652861754766</v>
      </c>
      <c r="Z13" s="340">
        <v>2079765</v>
      </c>
      <c r="AA13" s="345">
        <f>IFERROR(Z13/Z12,0)</f>
        <v>0.3490352615794623</v>
      </c>
      <c r="AB13" s="341"/>
      <c r="AC13" s="342">
        <f t="shared" si="0"/>
        <v>20429297</v>
      </c>
      <c r="AD13" s="343">
        <f t="shared" si="1"/>
        <v>0.2868443018033327</v>
      </c>
    </row>
    <row r="14" spans="1:37" ht="15" customHeight="1" outlineLevel="1">
      <c r="A14" s="678"/>
      <c r="B14" s="679"/>
      <c r="C14" s="346" t="s">
        <v>238</v>
      </c>
      <c r="D14" s="347">
        <f>D7-D12</f>
        <v>1323694</v>
      </c>
      <c r="E14" s="348">
        <f>IFERROR(D14/D7,0)</f>
        <v>0.26567535877475273</v>
      </c>
      <c r="F14" s="347">
        <f>F7-F12</f>
        <v>1342020</v>
      </c>
      <c r="G14" s="348">
        <f>IFERROR(F14/F7,0)</f>
        <v>0.26830580007717175</v>
      </c>
      <c r="H14" s="347">
        <f>H7-H12</f>
        <v>1579174</v>
      </c>
      <c r="I14" s="348">
        <f>IFERROR(H14/H7,0)</f>
        <v>0.24443019059739338</v>
      </c>
      <c r="J14" s="347">
        <f>J7-J12</f>
        <v>1705477</v>
      </c>
      <c r="K14" s="348">
        <f>IFERROR(J14/J7,0)</f>
        <v>0.25543876224284101</v>
      </c>
      <c r="L14" s="347">
        <f>L7-L12</f>
        <v>1511730</v>
      </c>
      <c r="M14" s="348">
        <f>IFERROR(L14/L7,0)</f>
        <v>0.24521128108470222</v>
      </c>
      <c r="N14" s="347">
        <f>N7-N12</f>
        <v>1441050</v>
      </c>
      <c r="O14" s="348">
        <f>IFERROR(N14/N7,0)</f>
        <v>0.24391709476214254</v>
      </c>
      <c r="P14" s="347">
        <f>P7-P12</f>
        <v>1453035</v>
      </c>
      <c r="Q14" s="348">
        <f>IFERROR(P14/P7,0)</f>
        <v>0.22278346903683352</v>
      </c>
      <c r="R14" s="347">
        <f>R7-R12</f>
        <v>1061268</v>
      </c>
      <c r="S14" s="348">
        <f>IFERROR(R14/R7,0)</f>
        <v>0.23521000212322601</v>
      </c>
      <c r="T14" s="347">
        <f>T7-T12</f>
        <v>1265325</v>
      </c>
      <c r="U14" s="348">
        <f>IFERROR(T14/T7,0)</f>
        <v>0.23323640686995112</v>
      </c>
      <c r="V14" s="347">
        <f>V7-V12</f>
        <v>1317150</v>
      </c>
      <c r="W14" s="348">
        <f>IFERROR(V14/V7,0)</f>
        <v>0.23708809060521679</v>
      </c>
      <c r="X14" s="347">
        <f>X7-X12</f>
        <v>1506060</v>
      </c>
      <c r="Y14" s="348">
        <f>IFERROR(X14/X7,0)</f>
        <v>0.24640429308835679</v>
      </c>
      <c r="Z14" s="347">
        <f>Z7-Z12</f>
        <v>1940850</v>
      </c>
      <c r="AA14" s="348">
        <f>IFERROR(Z14/Z7,0)</f>
        <v>0.24569400946393805</v>
      </c>
      <c r="AB14" s="341"/>
      <c r="AC14" s="342">
        <f t="shared" si="0"/>
        <v>17446833</v>
      </c>
      <c r="AD14" s="343">
        <f t="shared" si="1"/>
        <v>0.24496802951977958</v>
      </c>
    </row>
    <row r="15" spans="1:37" ht="15" customHeight="1" outlineLevel="1" thickBot="1">
      <c r="A15" s="680"/>
      <c r="B15" s="681"/>
      <c r="C15" s="349" t="s">
        <v>239</v>
      </c>
      <c r="D15" s="350">
        <v>486956</v>
      </c>
      <c r="E15" s="351">
        <f>D15/D14</f>
        <v>0.36787656361666671</v>
      </c>
      <c r="F15" s="352">
        <v>361305</v>
      </c>
      <c r="G15" s="351">
        <f>F15/F14</f>
        <v>0.26922475074887109</v>
      </c>
      <c r="H15" s="352">
        <v>394307</v>
      </c>
      <c r="I15" s="351">
        <f>H15/H14</f>
        <v>0.2496919275519987</v>
      </c>
      <c r="J15" s="352">
        <v>369635</v>
      </c>
      <c r="K15" s="351">
        <f>J15/J14</f>
        <v>0.21673408671005237</v>
      </c>
      <c r="L15" s="352">
        <v>336516</v>
      </c>
      <c r="M15" s="351">
        <f>L15/L14</f>
        <v>0.22260324264253536</v>
      </c>
      <c r="N15" s="352">
        <v>328916</v>
      </c>
      <c r="O15" s="351">
        <f>N15/N14</f>
        <v>0.22824745845043545</v>
      </c>
      <c r="P15" s="352">
        <v>441503</v>
      </c>
      <c r="Q15" s="351">
        <f>P15/P14</f>
        <v>0.30384884053033823</v>
      </c>
      <c r="R15" s="352">
        <v>225741</v>
      </c>
      <c r="S15" s="351">
        <f>R15/R14</f>
        <v>0.21270875971008266</v>
      </c>
      <c r="T15" s="352">
        <v>358096</v>
      </c>
      <c r="U15" s="351">
        <f>T15/T14</f>
        <v>0.28300713255487719</v>
      </c>
      <c r="V15" s="352">
        <v>424058</v>
      </c>
      <c r="W15" s="351">
        <f>V15/V14</f>
        <v>0.32195118247731846</v>
      </c>
      <c r="X15" s="352">
        <v>379401</v>
      </c>
      <c r="Y15" s="351">
        <f>X15/X14</f>
        <v>0.25191625831640174</v>
      </c>
      <c r="Z15" s="352">
        <v>568462</v>
      </c>
      <c r="AA15" s="351">
        <f>Z15/Z14</f>
        <v>0.29289331993714096</v>
      </c>
      <c r="AB15" s="341"/>
      <c r="AC15" s="353">
        <f t="shared" si="0"/>
        <v>4674896</v>
      </c>
      <c r="AD15" s="354">
        <f t="shared" si="1"/>
        <v>6.563942357503505E-2</v>
      </c>
    </row>
    <row r="16" spans="1:37" ht="15" customHeight="1" outlineLevel="1" thickTop="1">
      <c r="A16" s="682" t="s">
        <v>240</v>
      </c>
      <c r="B16" s="683"/>
      <c r="C16" s="331" t="s">
        <v>241</v>
      </c>
      <c r="D16" s="355">
        <f>D28</f>
        <v>950000</v>
      </c>
      <c r="E16" s="356">
        <f>D16/D7</f>
        <v>0.19067215748958227</v>
      </c>
      <c r="F16" s="355">
        <f>F28</f>
        <v>950000</v>
      </c>
      <c r="G16" s="356">
        <f>F16/F7</f>
        <v>0.1899304854423281</v>
      </c>
      <c r="H16" s="355">
        <f>H28</f>
        <v>950000</v>
      </c>
      <c r="I16" s="356">
        <f>H16/H7</f>
        <v>0.14704439223766583</v>
      </c>
      <c r="J16" s="355">
        <f>J28</f>
        <v>950000</v>
      </c>
      <c r="K16" s="356">
        <f>J16/J7</f>
        <v>0.14228677615159802</v>
      </c>
      <c r="L16" s="355">
        <f>L28</f>
        <v>950000</v>
      </c>
      <c r="M16" s="356">
        <f>L16/L7</f>
        <v>0.15409545158888632</v>
      </c>
      <c r="N16" s="355">
        <f>N28</f>
        <v>950000</v>
      </c>
      <c r="O16" s="356">
        <f>N16/N7</f>
        <v>0.16080027759205817</v>
      </c>
      <c r="P16" s="355">
        <f>P28</f>
        <v>950000</v>
      </c>
      <c r="Q16" s="356">
        <f>P16/P7</f>
        <v>0.14565670860302185</v>
      </c>
      <c r="R16" s="355">
        <f>R28</f>
        <v>950000</v>
      </c>
      <c r="S16" s="356">
        <f>R16/R7</f>
        <v>0.21054955206136877</v>
      </c>
      <c r="T16" s="355">
        <f>T28</f>
        <v>950000</v>
      </c>
      <c r="U16" s="356">
        <f>T16/T7</f>
        <v>0.17511278645917339</v>
      </c>
      <c r="V16" s="355">
        <f>V28</f>
        <v>950000</v>
      </c>
      <c r="W16" s="356">
        <f>V16/V7</f>
        <v>0.17100078660361837</v>
      </c>
      <c r="X16" s="355">
        <f>X28</f>
        <v>950000</v>
      </c>
      <c r="Y16" s="356">
        <f>X16/X7</f>
        <v>0.15542812267369094</v>
      </c>
      <c r="Z16" s="355">
        <f>Z28</f>
        <v>950000</v>
      </c>
      <c r="AA16" s="356">
        <f>Z16/Z7</f>
        <v>0.12026138495542733</v>
      </c>
      <c r="AB16" s="341"/>
      <c r="AC16" s="357">
        <f t="shared" si="0"/>
        <v>11400000</v>
      </c>
      <c r="AD16" s="358">
        <f t="shared" si="1"/>
        <v>0.16006547070895258</v>
      </c>
    </row>
    <row r="17" spans="1:30" ht="15" customHeight="1" outlineLevel="1">
      <c r="A17" s="684"/>
      <c r="B17" s="685"/>
      <c r="C17" s="359" t="s">
        <v>242</v>
      </c>
      <c r="D17" s="360">
        <f>D51</f>
        <v>788242</v>
      </c>
      <c r="E17" s="339">
        <f>D17/D7</f>
        <v>0.15820610817252981</v>
      </c>
      <c r="F17" s="360">
        <f>F51</f>
        <v>1065475</v>
      </c>
      <c r="G17" s="339">
        <f>F17/F7</f>
        <v>0.21301703576491005</v>
      </c>
      <c r="H17" s="360">
        <f>H51</f>
        <v>1033411</v>
      </c>
      <c r="I17" s="339">
        <f>H17/H7</f>
        <v>0.15995504465970367</v>
      </c>
      <c r="J17" s="360">
        <f>J51</f>
        <v>904443</v>
      </c>
      <c r="K17" s="339">
        <f>J17/J7</f>
        <v>0.13546345124513659</v>
      </c>
      <c r="L17" s="360">
        <f>L51</f>
        <v>801115</v>
      </c>
      <c r="M17" s="339">
        <f>L17/L7</f>
        <v>0.12994545021013754</v>
      </c>
      <c r="N17" s="360">
        <f>N51</f>
        <v>829650</v>
      </c>
      <c r="O17" s="339">
        <f>N17/N7</f>
        <v>0.14042942137289585</v>
      </c>
      <c r="P17" s="360">
        <f>P51</f>
        <v>875410</v>
      </c>
      <c r="Q17" s="339">
        <f>P17/P7</f>
        <v>0.1342203571349172</v>
      </c>
      <c r="R17" s="360">
        <f>R51</f>
        <v>553656</v>
      </c>
      <c r="S17" s="339">
        <f>R17/R7</f>
        <v>0.12270739241693598</v>
      </c>
      <c r="T17" s="360">
        <f>T51</f>
        <v>841300</v>
      </c>
      <c r="U17" s="339">
        <f>T17/T7</f>
        <v>0.15507619710326587</v>
      </c>
      <c r="V17" s="360">
        <f>V51</f>
        <v>1192073</v>
      </c>
      <c r="W17" s="339">
        <f>V17/V7</f>
        <v>0.21457412704098439</v>
      </c>
      <c r="X17" s="360">
        <f>X51</f>
        <v>1168012</v>
      </c>
      <c r="Y17" s="339">
        <f>X17/X7</f>
        <v>0.19109674991615061</v>
      </c>
      <c r="Z17" s="360">
        <f>Z51</f>
        <v>1318465</v>
      </c>
      <c r="AA17" s="339">
        <f>Z17/Z7</f>
        <v>0.16690571254237632</v>
      </c>
      <c r="AB17" s="341"/>
      <c r="AC17" s="342">
        <f t="shared" si="0"/>
        <v>11371252</v>
      </c>
      <c r="AD17" s="343">
        <f t="shared" si="1"/>
        <v>0.15966182490615075</v>
      </c>
    </row>
    <row r="18" spans="1:30" ht="15" customHeight="1" outlineLevel="1" thickBot="1">
      <c r="A18" s="686"/>
      <c r="B18" s="687"/>
      <c r="C18" s="361" t="s">
        <v>211</v>
      </c>
      <c r="D18" s="362">
        <f>D16+D17</f>
        <v>1738242</v>
      </c>
      <c r="E18" s="351">
        <f>D18/D7</f>
        <v>0.34887826566211205</v>
      </c>
      <c r="F18" s="362">
        <f>F16+F17</f>
        <v>2015475</v>
      </c>
      <c r="G18" s="351">
        <f>F18/F7</f>
        <v>0.40294752120723815</v>
      </c>
      <c r="H18" s="362">
        <f>H16+H17</f>
        <v>1983411</v>
      </c>
      <c r="I18" s="351">
        <f>H18/H7</f>
        <v>0.30699943689736953</v>
      </c>
      <c r="J18" s="362">
        <f>J16+J17</f>
        <v>1854443</v>
      </c>
      <c r="K18" s="351">
        <f>J18/J7</f>
        <v>0.27775022739673461</v>
      </c>
      <c r="L18" s="362">
        <f>L16+L17</f>
        <v>1751115</v>
      </c>
      <c r="M18" s="351">
        <f>L18/L7</f>
        <v>0.28404090179902386</v>
      </c>
      <c r="N18" s="362">
        <f>N16+N17</f>
        <v>1779650</v>
      </c>
      <c r="O18" s="351">
        <f>N18/N7</f>
        <v>0.301229698964954</v>
      </c>
      <c r="P18" s="362">
        <f>P16+P17</f>
        <v>1825410</v>
      </c>
      <c r="Q18" s="351">
        <f>P18/P7</f>
        <v>0.27987706573793902</v>
      </c>
      <c r="R18" s="362">
        <f>R16+R17</f>
        <v>1503656</v>
      </c>
      <c r="S18" s="351">
        <f>R18/R7</f>
        <v>0.33325694447830473</v>
      </c>
      <c r="T18" s="362">
        <f>T16+T17</f>
        <v>1791300</v>
      </c>
      <c r="U18" s="351">
        <f>T18/T7</f>
        <v>0.33018898356243925</v>
      </c>
      <c r="V18" s="362">
        <f>V16+V17</f>
        <v>2142073</v>
      </c>
      <c r="W18" s="351">
        <f>V18/V7</f>
        <v>0.38557491364460278</v>
      </c>
      <c r="X18" s="362">
        <f>X16+X17</f>
        <v>2118012</v>
      </c>
      <c r="Y18" s="351">
        <f>X18/X7</f>
        <v>0.34652487258984155</v>
      </c>
      <c r="Z18" s="362">
        <f>Z16+Z17</f>
        <v>2268465</v>
      </c>
      <c r="AA18" s="351">
        <f>Z18/Z7</f>
        <v>0.28716709749780367</v>
      </c>
      <c r="AB18" s="341"/>
      <c r="AC18" s="353">
        <f t="shared" si="0"/>
        <v>22771252</v>
      </c>
      <c r="AD18" s="354">
        <f t="shared" si="1"/>
        <v>0.31972729561510332</v>
      </c>
    </row>
    <row r="19" spans="1:30" ht="15" customHeight="1" outlineLevel="1" thickTop="1">
      <c r="A19" s="676" t="s">
        <v>243</v>
      </c>
      <c r="B19" s="677"/>
      <c r="C19" s="363" t="s">
        <v>244</v>
      </c>
      <c r="D19" s="364">
        <f>D42</f>
        <v>1886544</v>
      </c>
      <c r="E19" s="365">
        <f>D19/D7</f>
        <v>0.37864359439897527</v>
      </c>
      <c r="F19" s="364">
        <f>G2</f>
        <v>1777663</v>
      </c>
      <c r="G19" s="365">
        <f>F19/F7</f>
        <v>0.35540252267670031</v>
      </c>
      <c r="H19" s="364">
        <f>I2</f>
        <v>2136935</v>
      </c>
      <c r="I19" s="365">
        <f>H19/H7</f>
        <v>0.3307624298172594</v>
      </c>
      <c r="J19" s="364">
        <f>K2</f>
        <v>3575772</v>
      </c>
      <c r="K19" s="365">
        <f>J19/J7</f>
        <v>0.53556323171910736</v>
      </c>
      <c r="L19" s="364">
        <f>M2</f>
        <v>2108269</v>
      </c>
      <c r="M19" s="365">
        <f>L19/L7</f>
        <v>0.34197333013247344</v>
      </c>
      <c r="N19" s="364">
        <f>O2</f>
        <v>3786280</v>
      </c>
      <c r="O19" s="365">
        <f>N19/N7</f>
        <v>0.64087881583290307</v>
      </c>
      <c r="P19" s="364">
        <f>Q2</f>
        <v>3135203</v>
      </c>
      <c r="Q19" s="365">
        <f>P19/P7</f>
        <v>0.48069826292875778</v>
      </c>
      <c r="R19" s="364">
        <f>S2</f>
        <v>1526066</v>
      </c>
      <c r="S19" s="365">
        <f>R19/R7</f>
        <v>0.33822369759587873</v>
      </c>
      <c r="T19" s="364">
        <f>U2</f>
        <v>2070876</v>
      </c>
      <c r="U19" s="365">
        <f>T19/T7</f>
        <v>0.3817230176541338</v>
      </c>
      <c r="V19" s="364">
        <f>W2</f>
        <v>2301711</v>
      </c>
      <c r="W19" s="365">
        <f>V19/V7</f>
        <v>0.41430988582547479</v>
      </c>
      <c r="X19" s="364">
        <f>Y2</f>
        <v>1745321</v>
      </c>
      <c r="Y19" s="365">
        <f>X19/X7</f>
        <v>0.28554943841365149</v>
      </c>
      <c r="Z19" s="364">
        <f>AA2</f>
        <v>2648227</v>
      </c>
      <c r="AA19" s="365">
        <f>Z19/Z7</f>
        <v>0.33524152283826997</v>
      </c>
      <c r="AB19" s="341"/>
      <c r="AC19" s="357">
        <f t="shared" si="0"/>
        <v>28698867</v>
      </c>
      <c r="AD19" s="358">
        <f t="shared" si="1"/>
        <v>0.40295593466391455</v>
      </c>
    </row>
    <row r="20" spans="1:30" ht="15" customHeight="1" outlineLevel="1">
      <c r="A20" s="678"/>
      <c r="B20" s="679"/>
      <c r="C20" s="366" t="s">
        <v>245</v>
      </c>
      <c r="D20" s="367">
        <f>D51</f>
        <v>788242</v>
      </c>
      <c r="E20" s="339">
        <f>D20/D7</f>
        <v>0.15820610817252981</v>
      </c>
      <c r="F20" s="367">
        <f>F51</f>
        <v>1065475</v>
      </c>
      <c r="G20" s="339">
        <f>F20/F7</f>
        <v>0.21301703576491005</v>
      </c>
      <c r="H20" s="367">
        <f>H51</f>
        <v>1033411</v>
      </c>
      <c r="I20" s="339">
        <f>H20/H7</f>
        <v>0.15995504465970367</v>
      </c>
      <c r="J20" s="367">
        <f>J51</f>
        <v>904443</v>
      </c>
      <c r="K20" s="339">
        <f>J20/J7</f>
        <v>0.13546345124513659</v>
      </c>
      <c r="L20" s="367">
        <f>L51</f>
        <v>801115</v>
      </c>
      <c r="M20" s="339">
        <f>L20/L7</f>
        <v>0.12994545021013754</v>
      </c>
      <c r="N20" s="367">
        <f>N51</f>
        <v>829650</v>
      </c>
      <c r="O20" s="339">
        <f>N20/N7</f>
        <v>0.14042942137289585</v>
      </c>
      <c r="P20" s="367">
        <f>P51</f>
        <v>875410</v>
      </c>
      <c r="Q20" s="339">
        <f>P20/P7</f>
        <v>0.1342203571349172</v>
      </c>
      <c r="R20" s="367">
        <f>R51</f>
        <v>553656</v>
      </c>
      <c r="S20" s="339">
        <f>R20/R7</f>
        <v>0.12270739241693598</v>
      </c>
      <c r="T20" s="367">
        <f>T51</f>
        <v>841300</v>
      </c>
      <c r="U20" s="339">
        <f>T20/T7</f>
        <v>0.15507619710326587</v>
      </c>
      <c r="V20" s="367">
        <f>V51</f>
        <v>1192073</v>
      </c>
      <c r="W20" s="339">
        <f>V20/V7</f>
        <v>0.21457412704098439</v>
      </c>
      <c r="X20" s="367">
        <f>X51</f>
        <v>1168012</v>
      </c>
      <c r="Y20" s="339">
        <f>X20/X7</f>
        <v>0.19109674991615061</v>
      </c>
      <c r="Z20" s="367">
        <f>Z51</f>
        <v>1318465</v>
      </c>
      <c r="AA20" s="339">
        <f>Z20/Z7</f>
        <v>0.16690571254237632</v>
      </c>
      <c r="AB20" s="341"/>
      <c r="AC20" s="342">
        <f t="shared" si="0"/>
        <v>11371252</v>
      </c>
      <c r="AD20" s="343">
        <f t="shared" si="1"/>
        <v>0.15966182490615075</v>
      </c>
    </row>
    <row r="21" spans="1:30" ht="15" customHeight="1" outlineLevel="1" thickBot="1">
      <c r="A21" s="680"/>
      <c r="B21" s="681"/>
      <c r="C21" s="349" t="s">
        <v>246</v>
      </c>
      <c r="D21" s="368">
        <f t="shared" ref="D21:AA21" si="2">D19+D20</f>
        <v>2674786</v>
      </c>
      <c r="E21" s="369">
        <f t="shared" si="2"/>
        <v>0.53684970257150511</v>
      </c>
      <c r="F21" s="368">
        <f t="shared" si="2"/>
        <v>2843138</v>
      </c>
      <c r="G21" s="369">
        <f t="shared" si="2"/>
        <v>0.5684195584416103</v>
      </c>
      <c r="H21" s="368">
        <f t="shared" si="2"/>
        <v>3170346</v>
      </c>
      <c r="I21" s="369">
        <f t="shared" si="2"/>
        <v>0.49071747447696307</v>
      </c>
      <c r="J21" s="368">
        <f t="shared" si="2"/>
        <v>4480215</v>
      </c>
      <c r="K21" s="369">
        <f t="shared" si="2"/>
        <v>0.67102668296424395</v>
      </c>
      <c r="L21" s="368">
        <f t="shared" si="2"/>
        <v>2909384</v>
      </c>
      <c r="M21" s="369">
        <f t="shared" si="2"/>
        <v>0.47191878034261098</v>
      </c>
      <c r="N21" s="368">
        <f t="shared" si="2"/>
        <v>4615930</v>
      </c>
      <c r="O21" s="369">
        <f t="shared" si="2"/>
        <v>0.78130823720579889</v>
      </c>
      <c r="P21" s="368">
        <f t="shared" si="2"/>
        <v>4010613</v>
      </c>
      <c r="Q21" s="369">
        <f t="shared" si="2"/>
        <v>0.61491862006367493</v>
      </c>
      <c r="R21" s="368">
        <f t="shared" si="2"/>
        <v>2079722</v>
      </c>
      <c r="S21" s="369">
        <f t="shared" si="2"/>
        <v>0.46093109001281474</v>
      </c>
      <c r="T21" s="368">
        <f t="shared" si="2"/>
        <v>2912176</v>
      </c>
      <c r="U21" s="369">
        <f t="shared" si="2"/>
        <v>0.53679921475739967</v>
      </c>
      <c r="V21" s="368">
        <f t="shared" si="2"/>
        <v>3493784</v>
      </c>
      <c r="W21" s="369">
        <f t="shared" si="2"/>
        <v>0.62888401286645923</v>
      </c>
      <c r="X21" s="368">
        <f t="shared" si="2"/>
        <v>2913333</v>
      </c>
      <c r="Y21" s="369">
        <f t="shared" si="2"/>
        <v>0.4766461883298021</v>
      </c>
      <c r="Z21" s="368">
        <f t="shared" si="2"/>
        <v>3966692</v>
      </c>
      <c r="AA21" s="369">
        <f t="shared" si="2"/>
        <v>0.50214723538064632</v>
      </c>
      <c r="AB21" s="341"/>
      <c r="AC21" s="353">
        <f t="shared" si="0"/>
        <v>40070119</v>
      </c>
      <c r="AD21" s="354">
        <f t="shared" si="1"/>
        <v>0.56261775957006532</v>
      </c>
    </row>
    <row r="22" spans="1:30" ht="26" outlineLevel="1" thickTop="1" thickBot="1">
      <c r="A22" s="688" t="s">
        <v>247</v>
      </c>
      <c r="B22" s="689"/>
      <c r="C22" s="690"/>
      <c r="D22" s="674">
        <f>(D7-D21)/D7</f>
        <v>0.46315029742849495</v>
      </c>
      <c r="E22" s="675"/>
      <c r="F22" s="674">
        <f>(F7-F21)/F7</f>
        <v>0.43158044155838965</v>
      </c>
      <c r="G22" s="675"/>
      <c r="H22" s="674">
        <f>(H7-H21)/H7</f>
        <v>0.50928252552303688</v>
      </c>
      <c r="I22" s="675"/>
      <c r="J22" s="674">
        <f>(J7-J21)/J7</f>
        <v>0.32897331703575605</v>
      </c>
      <c r="K22" s="675"/>
      <c r="L22" s="674">
        <f>(L7-L21)/L7</f>
        <v>0.52808121965738908</v>
      </c>
      <c r="M22" s="675"/>
      <c r="N22" s="674">
        <f>(N7-N21)/N7</f>
        <v>0.21869176279420102</v>
      </c>
      <c r="O22" s="675"/>
      <c r="P22" s="674">
        <f>(P7-P21)/P7</f>
        <v>0.38508137993632502</v>
      </c>
      <c r="Q22" s="675"/>
      <c r="R22" s="674">
        <f>(R7-R21)/R7</f>
        <v>0.53906890998718526</v>
      </c>
      <c r="S22" s="675"/>
      <c r="T22" s="674">
        <f>(T7-T21)/T7</f>
        <v>0.46320078524260033</v>
      </c>
      <c r="U22" s="675"/>
      <c r="V22" s="674">
        <f>(V7-V21)/V7</f>
        <v>0.37111598713354083</v>
      </c>
      <c r="W22" s="675"/>
      <c r="X22" s="674">
        <f>(X7-X21)/X7</f>
        <v>0.5233538116701979</v>
      </c>
      <c r="Y22" s="675"/>
      <c r="Z22" s="674">
        <f>(Z7-Z21)/Z7</f>
        <v>0.49785276461935374</v>
      </c>
      <c r="AA22" s="675"/>
      <c r="AB22" s="341"/>
      <c r="AC22" s="674">
        <f>(AC7-AC21)/AC7</f>
        <v>0.43738224042993473</v>
      </c>
      <c r="AD22" s="675"/>
    </row>
    <row r="23" spans="1:30" ht="23" customHeight="1" outlineLevel="1" thickTop="1" thickBot="1">
      <c r="A23" s="671" t="s">
        <v>248</v>
      </c>
      <c r="B23" s="672"/>
      <c r="C23" s="673"/>
      <c r="D23" s="370">
        <f>D7-D10</f>
        <v>-1148350.2143572206</v>
      </c>
      <c r="E23" s="371">
        <f>D23/D7</f>
        <v>-0.23048253992117423</v>
      </c>
      <c r="F23" s="370">
        <f>F7-F10</f>
        <v>-1674501.2909564264</v>
      </c>
      <c r="G23" s="371">
        <f>F23/F7</f>
        <v>-0.33477772954227281</v>
      </c>
      <c r="H23" s="370">
        <f>H7-H10</f>
        <v>-773156.62600194663</v>
      </c>
      <c r="I23" s="371">
        <f>H23/H7</f>
        <v>-0.11967194334208479</v>
      </c>
      <c r="J23" s="370">
        <f>J7-J10</f>
        <v>-560881.08267000597</v>
      </c>
      <c r="K23" s="371">
        <f>J23/J7</f>
        <v>-8.4006274797403246E-2</v>
      </c>
      <c r="L23" s="370">
        <f>L7-L10</f>
        <v>-649496.61901827157</v>
      </c>
      <c r="M23" s="371">
        <f>L23/L7</f>
        <v>-0.10535207875060569</v>
      </c>
      <c r="N23" s="370">
        <f>N7-N10</f>
        <v>-1574629.9616406206</v>
      </c>
      <c r="O23" s="371">
        <f>N23/N7</f>
        <v>-0.26652729993324598</v>
      </c>
      <c r="P23" s="370">
        <f>P7-P10</f>
        <v>-714378.46573499776</v>
      </c>
      <c r="Q23" s="371">
        <f>P23/P7</f>
        <v>-0.10953054317456462</v>
      </c>
      <c r="R23" s="370">
        <f>R7-R10</f>
        <v>-1439473.6896202844</v>
      </c>
      <c r="S23" s="371">
        <f>R23/R7</f>
        <v>-0.31903214795123858</v>
      </c>
      <c r="T23" s="370">
        <f>T7-T10</f>
        <v>-1335348.3342502387</v>
      </c>
      <c r="U23" s="371">
        <f>T23/T7</f>
        <v>-0.24614375547807887</v>
      </c>
      <c r="V23" s="370">
        <f>V7-V10</f>
        <v>-1673078.1627710257</v>
      </c>
      <c r="W23" s="371">
        <f>V23/V7</f>
        <v>-0.30115545461387583</v>
      </c>
      <c r="X23" s="370">
        <f>X7-X10</f>
        <v>-1209063.6282956889</v>
      </c>
      <c r="Y23" s="371">
        <f>X23/X7</f>
        <v>-0.19781314730425281</v>
      </c>
      <c r="Z23" s="370">
        <f>Z7-Z10</f>
        <v>-394110.2255723523</v>
      </c>
      <c r="AA23" s="371">
        <f>Z23/Z7</f>
        <v>-4.9890780581502064E-2</v>
      </c>
      <c r="AB23" s="315"/>
      <c r="AC23" s="372">
        <f>AC7-AC10</f>
        <v>-13146468.300889075</v>
      </c>
      <c r="AD23" s="373">
        <f>AC23/AC7</f>
        <v>-0.18458733655632753</v>
      </c>
    </row>
    <row r="24" spans="1:30" ht="23" customHeight="1" outlineLevel="1" thickTop="1">
      <c r="A24" s="374"/>
      <c r="B24" s="374"/>
      <c r="C24" s="375"/>
      <c r="D24" s="669" t="s">
        <v>201</v>
      </c>
      <c r="E24" s="669"/>
      <c r="F24" s="669" t="s">
        <v>206</v>
      </c>
      <c r="G24" s="669"/>
      <c r="H24" s="669" t="s">
        <v>216</v>
      </c>
      <c r="I24" s="669"/>
      <c r="J24" s="669" t="s">
        <v>249</v>
      </c>
      <c r="K24" s="669"/>
      <c r="L24" s="669" t="s">
        <v>250</v>
      </c>
      <c r="M24" s="669"/>
      <c r="N24" s="669" t="s">
        <v>251</v>
      </c>
      <c r="O24" s="669"/>
      <c r="P24" s="669" t="s">
        <v>252</v>
      </c>
      <c r="Q24" s="669"/>
      <c r="R24" s="669" t="s">
        <v>253</v>
      </c>
      <c r="S24" s="669"/>
      <c r="T24" s="669" t="s">
        <v>254</v>
      </c>
      <c r="U24" s="669"/>
      <c r="V24" s="669" t="s">
        <v>255</v>
      </c>
      <c r="W24" s="669"/>
      <c r="X24" s="669" t="s">
        <v>256</v>
      </c>
      <c r="Y24" s="669"/>
      <c r="Z24" s="669" t="s">
        <v>257</v>
      </c>
      <c r="AA24" s="670"/>
      <c r="AB24" s="376"/>
      <c r="AC24" s="377"/>
      <c r="AD24" s="377"/>
    </row>
    <row r="25" spans="1:30" ht="15" customHeight="1" outlineLevel="1" thickBot="1">
      <c r="A25" s="378"/>
      <c r="B25" s="378"/>
      <c r="C25" s="379" t="s">
        <v>184</v>
      </c>
      <c r="D25" s="659">
        <v>22</v>
      </c>
      <c r="E25" s="659"/>
      <c r="F25" s="659">
        <v>23</v>
      </c>
      <c r="G25" s="659"/>
      <c r="H25" s="659">
        <v>25</v>
      </c>
      <c r="I25" s="659"/>
      <c r="J25" s="659">
        <v>25</v>
      </c>
      <c r="K25" s="659"/>
      <c r="L25" s="659">
        <v>24</v>
      </c>
      <c r="M25" s="659"/>
      <c r="N25" s="659">
        <v>25</v>
      </c>
      <c r="O25" s="659"/>
      <c r="P25" s="659">
        <v>26</v>
      </c>
      <c r="Q25" s="659"/>
      <c r="R25" s="659">
        <v>22</v>
      </c>
      <c r="S25" s="659"/>
      <c r="T25" s="659">
        <v>23</v>
      </c>
      <c r="U25" s="659"/>
      <c r="V25" s="659">
        <v>26</v>
      </c>
      <c r="W25" s="659"/>
      <c r="X25" s="659">
        <v>25</v>
      </c>
      <c r="Y25" s="659"/>
      <c r="Z25" s="659">
        <v>24</v>
      </c>
      <c r="AA25" s="659"/>
      <c r="AB25" s="376"/>
      <c r="AC25" s="660">
        <f>SUM(D25:AA25)</f>
        <v>290</v>
      </c>
      <c r="AD25" s="661"/>
    </row>
    <row r="26" spans="1:30" ht="13.25" customHeight="1" thickBot="1">
      <c r="A26" s="380"/>
      <c r="B26" s="381"/>
      <c r="C26" s="382"/>
      <c r="D26" s="383" t="s">
        <v>258</v>
      </c>
      <c r="E26" s="384" t="s">
        <v>259</v>
      </c>
      <c r="F26" s="383" t="s">
        <v>258</v>
      </c>
      <c r="G26" s="384" t="s">
        <v>259</v>
      </c>
      <c r="H26" s="383" t="s">
        <v>258</v>
      </c>
      <c r="I26" s="384" t="s">
        <v>259</v>
      </c>
      <c r="J26" s="383" t="s">
        <v>258</v>
      </c>
      <c r="K26" s="384" t="s">
        <v>259</v>
      </c>
      <c r="L26" s="383" t="s">
        <v>258</v>
      </c>
      <c r="M26" s="384" t="s">
        <v>259</v>
      </c>
      <c r="N26" s="383" t="s">
        <v>258</v>
      </c>
      <c r="O26" s="384" t="s">
        <v>259</v>
      </c>
      <c r="P26" s="383" t="s">
        <v>258</v>
      </c>
      <c r="Q26" s="384" t="s">
        <v>259</v>
      </c>
      <c r="R26" s="383" t="s">
        <v>258</v>
      </c>
      <c r="S26" s="384" t="s">
        <v>259</v>
      </c>
      <c r="T26" s="383" t="s">
        <v>258</v>
      </c>
      <c r="U26" s="384" t="s">
        <v>259</v>
      </c>
      <c r="V26" s="383" t="s">
        <v>258</v>
      </c>
      <c r="W26" s="384" t="s">
        <v>259</v>
      </c>
      <c r="X26" s="383" t="s">
        <v>258</v>
      </c>
      <c r="Y26" s="384" t="s">
        <v>259</v>
      </c>
      <c r="Z26" s="383" t="s">
        <v>258</v>
      </c>
      <c r="AA26" s="385" t="s">
        <v>259</v>
      </c>
      <c r="AB26" s="386"/>
      <c r="AC26" s="387" t="s">
        <v>258</v>
      </c>
      <c r="AD26" s="388" t="s">
        <v>259</v>
      </c>
    </row>
    <row r="27" spans="1:30" ht="13.25" customHeight="1" outlineLevel="1">
      <c r="A27" s="662" t="s">
        <v>260</v>
      </c>
      <c r="B27" s="665" t="s">
        <v>232</v>
      </c>
      <c r="C27" s="389" t="s">
        <v>261</v>
      </c>
      <c r="D27" s="390">
        <v>696429</v>
      </c>
      <c r="E27" s="391">
        <f>D27/D$7</f>
        <v>0.13977854733506556</v>
      </c>
      <c r="F27" s="392">
        <v>696429</v>
      </c>
      <c r="G27" s="391">
        <f>F27/F$7</f>
        <v>0.13923484004854222</v>
      </c>
      <c r="H27" s="392">
        <v>696429</v>
      </c>
      <c r="I27" s="391">
        <f>H27/H$7</f>
        <v>0.1077957674123004</v>
      </c>
      <c r="J27" s="392">
        <v>696429</v>
      </c>
      <c r="K27" s="391">
        <f>J27/J$7</f>
        <v>0.10430803918787501</v>
      </c>
      <c r="L27" s="392">
        <v>696429</v>
      </c>
      <c r="M27" s="391">
        <f>L27/L$7</f>
        <v>0.11296478026799632</v>
      </c>
      <c r="N27" s="392">
        <v>696429</v>
      </c>
      <c r="O27" s="391">
        <f>N27/N$7</f>
        <v>0.11787997528753628</v>
      </c>
      <c r="P27" s="392">
        <v>696429</v>
      </c>
      <c r="Q27" s="391">
        <f>P27/P$7</f>
        <v>0.10677847991125673</v>
      </c>
      <c r="R27" s="392">
        <v>696429</v>
      </c>
      <c r="S27" s="391">
        <f>R27/R$7</f>
        <v>0.15435033051847052</v>
      </c>
      <c r="T27" s="392">
        <v>696429</v>
      </c>
      <c r="U27" s="391">
        <f>T27/T$7</f>
        <v>0.12837223448523752</v>
      </c>
      <c r="V27" s="392">
        <v>696429</v>
      </c>
      <c r="W27" s="391">
        <f>V27/V$7</f>
        <v>0.12535779664586458</v>
      </c>
      <c r="X27" s="392">
        <v>696429</v>
      </c>
      <c r="Y27" s="391">
        <f>X27/X$7</f>
        <v>0.11394173899527989</v>
      </c>
      <c r="Z27" s="392">
        <v>696429</v>
      </c>
      <c r="AA27" s="393">
        <f>Z27/Z$7</f>
        <v>8.8161595855919261E-2</v>
      </c>
      <c r="AB27" s="394"/>
      <c r="AC27" s="395">
        <f t="shared" ref="AC27:AC59" si="3">D27+F27+H27+J27+L27+N27+P27+R27+T27+V27+X27+Z27</f>
        <v>8357148</v>
      </c>
      <c r="AD27" s="396">
        <f>AC27/AC$7</f>
        <v>0.11734130073722646</v>
      </c>
    </row>
    <row r="28" spans="1:30" ht="13.25" customHeight="1" outlineLevel="1">
      <c r="A28" s="663"/>
      <c r="B28" s="666"/>
      <c r="C28" s="397" t="s">
        <v>262</v>
      </c>
      <c r="D28" s="398">
        <v>950000</v>
      </c>
      <c r="E28" s="399">
        <f>D28/D$7</f>
        <v>0.19067215748958227</v>
      </c>
      <c r="F28" s="398">
        <v>950000</v>
      </c>
      <c r="G28" s="399">
        <f t="shared" ref="G28:G58" si="4">F28/F$7</f>
        <v>0.1899304854423281</v>
      </c>
      <c r="H28" s="398">
        <v>950000</v>
      </c>
      <c r="I28" s="399">
        <f t="shared" ref="I28:I60" si="5">H28/H$7</f>
        <v>0.14704439223766583</v>
      </c>
      <c r="J28" s="398">
        <v>950000</v>
      </c>
      <c r="K28" s="399">
        <f t="shared" ref="K28:K60" si="6">J28/J$7</f>
        <v>0.14228677615159802</v>
      </c>
      <c r="L28" s="398">
        <v>950000</v>
      </c>
      <c r="M28" s="399">
        <f t="shared" ref="M28:M60" si="7">L28/L$7</f>
        <v>0.15409545158888632</v>
      </c>
      <c r="N28" s="398">
        <v>950000</v>
      </c>
      <c r="O28" s="399">
        <f t="shared" ref="O28:O60" si="8">N28/N$7</f>
        <v>0.16080027759205817</v>
      </c>
      <c r="P28" s="398">
        <v>950000</v>
      </c>
      <c r="Q28" s="399">
        <f t="shared" ref="Q28:Q60" si="9">P28/P$7</f>
        <v>0.14565670860302185</v>
      </c>
      <c r="R28" s="398">
        <v>950000</v>
      </c>
      <c r="S28" s="399">
        <f t="shared" ref="S28:S60" si="10">R28/R$7</f>
        <v>0.21054955206136877</v>
      </c>
      <c r="T28" s="398">
        <v>950000</v>
      </c>
      <c r="U28" s="399">
        <f t="shared" ref="U28:U60" si="11">T28/T$7</f>
        <v>0.17511278645917339</v>
      </c>
      <c r="V28" s="398">
        <v>950000</v>
      </c>
      <c r="W28" s="399">
        <f t="shared" ref="W28:W60" si="12">V28/V$7</f>
        <v>0.17100078660361837</v>
      </c>
      <c r="X28" s="398">
        <v>950000</v>
      </c>
      <c r="Y28" s="399">
        <f t="shared" ref="Y28:Y60" si="13">X28/X$7</f>
        <v>0.15542812267369094</v>
      </c>
      <c r="Z28" s="398">
        <v>950000</v>
      </c>
      <c r="AA28" s="401">
        <f t="shared" ref="AA28:AA60" si="14">Z28/Z$7</f>
        <v>0.12026138495542733</v>
      </c>
      <c r="AB28" s="394"/>
      <c r="AC28" s="402">
        <f t="shared" si="3"/>
        <v>11400000</v>
      </c>
      <c r="AD28" s="403">
        <f t="shared" ref="AD28:AD60" si="15">AC28/AC$7</f>
        <v>0.16006547070895258</v>
      </c>
    </row>
    <row r="29" spans="1:30" ht="13.25" customHeight="1" outlineLevel="1">
      <c r="A29" s="663"/>
      <c r="B29" s="666"/>
      <c r="C29" s="404" t="s">
        <v>263</v>
      </c>
      <c r="D29" s="405">
        <v>0</v>
      </c>
      <c r="E29" s="399">
        <f t="shared" ref="E29:E58" si="16">D29/D$7</f>
        <v>0</v>
      </c>
      <c r="F29" s="406">
        <v>0</v>
      </c>
      <c r="G29" s="399">
        <f t="shared" si="4"/>
        <v>0</v>
      </c>
      <c r="H29" s="406">
        <v>0</v>
      </c>
      <c r="I29" s="399">
        <f t="shared" si="5"/>
        <v>0</v>
      </c>
      <c r="J29" s="406">
        <v>0</v>
      </c>
      <c r="K29" s="399">
        <f t="shared" si="6"/>
        <v>0</v>
      </c>
      <c r="L29" s="406">
        <v>0</v>
      </c>
      <c r="M29" s="399">
        <f t="shared" si="7"/>
        <v>0</v>
      </c>
      <c r="N29" s="406">
        <v>0</v>
      </c>
      <c r="O29" s="399">
        <f t="shared" si="8"/>
        <v>0</v>
      </c>
      <c r="P29" s="406">
        <v>0</v>
      </c>
      <c r="Q29" s="399">
        <f t="shared" si="9"/>
        <v>0</v>
      </c>
      <c r="R29" s="406">
        <v>0</v>
      </c>
      <c r="S29" s="399">
        <f t="shared" si="10"/>
        <v>0</v>
      </c>
      <c r="T29" s="406">
        <v>0</v>
      </c>
      <c r="U29" s="399">
        <f t="shared" si="11"/>
        <v>0</v>
      </c>
      <c r="V29" s="406">
        <v>0</v>
      </c>
      <c r="W29" s="399">
        <f t="shared" si="12"/>
        <v>0</v>
      </c>
      <c r="X29" s="406">
        <v>0</v>
      </c>
      <c r="Y29" s="399">
        <f t="shared" si="13"/>
        <v>0</v>
      </c>
      <c r="Z29" s="406">
        <v>0</v>
      </c>
      <c r="AA29" s="401">
        <f t="shared" si="14"/>
        <v>0</v>
      </c>
      <c r="AB29" s="394"/>
      <c r="AC29" s="402">
        <f t="shared" si="3"/>
        <v>0</v>
      </c>
      <c r="AD29" s="403">
        <f t="shared" si="15"/>
        <v>0</v>
      </c>
    </row>
    <row r="30" spans="1:30" ht="13.25" customHeight="1" outlineLevel="1">
      <c r="A30" s="663"/>
      <c r="B30" s="666"/>
      <c r="C30" s="404" t="s">
        <v>264</v>
      </c>
      <c r="D30" s="405">
        <v>40920</v>
      </c>
      <c r="E30" s="399">
        <f t="shared" si="16"/>
        <v>8.212952299446007E-3</v>
      </c>
      <c r="F30" s="406">
        <v>40920</v>
      </c>
      <c r="G30" s="399">
        <f t="shared" si="4"/>
        <v>8.1810057518948067E-3</v>
      </c>
      <c r="H30" s="406">
        <v>40920</v>
      </c>
      <c r="I30" s="399">
        <f t="shared" si="5"/>
        <v>6.3337437161739858E-3</v>
      </c>
      <c r="J30" s="406">
        <v>40920</v>
      </c>
      <c r="K30" s="399">
        <f t="shared" si="6"/>
        <v>6.1288156632877799E-3</v>
      </c>
      <c r="L30" s="406">
        <v>40920</v>
      </c>
      <c r="M30" s="399">
        <f t="shared" si="7"/>
        <v>6.6374588200181347E-3</v>
      </c>
      <c r="N30" s="406">
        <v>40920</v>
      </c>
      <c r="O30" s="399">
        <f t="shared" si="8"/>
        <v>6.9262603779652841E-3</v>
      </c>
      <c r="P30" s="406">
        <v>40920</v>
      </c>
      <c r="Q30" s="399">
        <f t="shared" si="9"/>
        <v>6.2739710695112142E-3</v>
      </c>
      <c r="R30" s="406">
        <v>40920</v>
      </c>
      <c r="S30" s="399">
        <f t="shared" si="10"/>
        <v>9.0691449161591688E-3</v>
      </c>
      <c r="T30" s="406">
        <v>40920</v>
      </c>
      <c r="U30" s="399">
        <f t="shared" si="11"/>
        <v>7.5427528651677627E-3</v>
      </c>
      <c r="V30" s="406">
        <v>40920</v>
      </c>
      <c r="W30" s="399">
        <f t="shared" si="12"/>
        <v>7.3656338819158571E-3</v>
      </c>
      <c r="X30" s="406">
        <v>40920</v>
      </c>
      <c r="Y30" s="399">
        <f t="shared" si="13"/>
        <v>6.6948618734815083E-3</v>
      </c>
      <c r="Z30" s="406">
        <v>40920</v>
      </c>
      <c r="AA30" s="401">
        <f t="shared" si="14"/>
        <v>5.1801009182906171E-3</v>
      </c>
      <c r="AB30" s="394"/>
      <c r="AC30" s="402">
        <f t="shared" si="3"/>
        <v>491040</v>
      </c>
      <c r="AD30" s="403">
        <f t="shared" si="15"/>
        <v>6.8946095383266726E-3</v>
      </c>
    </row>
    <row r="31" spans="1:30" ht="13.25" customHeight="1" outlineLevel="1">
      <c r="A31" s="663"/>
      <c r="B31" s="666"/>
      <c r="C31" s="404" t="s">
        <v>265</v>
      </c>
      <c r="D31" s="405">
        <v>500</v>
      </c>
      <c r="E31" s="399">
        <f t="shared" si="16"/>
        <v>1.0035376709978015E-4</v>
      </c>
      <c r="F31" s="406">
        <v>500</v>
      </c>
      <c r="G31" s="399">
        <f t="shared" si="4"/>
        <v>9.996341339069901E-5</v>
      </c>
      <c r="H31" s="406">
        <v>500</v>
      </c>
      <c r="I31" s="399">
        <f t="shared" si="5"/>
        <v>7.739178538824518E-5</v>
      </c>
      <c r="J31" s="406">
        <v>500</v>
      </c>
      <c r="K31" s="399">
        <f t="shared" si="6"/>
        <v>7.4887776921893698E-5</v>
      </c>
      <c r="L31" s="406">
        <v>500</v>
      </c>
      <c r="M31" s="399">
        <f t="shared" si="7"/>
        <v>8.1102869257308586E-5</v>
      </c>
      <c r="N31" s="406">
        <v>500</v>
      </c>
      <c r="O31" s="399">
        <f t="shared" si="8"/>
        <v>8.4631725048451667E-5</v>
      </c>
      <c r="P31" s="406">
        <v>500</v>
      </c>
      <c r="Q31" s="399">
        <f t="shared" si="9"/>
        <v>7.6661425580537814E-5</v>
      </c>
      <c r="R31" s="406">
        <v>500</v>
      </c>
      <c r="S31" s="399">
        <f t="shared" si="10"/>
        <v>1.1081555371650987E-4</v>
      </c>
      <c r="T31" s="406">
        <v>500</v>
      </c>
      <c r="U31" s="399">
        <f t="shared" si="11"/>
        <v>9.2164624452196515E-5</v>
      </c>
      <c r="V31" s="406">
        <v>500</v>
      </c>
      <c r="W31" s="399">
        <f t="shared" si="12"/>
        <v>9.0000414001904406E-5</v>
      </c>
      <c r="X31" s="406">
        <v>500</v>
      </c>
      <c r="Y31" s="399">
        <f t="shared" si="13"/>
        <v>8.1804275091416272E-5</v>
      </c>
      <c r="Z31" s="406">
        <v>500</v>
      </c>
      <c r="AA31" s="401">
        <f t="shared" si="14"/>
        <v>6.329546576601439E-5</v>
      </c>
      <c r="AB31" s="394"/>
      <c r="AC31" s="407">
        <f t="shared" si="3"/>
        <v>6000</v>
      </c>
      <c r="AD31" s="403">
        <f t="shared" si="15"/>
        <v>8.4244984583659247E-5</v>
      </c>
    </row>
    <row r="32" spans="1:30" ht="13.25" customHeight="1" outlineLevel="1">
      <c r="A32" s="663"/>
      <c r="B32" s="666"/>
      <c r="C32" s="404" t="s">
        <v>266</v>
      </c>
      <c r="D32" s="405">
        <v>112200</v>
      </c>
      <c r="E32" s="399">
        <f t="shared" si="16"/>
        <v>2.2519385337190664E-2</v>
      </c>
      <c r="F32" s="408">
        <v>16500</v>
      </c>
      <c r="G32" s="399">
        <f t="shared" si="4"/>
        <v>3.298792641893067E-3</v>
      </c>
      <c r="H32" s="406">
        <v>16500</v>
      </c>
      <c r="I32" s="399">
        <f t="shared" si="5"/>
        <v>2.5539289178120911E-3</v>
      </c>
      <c r="J32" s="406">
        <v>16500</v>
      </c>
      <c r="K32" s="399">
        <f t="shared" si="6"/>
        <v>2.471296638422492E-3</v>
      </c>
      <c r="L32" s="406">
        <v>16500</v>
      </c>
      <c r="M32" s="399">
        <f t="shared" si="7"/>
        <v>2.6763946854911833E-3</v>
      </c>
      <c r="N32" s="406">
        <v>16500</v>
      </c>
      <c r="O32" s="399">
        <f t="shared" si="8"/>
        <v>2.7928469265989047E-3</v>
      </c>
      <c r="P32" s="406">
        <v>16500</v>
      </c>
      <c r="Q32" s="399">
        <f t="shared" si="9"/>
        <v>2.5298270441577479E-3</v>
      </c>
      <c r="R32" s="406">
        <v>16500</v>
      </c>
      <c r="S32" s="399">
        <f t="shared" si="10"/>
        <v>3.6569132726448259E-3</v>
      </c>
      <c r="T32" s="406">
        <v>16500</v>
      </c>
      <c r="U32" s="399">
        <f t="shared" si="11"/>
        <v>3.0414326069224851E-3</v>
      </c>
      <c r="V32" s="406">
        <v>16500</v>
      </c>
      <c r="W32" s="399">
        <f t="shared" si="12"/>
        <v>2.9700136620628456E-3</v>
      </c>
      <c r="X32" s="406">
        <v>16500</v>
      </c>
      <c r="Y32" s="399">
        <f t="shared" si="13"/>
        <v>2.6995410780167373E-3</v>
      </c>
      <c r="Z32" s="406">
        <v>16500</v>
      </c>
      <c r="AA32" s="401">
        <f t="shared" si="14"/>
        <v>2.0887503702784749E-3</v>
      </c>
      <c r="AB32" s="394"/>
      <c r="AC32" s="407">
        <f t="shared" si="3"/>
        <v>293700</v>
      </c>
      <c r="AD32" s="403">
        <f t="shared" si="15"/>
        <v>4.1237919953701204E-3</v>
      </c>
    </row>
    <row r="33" spans="1:30" ht="13.25" customHeight="1" outlineLevel="1">
      <c r="A33" s="663"/>
      <c r="B33" s="666"/>
      <c r="C33" s="404" t="s">
        <v>267</v>
      </c>
      <c r="D33" s="405">
        <v>0</v>
      </c>
      <c r="E33" s="399">
        <f t="shared" si="16"/>
        <v>0</v>
      </c>
      <c r="F33" s="406">
        <v>0</v>
      </c>
      <c r="G33" s="399">
        <f t="shared" si="4"/>
        <v>0</v>
      </c>
      <c r="H33" s="406">
        <v>0</v>
      </c>
      <c r="I33" s="399">
        <f t="shared" si="5"/>
        <v>0</v>
      </c>
      <c r="J33" s="406">
        <v>0</v>
      </c>
      <c r="K33" s="399">
        <f t="shared" si="6"/>
        <v>0</v>
      </c>
      <c r="L33" s="406">
        <v>0</v>
      </c>
      <c r="M33" s="399">
        <f t="shared" si="7"/>
        <v>0</v>
      </c>
      <c r="N33" s="409">
        <v>0</v>
      </c>
      <c r="O33" s="399">
        <f t="shared" si="8"/>
        <v>0</v>
      </c>
      <c r="P33" s="406">
        <v>0</v>
      </c>
      <c r="Q33" s="399">
        <f t="shared" si="9"/>
        <v>0</v>
      </c>
      <c r="R33" s="406">
        <v>0</v>
      </c>
      <c r="S33" s="399">
        <f t="shared" si="10"/>
        <v>0</v>
      </c>
      <c r="T33" s="406">
        <v>0</v>
      </c>
      <c r="U33" s="399">
        <f t="shared" si="11"/>
        <v>0</v>
      </c>
      <c r="V33" s="406">
        <v>0</v>
      </c>
      <c r="W33" s="399">
        <f t="shared" si="12"/>
        <v>0</v>
      </c>
      <c r="X33" s="406">
        <v>0</v>
      </c>
      <c r="Y33" s="399">
        <f t="shared" si="13"/>
        <v>0</v>
      </c>
      <c r="Z33" s="406">
        <v>0</v>
      </c>
      <c r="AA33" s="401">
        <f t="shared" si="14"/>
        <v>0</v>
      </c>
      <c r="AB33" s="394"/>
      <c r="AC33" s="407">
        <f t="shared" si="3"/>
        <v>0</v>
      </c>
      <c r="AD33" s="403">
        <f t="shared" si="15"/>
        <v>0</v>
      </c>
    </row>
    <row r="34" spans="1:30" ht="13.25" customHeight="1" outlineLevel="1">
      <c r="A34" s="663"/>
      <c r="B34" s="666"/>
      <c r="C34" s="404" t="s">
        <v>268</v>
      </c>
      <c r="D34" s="405">
        <v>122620</v>
      </c>
      <c r="E34" s="399">
        <f t="shared" si="16"/>
        <v>2.4610757843550084E-2</v>
      </c>
      <c r="F34" s="406">
        <v>122620</v>
      </c>
      <c r="G34" s="399">
        <f t="shared" si="4"/>
        <v>2.4515027499935022E-2</v>
      </c>
      <c r="H34" s="406">
        <v>122620</v>
      </c>
      <c r="I34" s="399">
        <f t="shared" si="5"/>
        <v>1.8979561448613246E-2</v>
      </c>
      <c r="J34" s="406">
        <v>122620</v>
      </c>
      <c r="K34" s="399">
        <f t="shared" si="6"/>
        <v>1.836547841232521E-2</v>
      </c>
      <c r="L34" s="406">
        <v>122620</v>
      </c>
      <c r="M34" s="399">
        <f t="shared" si="7"/>
        <v>1.9889667656662356E-2</v>
      </c>
      <c r="N34" s="406">
        <v>122620</v>
      </c>
      <c r="O34" s="399">
        <f t="shared" si="8"/>
        <v>2.0755084250882287E-2</v>
      </c>
      <c r="P34" s="406">
        <v>122620</v>
      </c>
      <c r="Q34" s="399">
        <f t="shared" si="9"/>
        <v>1.8800448009371092E-2</v>
      </c>
      <c r="R34" s="406">
        <v>122620</v>
      </c>
      <c r="S34" s="399">
        <f t="shared" si="10"/>
        <v>2.7176406393436884E-2</v>
      </c>
      <c r="T34" s="406">
        <v>122620</v>
      </c>
      <c r="U34" s="399">
        <f t="shared" si="11"/>
        <v>2.2602452500656674E-2</v>
      </c>
      <c r="V34" s="406">
        <v>122620</v>
      </c>
      <c r="W34" s="399">
        <f t="shared" si="12"/>
        <v>2.2071701529827036E-2</v>
      </c>
      <c r="X34" s="406">
        <v>122620</v>
      </c>
      <c r="Y34" s="399">
        <f t="shared" si="13"/>
        <v>2.0061680423418927E-2</v>
      </c>
      <c r="Z34" s="406">
        <v>122620</v>
      </c>
      <c r="AA34" s="401">
        <f t="shared" si="14"/>
        <v>1.5522580024457368E-2</v>
      </c>
      <c r="AB34" s="394"/>
      <c r="AC34" s="407">
        <f t="shared" si="3"/>
        <v>1471440</v>
      </c>
      <c r="AD34" s="403">
        <f t="shared" si="15"/>
        <v>2.0660240019296595E-2</v>
      </c>
    </row>
    <row r="35" spans="1:30" ht="13.25" customHeight="1" outlineLevel="1">
      <c r="A35" s="663"/>
      <c r="B35" s="666"/>
      <c r="C35" s="404" t="s">
        <v>269</v>
      </c>
      <c r="D35" s="405">
        <v>0</v>
      </c>
      <c r="E35" s="399">
        <f t="shared" si="16"/>
        <v>0</v>
      </c>
      <c r="F35" s="406">
        <v>0</v>
      </c>
      <c r="G35" s="399">
        <f t="shared" si="4"/>
        <v>0</v>
      </c>
      <c r="H35" s="406">
        <v>0</v>
      </c>
      <c r="I35" s="399">
        <f t="shared" si="5"/>
        <v>0</v>
      </c>
      <c r="J35" s="406">
        <v>0</v>
      </c>
      <c r="K35" s="399">
        <f t="shared" si="6"/>
        <v>0</v>
      </c>
      <c r="L35" s="406">
        <v>0</v>
      </c>
      <c r="M35" s="399">
        <f t="shared" si="7"/>
        <v>0</v>
      </c>
      <c r="N35" s="406">
        <v>0</v>
      </c>
      <c r="O35" s="399">
        <f t="shared" si="8"/>
        <v>0</v>
      </c>
      <c r="P35" s="406">
        <v>0</v>
      </c>
      <c r="Q35" s="399">
        <f t="shared" si="9"/>
        <v>0</v>
      </c>
      <c r="R35" s="406">
        <v>0</v>
      </c>
      <c r="S35" s="399">
        <f t="shared" si="10"/>
        <v>0</v>
      </c>
      <c r="T35" s="406">
        <v>0</v>
      </c>
      <c r="U35" s="399">
        <f t="shared" si="11"/>
        <v>0</v>
      </c>
      <c r="V35" s="406">
        <v>0</v>
      </c>
      <c r="W35" s="399">
        <f t="shared" si="12"/>
        <v>0</v>
      </c>
      <c r="X35" s="406">
        <v>0</v>
      </c>
      <c r="Y35" s="399">
        <f t="shared" si="13"/>
        <v>0</v>
      </c>
      <c r="Z35" s="406">
        <v>0</v>
      </c>
      <c r="AA35" s="401">
        <f t="shared" si="14"/>
        <v>0</v>
      </c>
      <c r="AB35" s="394"/>
      <c r="AC35" s="407">
        <f t="shared" si="3"/>
        <v>0</v>
      </c>
      <c r="AD35" s="403">
        <f t="shared" si="15"/>
        <v>0</v>
      </c>
    </row>
    <row r="36" spans="1:30" ht="13.25" customHeight="1" outlineLevel="1">
      <c r="A36" s="663"/>
      <c r="B36" s="666"/>
      <c r="C36" s="404" t="s">
        <v>270</v>
      </c>
      <c r="D36" s="405">
        <v>0</v>
      </c>
      <c r="E36" s="399">
        <f t="shared" si="16"/>
        <v>0</v>
      </c>
      <c r="F36" s="406">
        <v>0</v>
      </c>
      <c r="G36" s="399">
        <f t="shared" si="4"/>
        <v>0</v>
      </c>
      <c r="H36" s="406">
        <v>0</v>
      </c>
      <c r="I36" s="399">
        <f t="shared" si="5"/>
        <v>0</v>
      </c>
      <c r="J36" s="406">
        <v>0</v>
      </c>
      <c r="K36" s="399">
        <f t="shared" si="6"/>
        <v>0</v>
      </c>
      <c r="L36" s="406">
        <v>0</v>
      </c>
      <c r="M36" s="399">
        <f t="shared" si="7"/>
        <v>0</v>
      </c>
      <c r="N36" s="406">
        <v>0</v>
      </c>
      <c r="O36" s="399">
        <f t="shared" si="8"/>
        <v>0</v>
      </c>
      <c r="P36" s="406">
        <v>0</v>
      </c>
      <c r="Q36" s="399">
        <f t="shared" si="9"/>
        <v>0</v>
      </c>
      <c r="R36" s="406">
        <v>0</v>
      </c>
      <c r="S36" s="399">
        <f t="shared" si="10"/>
        <v>0</v>
      </c>
      <c r="T36" s="406">
        <v>0</v>
      </c>
      <c r="U36" s="399">
        <f t="shared" si="11"/>
        <v>0</v>
      </c>
      <c r="V36" s="406">
        <v>0</v>
      </c>
      <c r="W36" s="399">
        <f t="shared" si="12"/>
        <v>0</v>
      </c>
      <c r="X36" s="406">
        <v>0</v>
      </c>
      <c r="Y36" s="399">
        <f t="shared" si="13"/>
        <v>0</v>
      </c>
      <c r="Z36" s="406">
        <v>24200</v>
      </c>
      <c r="AA36" s="401">
        <f t="shared" si="14"/>
        <v>3.0635005430750964E-3</v>
      </c>
      <c r="AB36" s="394"/>
      <c r="AC36" s="407">
        <f t="shared" si="3"/>
        <v>24200</v>
      </c>
      <c r="AD36" s="403">
        <f t="shared" si="15"/>
        <v>3.3978810448742565E-4</v>
      </c>
    </row>
    <row r="37" spans="1:30" ht="13.25" customHeight="1" outlineLevel="1">
      <c r="A37" s="663"/>
      <c r="B37" s="666"/>
      <c r="C37" s="404" t="s">
        <v>271</v>
      </c>
      <c r="D37" s="405">
        <v>11770</v>
      </c>
      <c r="E37" s="399">
        <f t="shared" si="16"/>
        <v>2.3623276775288247E-3</v>
      </c>
      <c r="F37" s="406">
        <v>11770</v>
      </c>
      <c r="G37" s="399">
        <f t="shared" si="4"/>
        <v>2.3531387512170546E-3</v>
      </c>
      <c r="H37" s="406">
        <v>11770</v>
      </c>
      <c r="I37" s="399">
        <f t="shared" si="5"/>
        <v>1.8218026280392915E-3</v>
      </c>
      <c r="J37" s="406">
        <v>11770</v>
      </c>
      <c r="K37" s="399">
        <f t="shared" si="6"/>
        <v>1.7628582687413776E-3</v>
      </c>
      <c r="L37" s="406">
        <v>11770</v>
      </c>
      <c r="M37" s="399">
        <f t="shared" si="7"/>
        <v>1.9091615423170441E-3</v>
      </c>
      <c r="N37" s="406">
        <v>11770</v>
      </c>
      <c r="O37" s="399">
        <f t="shared" si="8"/>
        <v>1.9922308076405523E-3</v>
      </c>
      <c r="P37" s="406">
        <v>11770</v>
      </c>
      <c r="Q37" s="399">
        <f t="shared" si="9"/>
        <v>1.80460995816586E-3</v>
      </c>
      <c r="R37" s="406">
        <v>11770</v>
      </c>
      <c r="S37" s="399">
        <f t="shared" si="10"/>
        <v>2.6085981344866425E-3</v>
      </c>
      <c r="T37" s="406">
        <v>11770</v>
      </c>
      <c r="U37" s="399">
        <f t="shared" si="11"/>
        <v>2.1695552596047059E-3</v>
      </c>
      <c r="V37" s="406">
        <v>11770</v>
      </c>
      <c r="W37" s="399">
        <f t="shared" si="12"/>
        <v>2.1186097456048296E-3</v>
      </c>
      <c r="X37" s="406">
        <v>11770</v>
      </c>
      <c r="Y37" s="399">
        <f t="shared" si="13"/>
        <v>1.9256726356519391E-3</v>
      </c>
      <c r="Z37" s="406">
        <v>11770</v>
      </c>
      <c r="AA37" s="401">
        <f t="shared" si="14"/>
        <v>1.4899752641319786E-3</v>
      </c>
      <c r="AB37" s="394"/>
      <c r="AC37" s="407">
        <f t="shared" si="3"/>
        <v>141240</v>
      </c>
      <c r="AD37" s="403">
        <f t="shared" si="15"/>
        <v>1.9831269370993387E-3</v>
      </c>
    </row>
    <row r="38" spans="1:30" ht="13.25" customHeight="1" outlineLevel="1">
      <c r="A38" s="663"/>
      <c r="B38" s="666"/>
      <c r="C38" s="404" t="s">
        <v>272</v>
      </c>
      <c r="D38" s="410">
        <v>17860</v>
      </c>
      <c r="E38" s="399">
        <f>D38/D$7</f>
        <v>3.5846365608041466E-3</v>
      </c>
      <c r="F38" s="406">
        <v>17860</v>
      </c>
      <c r="G38" s="399">
        <f>F38/F$7</f>
        <v>3.5706931263157684E-3</v>
      </c>
      <c r="H38" s="406">
        <v>17860</v>
      </c>
      <c r="I38" s="399">
        <f>H38/H$7</f>
        <v>2.7644345740681178E-3</v>
      </c>
      <c r="J38" s="406">
        <v>17860</v>
      </c>
      <c r="K38" s="399">
        <f>J38/J$7</f>
        <v>2.674991391650043E-3</v>
      </c>
      <c r="L38" s="406">
        <v>17860</v>
      </c>
      <c r="M38" s="399">
        <f>L38/L$7</f>
        <v>2.8969944898710625E-3</v>
      </c>
      <c r="N38" s="406">
        <v>17860</v>
      </c>
      <c r="O38" s="399">
        <f>N38/N$7</f>
        <v>3.0230452187306935E-3</v>
      </c>
      <c r="P38" s="406">
        <v>17860</v>
      </c>
      <c r="Q38" s="399">
        <f>P38/P$7</f>
        <v>2.7383461217368107E-3</v>
      </c>
      <c r="R38" s="406">
        <v>17860</v>
      </c>
      <c r="S38" s="399">
        <f>R38/R$7</f>
        <v>3.9583315787537331E-3</v>
      </c>
      <c r="T38" s="406">
        <v>17860</v>
      </c>
      <c r="U38" s="399">
        <f>T38/T$7</f>
        <v>3.2921203854324593E-3</v>
      </c>
      <c r="V38" s="406">
        <v>17860</v>
      </c>
      <c r="W38" s="399">
        <f>V38/V$7</f>
        <v>3.2148147881480254E-3</v>
      </c>
      <c r="X38" s="406">
        <v>17860</v>
      </c>
      <c r="Y38" s="399">
        <f>X38/X$7</f>
        <v>2.9220487062653895E-3</v>
      </c>
      <c r="Z38" s="406">
        <v>17860</v>
      </c>
      <c r="AA38" s="401">
        <f>Z38/Z$7</f>
        <v>2.260914037162034E-3</v>
      </c>
      <c r="AB38" s="394"/>
      <c r="AC38" s="407">
        <f>D38+F38+H38+J38+L38+N38+P38+R38+T38+V38+X38+Z38</f>
        <v>214320</v>
      </c>
      <c r="AD38" s="403">
        <f>AC38/AC$7</f>
        <v>3.0092308493283085E-3</v>
      </c>
    </row>
    <row r="39" spans="1:30" ht="13.25" customHeight="1" outlineLevel="1">
      <c r="A39" s="663"/>
      <c r="B39" s="666"/>
      <c r="C39" s="404" t="s">
        <v>273</v>
      </c>
      <c r="D39" s="410">
        <v>220485</v>
      </c>
      <c r="E39" s="411">
        <f>D39/D$7</f>
        <v>4.4253000677990054E-2</v>
      </c>
      <c r="F39" s="406">
        <v>220485</v>
      </c>
      <c r="G39" s="411">
        <f>F39/F$7</f>
        <v>4.4080866402896539E-2</v>
      </c>
      <c r="H39" s="406">
        <v>220485</v>
      </c>
      <c r="I39" s="411">
        <f>H39/H$7</f>
        <v>3.4127455602654476E-2</v>
      </c>
      <c r="J39" s="406">
        <v>220485</v>
      </c>
      <c r="K39" s="411">
        <f>J39/J$7</f>
        <v>3.3023262989247466E-2</v>
      </c>
      <c r="L39" s="406">
        <v>220485</v>
      </c>
      <c r="M39" s="411">
        <f>L39/L$7</f>
        <v>3.5763932256395368E-2</v>
      </c>
      <c r="N39" s="406">
        <v>220485</v>
      </c>
      <c r="O39" s="411">
        <f>N39/N$7</f>
        <v>3.7320051794615727E-2</v>
      </c>
      <c r="P39" s="406">
        <v>220485</v>
      </c>
      <c r="Q39" s="411">
        <f>P39/P$7</f>
        <v>3.380538883824976E-2</v>
      </c>
      <c r="R39" s="406">
        <v>220485</v>
      </c>
      <c r="S39" s="411">
        <f>R39/R$7</f>
        <v>4.8866334722369363E-2</v>
      </c>
      <c r="T39" s="406">
        <v>220485</v>
      </c>
      <c r="U39" s="411">
        <f>T39/T$7</f>
        <v>4.0641834444685096E-2</v>
      </c>
      <c r="V39" s="406">
        <v>220485</v>
      </c>
      <c r="W39" s="411">
        <f>V39/V$7</f>
        <v>3.9687482562419787E-2</v>
      </c>
      <c r="X39" s="406">
        <v>220485</v>
      </c>
      <c r="Y39" s="411">
        <f>X39/X$7</f>
        <v>3.6073231187061836E-2</v>
      </c>
      <c r="Z39" s="406">
        <v>220485</v>
      </c>
      <c r="AA39" s="412">
        <f>Z39/Z$7</f>
        <v>2.7911401538839364E-2</v>
      </c>
      <c r="AB39" s="394"/>
      <c r="AC39" s="407">
        <f>D39+F39+H39+J39+L39+N39+P39+R39+T39+V39+X39+Z39</f>
        <v>2645820</v>
      </c>
      <c r="AD39" s="403">
        <f>AC39/AC$7</f>
        <v>3.7149510851856221E-2</v>
      </c>
    </row>
    <row r="40" spans="1:30" ht="13.25" customHeight="1" outlineLevel="1">
      <c r="A40" s="663"/>
      <c r="B40" s="666"/>
      <c r="C40" s="413" t="s">
        <v>274</v>
      </c>
      <c r="D40" s="414">
        <v>19120</v>
      </c>
      <c r="E40" s="399">
        <f t="shared" si="16"/>
        <v>3.8375280538955926E-3</v>
      </c>
      <c r="F40" s="415">
        <v>19120</v>
      </c>
      <c r="G40" s="399">
        <f t="shared" si="4"/>
        <v>3.8226009280603298E-3</v>
      </c>
      <c r="H40" s="415">
        <v>19120</v>
      </c>
      <c r="I40" s="399">
        <f t="shared" si="5"/>
        <v>2.9594618732464955E-3</v>
      </c>
      <c r="J40" s="415">
        <v>19120</v>
      </c>
      <c r="K40" s="399">
        <f t="shared" si="6"/>
        <v>2.8637085894932151E-3</v>
      </c>
      <c r="L40" s="415">
        <v>19120</v>
      </c>
      <c r="M40" s="399">
        <f t="shared" si="7"/>
        <v>3.1013737203994802E-3</v>
      </c>
      <c r="N40" s="415">
        <v>19120</v>
      </c>
      <c r="O40" s="399">
        <f t="shared" si="8"/>
        <v>3.2363171658527914E-3</v>
      </c>
      <c r="P40" s="415">
        <v>19120</v>
      </c>
      <c r="Q40" s="399">
        <f t="shared" si="9"/>
        <v>2.931532914199766E-3</v>
      </c>
      <c r="R40" s="415">
        <v>19120</v>
      </c>
      <c r="S40" s="399">
        <f t="shared" si="10"/>
        <v>4.2375867741193379E-3</v>
      </c>
      <c r="T40" s="415">
        <v>19120</v>
      </c>
      <c r="U40" s="399">
        <f t="shared" si="11"/>
        <v>3.5243752390519945E-3</v>
      </c>
      <c r="V40" s="415">
        <v>19420</v>
      </c>
      <c r="W40" s="399">
        <f t="shared" si="12"/>
        <v>3.4956160798339671E-3</v>
      </c>
      <c r="X40" s="415">
        <v>19420</v>
      </c>
      <c r="Y40" s="399">
        <f t="shared" si="13"/>
        <v>3.1772780445506084E-3</v>
      </c>
      <c r="Z40" s="415">
        <v>19420</v>
      </c>
      <c r="AA40" s="401">
        <f t="shared" si="14"/>
        <v>2.4583958903519987E-3</v>
      </c>
      <c r="AB40" s="394"/>
      <c r="AC40" s="407">
        <f t="shared" si="3"/>
        <v>230340</v>
      </c>
      <c r="AD40" s="403">
        <f t="shared" si="15"/>
        <v>3.2341649581666787E-3</v>
      </c>
    </row>
    <row r="41" spans="1:30" ht="13.25" customHeight="1" outlineLevel="1" thickBot="1">
      <c r="A41" s="663"/>
      <c r="B41" s="667"/>
      <c r="C41" s="416" t="s">
        <v>275</v>
      </c>
      <c r="D41" s="417">
        <v>288295</v>
      </c>
      <c r="E41" s="418">
        <f>D41/D$7</f>
        <v>5.7862978572062233E-2</v>
      </c>
      <c r="F41" s="419">
        <v>288295</v>
      </c>
      <c r="G41" s="418">
        <f t="shared" si="4"/>
        <v>5.7637904526943139E-2</v>
      </c>
      <c r="H41" s="419">
        <v>209894</v>
      </c>
      <c r="I41" s="418">
        <f t="shared" si="5"/>
        <v>3.2488142804560666E-2</v>
      </c>
      <c r="J41" s="419">
        <v>209894</v>
      </c>
      <c r="K41" s="418">
        <f t="shared" si="6"/>
        <v>3.143699009848791E-2</v>
      </c>
      <c r="L41" s="419">
        <v>209894</v>
      </c>
      <c r="M41" s="418">
        <f t="shared" si="7"/>
        <v>3.4046011279787056E-2</v>
      </c>
      <c r="N41" s="419">
        <v>209894</v>
      </c>
      <c r="O41" s="418">
        <f t="shared" si="8"/>
        <v>3.5527382594639424E-2</v>
      </c>
      <c r="P41" s="419">
        <v>209894</v>
      </c>
      <c r="Q41" s="418">
        <f t="shared" si="9"/>
        <v>3.2181546521602808E-2</v>
      </c>
      <c r="R41" s="419">
        <v>209894</v>
      </c>
      <c r="S41" s="418">
        <f t="shared" si="10"/>
        <v>4.6519039663546251E-2</v>
      </c>
      <c r="T41" s="419">
        <v>209894</v>
      </c>
      <c r="U41" s="418">
        <f t="shared" si="11"/>
        <v>3.8689603369538667E-2</v>
      </c>
      <c r="V41" s="419">
        <v>209894</v>
      </c>
      <c r="W41" s="418">
        <f t="shared" si="12"/>
        <v>3.7781093793031448E-2</v>
      </c>
      <c r="X41" s="419">
        <v>209894</v>
      </c>
      <c r="Y41" s="418">
        <f t="shared" si="13"/>
        <v>3.4340453032075453E-2</v>
      </c>
      <c r="Z41" s="419">
        <v>209894</v>
      </c>
      <c r="AA41" s="420">
        <f t="shared" si="14"/>
        <v>2.6570676982983647E-2</v>
      </c>
      <c r="AB41" s="394"/>
      <c r="AC41" s="421">
        <f t="shared" si="3"/>
        <v>2675530</v>
      </c>
      <c r="AD41" s="422">
        <f t="shared" si="15"/>
        <v>3.7566663933852974E-2</v>
      </c>
    </row>
    <row r="42" spans="1:30" ht="13.25" customHeight="1" outlineLevel="1" thickTop="1">
      <c r="A42" s="663"/>
      <c r="B42" s="668" t="s">
        <v>276</v>
      </c>
      <c r="C42" s="423" t="s">
        <v>277</v>
      </c>
      <c r="D42" s="398">
        <v>1886544</v>
      </c>
      <c r="E42" s="399">
        <f t="shared" si="16"/>
        <v>0.37864359439897527</v>
      </c>
      <c r="F42" s="400">
        <v>1945204</v>
      </c>
      <c r="G42" s="399">
        <f t="shared" si="4"/>
        <v>0.38889846316248255</v>
      </c>
      <c r="H42" s="400">
        <v>2312204</v>
      </c>
      <c r="I42" s="399">
        <f t="shared" si="5"/>
        <v>0.35789119148368409</v>
      </c>
      <c r="J42" s="400">
        <v>2433974</v>
      </c>
      <c r="K42" s="399">
        <f t="shared" si="6"/>
        <v>0.36454980389137859</v>
      </c>
      <c r="L42" s="400">
        <v>2171317</v>
      </c>
      <c r="M42" s="399">
        <f t="shared" si="7"/>
        <v>0.35220007753434301</v>
      </c>
      <c r="N42" s="400">
        <v>2854169</v>
      </c>
      <c r="O42" s="399">
        <f t="shared" si="8"/>
        <v>0.48310649209962847</v>
      </c>
      <c r="P42" s="400">
        <v>2352995</v>
      </c>
      <c r="Q42" s="399">
        <f t="shared" si="9"/>
        <v>0.36076790216775512</v>
      </c>
      <c r="R42" s="400">
        <v>1682700</v>
      </c>
      <c r="S42" s="399">
        <f t="shared" si="10"/>
        <v>0.37293866447754231</v>
      </c>
      <c r="T42" s="424">
        <v>2227818</v>
      </c>
      <c r="U42" s="399">
        <f t="shared" si="11"/>
        <v>0.41065201863568707</v>
      </c>
      <c r="V42" s="400">
        <v>2339889</v>
      </c>
      <c r="W42" s="399">
        <f t="shared" si="12"/>
        <v>0.42118195743700421</v>
      </c>
      <c r="X42" s="400">
        <v>2413240</v>
      </c>
      <c r="Y42" s="399">
        <f t="shared" si="13"/>
        <v>0.39482669764321882</v>
      </c>
      <c r="Z42" s="400">
        <v>2830519</v>
      </c>
      <c r="AA42" s="401">
        <f t="shared" si="14"/>
        <v>0.35831803692910652</v>
      </c>
      <c r="AB42" s="394"/>
      <c r="AC42" s="425">
        <f t="shared" si="3"/>
        <v>27450573</v>
      </c>
      <c r="AD42" s="396">
        <f t="shared" si="15"/>
        <v>0.3854288498662688</v>
      </c>
    </row>
    <row r="43" spans="1:30" ht="13.25" customHeight="1" outlineLevel="1">
      <c r="A43" s="663"/>
      <c r="B43" s="666"/>
      <c r="C43" s="426" t="s">
        <v>278</v>
      </c>
      <c r="D43" s="405">
        <v>41030</v>
      </c>
      <c r="E43" s="399">
        <f t="shared" si="16"/>
        <v>8.235030128207959E-3</v>
      </c>
      <c r="F43" s="427">
        <v>24255</v>
      </c>
      <c r="G43" s="399">
        <f t="shared" si="4"/>
        <v>4.8492251835828091E-3</v>
      </c>
      <c r="H43" s="427">
        <v>24255</v>
      </c>
      <c r="I43" s="399">
        <f t="shared" si="5"/>
        <v>3.7542755091837738E-3</v>
      </c>
      <c r="J43" s="427">
        <v>24255</v>
      </c>
      <c r="K43" s="399">
        <f t="shared" si="6"/>
        <v>3.632806058481063E-3</v>
      </c>
      <c r="L43" s="427">
        <v>24255</v>
      </c>
      <c r="M43" s="399">
        <f t="shared" si="7"/>
        <v>3.9343001876720393E-3</v>
      </c>
      <c r="N43" s="427">
        <v>24255</v>
      </c>
      <c r="O43" s="399">
        <f t="shared" si="8"/>
        <v>4.1054849821003901E-3</v>
      </c>
      <c r="P43" s="427">
        <v>36355</v>
      </c>
      <c r="Q43" s="399">
        <f t="shared" si="9"/>
        <v>5.5740522539609039E-3</v>
      </c>
      <c r="R43" s="427">
        <v>24255</v>
      </c>
      <c r="S43" s="399">
        <f t="shared" si="10"/>
        <v>5.3756625107878944E-3</v>
      </c>
      <c r="T43" s="428">
        <v>24255</v>
      </c>
      <c r="U43" s="399">
        <f t="shared" si="11"/>
        <v>4.4709059321760532E-3</v>
      </c>
      <c r="V43" s="427">
        <v>24255</v>
      </c>
      <c r="W43" s="399">
        <f t="shared" si="12"/>
        <v>4.3659200832323825E-3</v>
      </c>
      <c r="X43" s="427">
        <v>21615</v>
      </c>
      <c r="Y43" s="399">
        <f t="shared" si="13"/>
        <v>3.5363988122019256E-3</v>
      </c>
      <c r="Z43" s="427">
        <v>19800</v>
      </c>
      <c r="AA43" s="401">
        <f t="shared" si="14"/>
        <v>2.5065004443341698E-3</v>
      </c>
      <c r="AB43" s="394"/>
      <c r="AC43" s="407">
        <f t="shared" si="3"/>
        <v>312840</v>
      </c>
      <c r="AD43" s="403">
        <f t="shared" si="15"/>
        <v>4.3925334961919934E-3</v>
      </c>
    </row>
    <row r="44" spans="1:30" ht="13.25" customHeight="1" outlineLevel="1">
      <c r="A44" s="663"/>
      <c r="B44" s="666"/>
      <c r="C44" s="426" t="s">
        <v>279</v>
      </c>
      <c r="D44" s="405">
        <v>66179</v>
      </c>
      <c r="E44" s="399">
        <f t="shared" si="16"/>
        <v>1.32826239057927E-2</v>
      </c>
      <c r="F44" s="427">
        <v>30990</v>
      </c>
      <c r="G44" s="399">
        <f t="shared" si="4"/>
        <v>6.1957323619555244E-3</v>
      </c>
      <c r="H44" s="427">
        <v>58439</v>
      </c>
      <c r="I44" s="399">
        <f t="shared" si="5"/>
        <v>9.0453970926073195E-3</v>
      </c>
      <c r="J44" s="427">
        <v>86272</v>
      </c>
      <c r="K44" s="399">
        <f t="shared" si="6"/>
        <v>1.2921436581211226E-2</v>
      </c>
      <c r="L44" s="427">
        <v>50545</v>
      </c>
      <c r="M44" s="399">
        <f t="shared" si="7"/>
        <v>8.1986890532213252E-3</v>
      </c>
      <c r="N44" s="427">
        <v>84005</v>
      </c>
      <c r="O44" s="399">
        <f t="shared" si="8"/>
        <v>1.4218976125390364E-2</v>
      </c>
      <c r="P44" s="427">
        <v>105563</v>
      </c>
      <c r="Q44" s="399">
        <f t="shared" si="9"/>
        <v>1.6185220137116627E-2</v>
      </c>
      <c r="R44" s="427">
        <v>77885</v>
      </c>
      <c r="S44" s="399">
        <f t="shared" si="10"/>
        <v>1.7261738802420743E-2</v>
      </c>
      <c r="T44" s="427">
        <v>67559</v>
      </c>
      <c r="U44" s="399">
        <f t="shared" si="11"/>
        <v>1.2453099726731889E-2</v>
      </c>
      <c r="V44" s="427">
        <v>86089</v>
      </c>
      <c r="W44" s="399">
        <f t="shared" si="12"/>
        <v>1.5496091282019897E-2</v>
      </c>
      <c r="X44" s="427">
        <v>71768</v>
      </c>
      <c r="Y44" s="399">
        <f t="shared" si="13"/>
        <v>1.1741858429521527E-2</v>
      </c>
      <c r="Z44" s="427">
        <v>112760</v>
      </c>
      <c r="AA44" s="401">
        <f t="shared" si="14"/>
        <v>1.4274393439551565E-2</v>
      </c>
      <c r="AB44" s="394"/>
      <c r="AC44" s="407">
        <f t="shared" si="3"/>
        <v>898054</v>
      </c>
      <c r="AD44" s="403">
        <f t="shared" si="15"/>
        <v>1.2609424230882254E-2</v>
      </c>
    </row>
    <row r="45" spans="1:30" ht="13.25" customHeight="1" outlineLevel="1">
      <c r="A45" s="663"/>
      <c r="B45" s="666"/>
      <c r="C45" s="426" t="s">
        <v>280</v>
      </c>
      <c r="D45" s="405">
        <v>18090</v>
      </c>
      <c r="E45" s="399">
        <f t="shared" si="16"/>
        <v>3.6307992936700458E-3</v>
      </c>
      <c r="F45" s="427">
        <v>648</v>
      </c>
      <c r="G45" s="399">
        <f t="shared" si="4"/>
        <v>1.295525837543459E-4</v>
      </c>
      <c r="H45" s="427">
        <v>0</v>
      </c>
      <c r="I45" s="399">
        <f t="shared" si="5"/>
        <v>0</v>
      </c>
      <c r="J45" s="427">
        <v>0</v>
      </c>
      <c r="K45" s="399">
        <f t="shared" si="6"/>
        <v>0</v>
      </c>
      <c r="L45" s="427">
        <v>0</v>
      </c>
      <c r="M45" s="399">
        <f t="shared" si="7"/>
        <v>0</v>
      </c>
      <c r="N45" s="427">
        <v>0</v>
      </c>
      <c r="O45" s="399">
        <f t="shared" si="8"/>
        <v>0</v>
      </c>
      <c r="P45" s="427">
        <v>0</v>
      </c>
      <c r="Q45" s="399">
        <f t="shared" si="9"/>
        <v>0</v>
      </c>
      <c r="R45" s="427">
        <v>0</v>
      </c>
      <c r="S45" s="399">
        <f t="shared" si="10"/>
        <v>0</v>
      </c>
      <c r="T45" s="427">
        <v>0</v>
      </c>
      <c r="U45" s="399">
        <f t="shared" si="11"/>
        <v>0</v>
      </c>
      <c r="V45" s="427">
        <v>0</v>
      </c>
      <c r="W45" s="399">
        <f t="shared" si="12"/>
        <v>0</v>
      </c>
      <c r="X45" s="427">
        <v>0</v>
      </c>
      <c r="Y45" s="399">
        <f t="shared" si="13"/>
        <v>0</v>
      </c>
      <c r="Z45" s="427">
        <v>0</v>
      </c>
      <c r="AA45" s="401">
        <f t="shared" si="14"/>
        <v>0</v>
      </c>
      <c r="AB45" s="394"/>
      <c r="AC45" s="407">
        <f t="shared" si="3"/>
        <v>18738</v>
      </c>
      <c r="AD45" s="403">
        <f t="shared" si="15"/>
        <v>2.6309708685476785E-4</v>
      </c>
    </row>
    <row r="46" spans="1:30" ht="13.25" customHeight="1" outlineLevel="1">
      <c r="A46" s="663"/>
      <c r="B46" s="666"/>
      <c r="C46" s="426" t="s">
        <v>281</v>
      </c>
      <c r="D46" s="405">
        <v>174792</v>
      </c>
      <c r="E46" s="399">
        <f t="shared" si="16"/>
        <v>3.5082071317809542E-2</v>
      </c>
      <c r="F46" s="427">
        <v>159636</v>
      </c>
      <c r="G46" s="399">
        <f t="shared" si="4"/>
        <v>3.1915518920075256E-2</v>
      </c>
      <c r="H46" s="427">
        <v>165072</v>
      </c>
      <c r="I46" s="399">
        <f t="shared" si="5"/>
        <v>2.5550433595216818E-2</v>
      </c>
      <c r="J46" s="427">
        <v>137363</v>
      </c>
      <c r="K46" s="399">
        <f>J46/J$7</f>
        <v>2.0573619402644166E-2</v>
      </c>
      <c r="L46" s="427">
        <v>169052</v>
      </c>
      <c r="M46" s="399">
        <f t="shared" si="7"/>
        <v>2.7421204507373061E-2</v>
      </c>
      <c r="N46" s="427">
        <v>211012</v>
      </c>
      <c r="O46" s="399">
        <f t="shared" si="8"/>
        <v>3.5716619131847767E-2</v>
      </c>
      <c r="P46" s="427">
        <v>275564</v>
      </c>
      <c r="Q46" s="399">
        <f t="shared" si="9"/>
        <v>4.2250258157350645E-2</v>
      </c>
      <c r="R46" s="427">
        <v>225602</v>
      </c>
      <c r="S46" s="399">
        <f t="shared" si="10"/>
        <v>5.0000421099104124E-2</v>
      </c>
      <c r="T46" s="427">
        <v>211026</v>
      </c>
      <c r="U46" s="399">
        <f t="shared" si="11"/>
        <v>3.8898264079298445E-2</v>
      </c>
      <c r="V46" s="427">
        <v>157805</v>
      </c>
      <c r="W46" s="399">
        <f t="shared" si="12"/>
        <v>2.840503066314105E-2</v>
      </c>
      <c r="X46" s="427">
        <v>163328</v>
      </c>
      <c r="Y46" s="399">
        <f t="shared" si="13"/>
        <v>2.6721857284261675E-2</v>
      </c>
      <c r="Z46" s="427">
        <v>168660</v>
      </c>
      <c r="AA46" s="401">
        <f t="shared" si="14"/>
        <v>2.1350826512191973E-2</v>
      </c>
      <c r="AB46" s="394"/>
      <c r="AC46" s="407">
        <f t="shared" si="3"/>
        <v>2218912</v>
      </c>
      <c r="AD46" s="403">
        <f t="shared" si="15"/>
        <v>3.1155367872082753E-2</v>
      </c>
    </row>
    <row r="47" spans="1:30" ht="13.25" customHeight="1" outlineLevel="1">
      <c r="A47" s="663"/>
      <c r="B47" s="666"/>
      <c r="C47" s="426" t="s">
        <v>282</v>
      </c>
      <c r="D47" s="429">
        <v>112613</v>
      </c>
      <c r="E47" s="399">
        <f t="shared" si="16"/>
        <v>2.2602277548815084E-2</v>
      </c>
      <c r="F47" s="428">
        <v>122621</v>
      </c>
      <c r="G47" s="399">
        <f t="shared" si="4"/>
        <v>2.4515227426761804E-2</v>
      </c>
      <c r="H47" s="430">
        <v>140289</v>
      </c>
      <c r="I47" s="399">
        <f t="shared" si="5"/>
        <v>2.1714432360663057E-2</v>
      </c>
      <c r="J47" s="428">
        <v>128057</v>
      </c>
      <c r="K47" s="399">
        <f t="shared" si="6"/>
        <v>1.9179808098573881E-2</v>
      </c>
      <c r="L47" s="428">
        <v>128652</v>
      </c>
      <c r="M47" s="399">
        <f>L47/L$7</f>
        <v>2.0868092671382527E-2</v>
      </c>
      <c r="N47" s="430">
        <v>127236</v>
      </c>
      <c r="O47" s="399">
        <f t="shared" si="8"/>
        <v>2.1536404336529591E-2</v>
      </c>
      <c r="P47" s="428">
        <v>131887</v>
      </c>
      <c r="Q47" s="399">
        <f t="shared" si="9"/>
        <v>2.022129087108078E-2</v>
      </c>
      <c r="R47" s="430">
        <v>100987</v>
      </c>
      <c r="S47" s="399">
        <f t="shared" si="10"/>
        <v>2.2381860646338365E-2</v>
      </c>
      <c r="T47" s="430">
        <v>108159</v>
      </c>
      <c r="U47" s="399">
        <f t="shared" si="11"/>
        <v>1.9936867232250244E-2</v>
      </c>
      <c r="V47" s="430">
        <v>127592</v>
      </c>
      <c r="W47" s="399">
        <f t="shared" si="12"/>
        <v>2.2966665646661975E-2</v>
      </c>
      <c r="X47" s="430">
        <v>130578</v>
      </c>
      <c r="Y47" s="399">
        <f t="shared" si="13"/>
        <v>2.1363677265773911E-2</v>
      </c>
      <c r="Z47" s="430">
        <v>148517</v>
      </c>
      <c r="AA47" s="401">
        <f t="shared" si="14"/>
        <v>1.8800905378342316E-2</v>
      </c>
      <c r="AB47" s="394"/>
      <c r="AC47" s="407">
        <f t="shared" si="3"/>
        <v>1507188</v>
      </c>
      <c r="AD47" s="403">
        <f t="shared" si="15"/>
        <v>2.1162171637446037E-2</v>
      </c>
    </row>
    <row r="48" spans="1:30" ht="13.25" customHeight="1" outlineLevel="1">
      <c r="A48" s="663"/>
      <c r="B48" s="666"/>
      <c r="C48" s="426" t="s">
        <v>283</v>
      </c>
      <c r="D48" s="405">
        <v>45267</v>
      </c>
      <c r="E48" s="399">
        <f t="shared" si="16"/>
        <v>9.0854279506114959E-3</v>
      </c>
      <c r="F48" s="430">
        <v>30000</v>
      </c>
      <c r="G48" s="399">
        <f t="shared" si="4"/>
        <v>5.9978048034419404E-3</v>
      </c>
      <c r="H48" s="431">
        <v>81546</v>
      </c>
      <c r="I48" s="399">
        <f t="shared" si="5"/>
        <v>1.2621981062539683E-2</v>
      </c>
      <c r="J48" s="430">
        <v>50000</v>
      </c>
      <c r="K48" s="399">
        <f t="shared" si="6"/>
        <v>7.4887776921893695E-3</v>
      </c>
      <c r="L48" s="431">
        <v>57591</v>
      </c>
      <c r="M48" s="399">
        <f t="shared" si="7"/>
        <v>9.3415906867953171E-3</v>
      </c>
      <c r="N48" s="430">
        <v>50000</v>
      </c>
      <c r="O48" s="399">
        <f t="shared" si="8"/>
        <v>8.4631725048451671E-3</v>
      </c>
      <c r="P48" s="430">
        <v>45422</v>
      </c>
      <c r="Q48" s="399">
        <f t="shared" si="9"/>
        <v>6.9642305454383768E-3</v>
      </c>
      <c r="R48" s="430">
        <v>50000</v>
      </c>
      <c r="S48" s="399">
        <f t="shared" si="10"/>
        <v>1.1081555371650988E-2</v>
      </c>
      <c r="T48" s="430">
        <v>51328</v>
      </c>
      <c r="U48" s="399">
        <f t="shared" si="11"/>
        <v>9.4612516877646859E-3</v>
      </c>
      <c r="V48" s="430">
        <v>50000</v>
      </c>
      <c r="W48" s="399">
        <f t="shared" si="12"/>
        <v>9.0000414001904401E-3</v>
      </c>
      <c r="X48" s="430">
        <v>61075</v>
      </c>
      <c r="Y48" s="399">
        <f t="shared" si="13"/>
        <v>9.9923922024164977E-3</v>
      </c>
      <c r="Z48" s="430">
        <v>60000</v>
      </c>
      <c r="AA48" s="401">
        <f t="shared" si="14"/>
        <v>7.5954558919217267E-3</v>
      </c>
      <c r="AB48" s="394"/>
      <c r="AC48" s="407">
        <f t="shared" si="3"/>
        <v>632229</v>
      </c>
      <c r="AD48" s="403">
        <f t="shared" si="15"/>
        <v>8.8770203930570515E-3</v>
      </c>
    </row>
    <row r="49" spans="1:30" ht="13.25" customHeight="1" outlineLevel="1">
      <c r="A49" s="663"/>
      <c r="B49" s="666"/>
      <c r="C49" s="426" t="s">
        <v>284</v>
      </c>
      <c r="D49" s="405">
        <v>39600</v>
      </c>
      <c r="E49" s="399">
        <f>D49/D$7</f>
        <v>7.9480183543025867E-3</v>
      </c>
      <c r="F49" s="427">
        <v>34100</v>
      </c>
      <c r="G49" s="399">
        <f t="shared" si="4"/>
        <v>6.8175047932456717E-3</v>
      </c>
      <c r="H49" s="427">
        <v>34100</v>
      </c>
      <c r="I49" s="399">
        <f t="shared" si="5"/>
        <v>5.2781197634783209E-3</v>
      </c>
      <c r="J49" s="427">
        <v>34100</v>
      </c>
      <c r="K49" s="399">
        <f t="shared" si="6"/>
        <v>5.1073463860731505E-3</v>
      </c>
      <c r="L49" s="427">
        <v>34100</v>
      </c>
      <c r="M49" s="399">
        <f t="shared" si="7"/>
        <v>5.5312156833484455E-3</v>
      </c>
      <c r="N49" s="427">
        <v>34100</v>
      </c>
      <c r="O49" s="399">
        <f>N49/N$7</f>
        <v>5.7718836483044034E-3</v>
      </c>
      <c r="P49" s="427">
        <v>34100</v>
      </c>
      <c r="Q49" s="399">
        <f t="shared" si="9"/>
        <v>5.2283092245926791E-3</v>
      </c>
      <c r="R49" s="427">
        <v>34100</v>
      </c>
      <c r="S49" s="399">
        <f t="shared" si="10"/>
        <v>7.5576207634659737E-3</v>
      </c>
      <c r="T49" s="427">
        <v>34100</v>
      </c>
      <c r="U49" s="399">
        <f t="shared" si="11"/>
        <v>6.2856273876398024E-3</v>
      </c>
      <c r="V49" s="427">
        <v>34100</v>
      </c>
      <c r="W49" s="399">
        <f t="shared" si="12"/>
        <v>6.1380282349298805E-3</v>
      </c>
      <c r="X49" s="427">
        <v>34100</v>
      </c>
      <c r="Y49" s="399">
        <f t="shared" si="13"/>
        <v>5.5790515612345899E-3</v>
      </c>
      <c r="Z49" s="427">
        <v>41030</v>
      </c>
      <c r="AA49" s="401">
        <f t="shared" si="14"/>
        <v>5.1940259207591405E-3</v>
      </c>
      <c r="AB49" s="394"/>
      <c r="AC49" s="407">
        <f t="shared" si="3"/>
        <v>421630</v>
      </c>
      <c r="AD49" s="403">
        <f t="shared" si="15"/>
        <v>5.9200354750013747E-3</v>
      </c>
    </row>
    <row r="50" spans="1:30" ht="13.25" customHeight="1" outlineLevel="1">
      <c r="A50" s="663"/>
      <c r="B50" s="666"/>
      <c r="C50" s="426" t="s">
        <v>285</v>
      </c>
      <c r="D50" s="405">
        <v>59471</v>
      </c>
      <c r="E50" s="399">
        <f t="shared" si="16"/>
        <v>1.193627776638205E-2</v>
      </c>
      <c r="F50" s="427">
        <v>95203</v>
      </c>
      <c r="G50" s="399">
        <f>F50/F$7</f>
        <v>1.9033633690069433E-2</v>
      </c>
      <c r="H50" s="427">
        <v>65406</v>
      </c>
      <c r="I50" s="399">
        <f t="shared" si="5"/>
        <v>1.0123774230207128E-2</v>
      </c>
      <c r="J50" s="427">
        <v>121718</v>
      </c>
      <c r="K50" s="399">
        <f t="shared" si="6"/>
        <v>1.8230380862758112E-2</v>
      </c>
      <c r="L50" s="427">
        <v>106887</v>
      </c>
      <c r="M50" s="399">
        <f t="shared" si="7"/>
        <v>1.7337684772611887E-2</v>
      </c>
      <c r="N50" s="427">
        <v>107348</v>
      </c>
      <c r="O50" s="399">
        <f t="shared" si="8"/>
        <v>1.8170092841002378E-2</v>
      </c>
      <c r="P50" s="427">
        <v>100000</v>
      </c>
      <c r="Q50" s="399">
        <f t="shared" si="9"/>
        <v>1.5332285116107562E-2</v>
      </c>
      <c r="R50" s="427">
        <v>54927</v>
      </c>
      <c r="S50" s="399">
        <f t="shared" si="10"/>
        <v>1.2173531837973477E-2</v>
      </c>
      <c r="T50" s="427">
        <v>77089</v>
      </c>
      <c r="U50" s="399">
        <f t="shared" si="11"/>
        <v>1.4209757468790754E-2</v>
      </c>
      <c r="V50" s="432">
        <v>69865</v>
      </c>
      <c r="W50" s="399">
        <f t="shared" si="12"/>
        <v>1.2575757848486102E-2</v>
      </c>
      <c r="X50" s="427">
        <v>60678</v>
      </c>
      <c r="Y50" s="399">
        <f t="shared" si="13"/>
        <v>9.9274396079939136E-3</v>
      </c>
      <c r="Z50" s="427">
        <v>133981</v>
      </c>
      <c r="AA50" s="401">
        <f t="shared" si="14"/>
        <v>1.6960779597592748E-2</v>
      </c>
      <c r="AB50" s="394"/>
      <c r="AC50" s="407">
        <f t="shared" si="3"/>
        <v>1052573</v>
      </c>
      <c r="AD50" s="403">
        <f t="shared" si="15"/>
        <v>1.4778999359695994E-2</v>
      </c>
    </row>
    <row r="51" spans="1:30" ht="13.25" customHeight="1" outlineLevel="1">
      <c r="A51" s="663"/>
      <c r="B51" s="666"/>
      <c r="C51" s="433" t="s">
        <v>286</v>
      </c>
      <c r="D51" s="405">
        <v>788242</v>
      </c>
      <c r="E51" s="399">
        <f t="shared" si="16"/>
        <v>0.15820610817252981</v>
      </c>
      <c r="F51" s="427">
        <v>1065475</v>
      </c>
      <c r="G51" s="399">
        <f t="shared" si="4"/>
        <v>0.21301703576491005</v>
      </c>
      <c r="H51" s="427">
        <v>1033411</v>
      </c>
      <c r="I51" s="399">
        <f t="shared" si="5"/>
        <v>0.15995504465970367</v>
      </c>
      <c r="J51" s="427">
        <v>904443</v>
      </c>
      <c r="K51" s="399">
        <f t="shared" si="6"/>
        <v>0.13546345124513659</v>
      </c>
      <c r="L51" s="427">
        <v>801115</v>
      </c>
      <c r="M51" s="399">
        <f t="shared" si="7"/>
        <v>0.12994545021013754</v>
      </c>
      <c r="N51" s="427">
        <v>829650</v>
      </c>
      <c r="O51" s="399">
        <f t="shared" si="8"/>
        <v>0.14042942137289585</v>
      </c>
      <c r="P51" s="427">
        <v>875410</v>
      </c>
      <c r="Q51" s="399">
        <f t="shared" si="9"/>
        <v>0.1342203571349172</v>
      </c>
      <c r="R51" s="432">
        <v>553656</v>
      </c>
      <c r="S51" s="399">
        <f t="shared" si="10"/>
        <v>0.12270739241693598</v>
      </c>
      <c r="T51" s="427">
        <v>841300</v>
      </c>
      <c r="U51" s="399">
        <f t="shared" si="11"/>
        <v>0.15507619710326587</v>
      </c>
      <c r="V51" s="427">
        <v>1192073</v>
      </c>
      <c r="W51" s="399">
        <f t="shared" si="12"/>
        <v>0.21457412704098439</v>
      </c>
      <c r="X51" s="427">
        <v>1168012</v>
      </c>
      <c r="Y51" s="399">
        <f t="shared" si="13"/>
        <v>0.19109674991615061</v>
      </c>
      <c r="Z51" s="427">
        <v>1318465</v>
      </c>
      <c r="AA51" s="401">
        <f t="shared" si="14"/>
        <v>0.16690571254237632</v>
      </c>
      <c r="AB51" s="394"/>
      <c r="AC51" s="407">
        <f t="shared" si="3"/>
        <v>11371252</v>
      </c>
      <c r="AD51" s="403">
        <f t="shared" si="15"/>
        <v>0.15966182490615075</v>
      </c>
    </row>
    <row r="52" spans="1:30" ht="13.25" customHeight="1" outlineLevel="1">
      <c r="A52" s="663"/>
      <c r="B52" s="666"/>
      <c r="C52" s="426" t="s">
        <v>287</v>
      </c>
      <c r="D52" s="434">
        <f>[1]Ｂ広告宣伝費!$C$9</f>
        <v>27500</v>
      </c>
      <c r="E52" s="399">
        <f t="shared" si="16"/>
        <v>5.5194571904879077E-3</v>
      </c>
      <c r="F52" s="435">
        <f>[1]Ｂ広告宣伝費!$G$9</f>
        <v>27500</v>
      </c>
      <c r="G52" s="399">
        <f t="shared" si="4"/>
        <v>5.4979877364884451E-3</v>
      </c>
      <c r="H52" s="436">
        <f>[1]Ｂ広告宣伝費!$K$9</f>
        <v>27500</v>
      </c>
      <c r="I52" s="399">
        <f t="shared" si="5"/>
        <v>4.2565481963534844E-3</v>
      </c>
      <c r="J52" s="436">
        <f>[1]Ｂ広告宣伝費!$C$17</f>
        <v>27500</v>
      </c>
      <c r="K52" s="399">
        <f t="shared" si="6"/>
        <v>4.1188277307041537E-3</v>
      </c>
      <c r="L52" s="436">
        <f>[1]Ｂ広告宣伝費!$G$17</f>
        <v>27500</v>
      </c>
      <c r="M52" s="399">
        <f t="shared" si="7"/>
        <v>4.4606578091519718E-3</v>
      </c>
      <c r="N52" s="436">
        <f>[1]Ｂ広告宣伝費!$K$17</f>
        <v>27500</v>
      </c>
      <c r="O52" s="399">
        <f t="shared" si="8"/>
        <v>4.6547448776648416E-3</v>
      </c>
      <c r="P52" s="437">
        <f>[1]Ｂ広告宣伝費!$C$26</f>
        <v>27500</v>
      </c>
      <c r="Q52" s="399">
        <f t="shared" si="9"/>
        <v>4.2163784069295792E-3</v>
      </c>
      <c r="R52" s="437">
        <f>[1]Ｂ広告宣伝費!$G$26</f>
        <v>27500</v>
      </c>
      <c r="S52" s="399">
        <f>R52/R$7</f>
        <v>6.094855454408043E-3</v>
      </c>
      <c r="T52" s="437">
        <f>[1]Ｂ広告宣伝費!$K$26</f>
        <v>0</v>
      </c>
      <c r="U52" s="399">
        <f t="shared" si="11"/>
        <v>0</v>
      </c>
      <c r="V52" s="437">
        <f>[1]Ｂ広告宣伝費!$C$34</f>
        <v>0</v>
      </c>
      <c r="W52" s="399">
        <f t="shared" si="12"/>
        <v>0</v>
      </c>
      <c r="X52" s="437">
        <f>[1]Ｂ広告宣伝費!$G$34</f>
        <v>0</v>
      </c>
      <c r="Y52" s="399">
        <f t="shared" si="13"/>
        <v>0</v>
      </c>
      <c r="Z52" s="437">
        <f>[1]Ｂ広告宣伝費!$K$34</f>
        <v>0</v>
      </c>
      <c r="AA52" s="401">
        <f>Z52/Z$7</f>
        <v>0</v>
      </c>
      <c r="AB52" s="394"/>
      <c r="AC52" s="407">
        <f t="shared" si="3"/>
        <v>220000</v>
      </c>
      <c r="AD52" s="403">
        <f t="shared" si="15"/>
        <v>3.088982768067506E-3</v>
      </c>
    </row>
    <row r="53" spans="1:30" ht="13.25" customHeight="1" outlineLevel="1">
      <c r="A53" s="663"/>
      <c r="B53" s="666"/>
      <c r="C53" s="426" t="s">
        <v>288</v>
      </c>
      <c r="D53" s="438">
        <f>[1]Ｂ通信費!$C$8</f>
        <v>13346</v>
      </c>
      <c r="E53" s="399">
        <f t="shared" si="16"/>
        <v>2.6786427514273316E-3</v>
      </c>
      <c r="F53" s="436">
        <f>[1]Ｂ通信費!$G$8</f>
        <v>12395</v>
      </c>
      <c r="G53" s="399">
        <f t="shared" si="4"/>
        <v>2.4780930179554282E-3</v>
      </c>
      <c r="H53" s="436">
        <f>[1]Ｂ通信費!$K$8</f>
        <v>12807</v>
      </c>
      <c r="I53" s="399">
        <f t="shared" si="5"/>
        <v>1.982313190934512E-3</v>
      </c>
      <c r="J53" s="436">
        <f>[1]Ｂ通信費!$C$16</f>
        <v>12675</v>
      </c>
      <c r="K53" s="399">
        <f t="shared" si="6"/>
        <v>1.8984051449700051E-3</v>
      </c>
      <c r="L53" s="436">
        <f>[1]Ｂ通信費!$G$16</f>
        <v>12845</v>
      </c>
      <c r="M53" s="399">
        <f t="shared" si="7"/>
        <v>2.0835327112202575E-3</v>
      </c>
      <c r="N53" s="436">
        <f>[1]Ｂ通信費!$K$16</f>
        <v>12948</v>
      </c>
      <c r="O53" s="399">
        <f t="shared" si="8"/>
        <v>2.1916231518547043E-3</v>
      </c>
      <c r="P53" s="436">
        <f>[1]Ｂ通信費!$C$24</f>
        <v>12913</v>
      </c>
      <c r="Q53" s="399">
        <f t="shared" si="9"/>
        <v>1.9798579770429693E-3</v>
      </c>
      <c r="R53" s="436">
        <f>[1]Ｂ通信費!$G$24</f>
        <v>12895</v>
      </c>
      <c r="S53" s="399">
        <f t="shared" si="10"/>
        <v>2.8579331303487899E-3</v>
      </c>
      <c r="T53" s="436">
        <f>[1]Ｂ通信費!$K$24</f>
        <v>12631</v>
      </c>
      <c r="U53" s="399">
        <f t="shared" si="11"/>
        <v>2.3282627429113884E-3</v>
      </c>
      <c r="V53" s="436">
        <f>[1]Ｂ通信費!$C$32</f>
        <v>13397</v>
      </c>
      <c r="W53" s="399">
        <f t="shared" si="12"/>
        <v>2.4114710927670268E-3</v>
      </c>
      <c r="X53" s="436">
        <f>[1]Ｂ通信費!$G$32</f>
        <v>12825</v>
      </c>
      <c r="Y53" s="399">
        <f t="shared" si="13"/>
        <v>2.0982796560948275E-3</v>
      </c>
      <c r="Z53" s="439">
        <f>[1]Ｂ通信費!$K$32</f>
        <v>12851</v>
      </c>
      <c r="AA53" s="401">
        <f t="shared" si="14"/>
        <v>1.6268200611181016E-3</v>
      </c>
      <c r="AB53" s="394"/>
      <c r="AC53" s="407">
        <f t="shared" si="3"/>
        <v>154528</v>
      </c>
      <c r="AD53" s="403">
        <f t="shared" si="15"/>
        <v>2.1697014962906163E-3</v>
      </c>
    </row>
    <row r="54" spans="1:30" ht="13.25" customHeight="1" outlineLevel="1">
      <c r="A54" s="663"/>
      <c r="B54" s="666"/>
      <c r="C54" s="404" t="s">
        <v>289</v>
      </c>
      <c r="D54" s="405">
        <v>52469</v>
      </c>
      <c r="E54" s="399">
        <f t="shared" si="16"/>
        <v>1.0530923611916728E-2</v>
      </c>
      <c r="F54" s="406">
        <v>46169</v>
      </c>
      <c r="G54" s="399">
        <f t="shared" si="4"/>
        <v>9.2304216656703651E-3</v>
      </c>
      <c r="H54" s="406">
        <v>84910</v>
      </c>
      <c r="I54" s="399">
        <f t="shared" si="5"/>
        <v>1.3142672994631796E-2</v>
      </c>
      <c r="J54" s="406">
        <v>58130</v>
      </c>
      <c r="K54" s="399">
        <f t="shared" si="6"/>
        <v>8.7064529449393611E-3</v>
      </c>
      <c r="L54" s="406">
        <v>69363</v>
      </c>
      <c r="M54" s="399">
        <f t="shared" si="7"/>
        <v>1.1251076640589391E-2</v>
      </c>
      <c r="N54" s="406">
        <v>56140</v>
      </c>
      <c r="O54" s="399">
        <f t="shared" si="8"/>
        <v>9.5024500884401519E-3</v>
      </c>
      <c r="P54" s="406">
        <v>58464</v>
      </c>
      <c r="Q54" s="399">
        <f t="shared" si="9"/>
        <v>8.9638671702811246E-3</v>
      </c>
      <c r="R54" s="406">
        <v>63148</v>
      </c>
      <c r="S54" s="399">
        <f t="shared" si="10"/>
        <v>1.3995561172180331E-2</v>
      </c>
      <c r="T54" s="406">
        <v>67472</v>
      </c>
      <c r="U54" s="399">
        <f t="shared" si="11"/>
        <v>1.2437063082077206E-2</v>
      </c>
      <c r="V54" s="406">
        <v>79884</v>
      </c>
      <c r="W54" s="399">
        <f>V54/V$7</f>
        <v>1.4379186144256264E-2</v>
      </c>
      <c r="X54" s="440">
        <v>61547</v>
      </c>
      <c r="Y54" s="399">
        <f t="shared" si="13"/>
        <v>1.0069615438102796E-2</v>
      </c>
      <c r="Z54" s="406">
        <v>61738</v>
      </c>
      <c r="AA54" s="401">
        <f t="shared" si="14"/>
        <v>7.8154709309243928E-3</v>
      </c>
      <c r="AB54" s="394"/>
      <c r="AC54" s="407">
        <f t="shared" si="3"/>
        <v>759434</v>
      </c>
      <c r="AD54" s="403">
        <f t="shared" si="15"/>
        <v>1.0663084270384447E-2</v>
      </c>
    </row>
    <row r="55" spans="1:30" ht="13.25" customHeight="1" outlineLevel="1">
      <c r="A55" s="663"/>
      <c r="B55" s="666"/>
      <c r="C55" s="441" t="s">
        <v>290</v>
      </c>
      <c r="D55" s="442">
        <f>[1]本部費用案分表!$C$3</f>
        <v>189240.47361648001</v>
      </c>
      <c r="E55" s="399">
        <f t="shared" si="16"/>
        <v>3.7981988830320647E-2</v>
      </c>
      <c r="F55" s="443">
        <f>[1]本部費用案分表!$C$4</f>
        <v>187138.62428976002</v>
      </c>
      <c r="G55" s="399">
        <f t="shared" si="4"/>
        <v>3.7414031322487974E-2</v>
      </c>
      <c r="H55" s="443">
        <f>[1]本部費用案分表!$C$5</f>
        <v>189235.95933528003</v>
      </c>
      <c r="I55" s="399">
        <f>H55/H$7</f>
        <v>2.9290617505229367E-2</v>
      </c>
      <c r="J55" s="443">
        <f>[1]本部費用案分表!$C$6</f>
        <v>191827.15674408001</v>
      </c>
      <c r="K55" s="399">
        <f t="shared" si="6"/>
        <v>2.8731018643623599E-2</v>
      </c>
      <c r="L55" s="443">
        <f>[1]本部費用案分表!$C$7</f>
        <v>189235.50790716</v>
      </c>
      <c r="M55" s="399">
        <f t="shared" si="7"/>
        <v>3.0695085313269567E-2</v>
      </c>
      <c r="N55" s="443">
        <f>[1]本部費用案分表!$C$8</f>
        <v>184814.22089988002</v>
      </c>
      <c r="O55" s="399">
        <f t="shared" si="8"/>
        <v>3.1282292656484911E-2</v>
      </c>
      <c r="P55" s="443">
        <f>[1]本部費用案分表!$C$9</f>
        <v>182730.42869796001</v>
      </c>
      <c r="Q55" s="399">
        <f t="shared" si="9"/>
        <v>2.8016750321856864E-2</v>
      </c>
      <c r="R55" s="443">
        <f>[1]本部費用案分表!$C$10</f>
        <v>182587.32598392002</v>
      </c>
      <c r="S55" s="399">
        <f t="shared" si="10"/>
        <v>4.0467031261049974E-2</v>
      </c>
      <c r="T55" s="443">
        <f>[1]本部費用案分表!$C$11</f>
        <v>178553.81573172001</v>
      </c>
      <c r="U55" s="399">
        <f t="shared" si="11"/>
        <v>3.2912690742841345E-2</v>
      </c>
      <c r="V55" s="443">
        <f>[1]本部費用案分表!$C$12</f>
        <v>182413.97758584001</v>
      </c>
      <c r="W55" s="399">
        <f t="shared" si="12"/>
        <v>3.2834667004919424E-2</v>
      </c>
      <c r="X55" s="443">
        <f>[1]本部費用案分表!$C$13</f>
        <v>174878.73940680001</v>
      </c>
      <c r="Y55" s="399">
        <f t="shared" si="13"/>
        <v>2.8611657012147938E-2</v>
      </c>
      <c r="Z55" s="443">
        <f>[1]本部費用案分表!$C$14</f>
        <v>178448.63297976</v>
      </c>
      <c r="AA55" s="401">
        <f t="shared" si="14"/>
        <v>2.258997867952493E-2</v>
      </c>
      <c r="AB55" s="394"/>
      <c r="AC55" s="407">
        <f t="shared" si="3"/>
        <v>2211104.8631786401</v>
      </c>
      <c r="AD55" s="403">
        <f t="shared" si="15"/>
        <v>3.1045749185223088E-2</v>
      </c>
    </row>
    <row r="56" spans="1:30" ht="13.25" customHeight="1" outlineLevel="1">
      <c r="A56" s="663"/>
      <c r="B56" s="666"/>
      <c r="C56" s="404" t="s">
        <v>291</v>
      </c>
      <c r="D56" s="405">
        <v>16242</v>
      </c>
      <c r="E56" s="399">
        <f t="shared" si="16"/>
        <v>3.2598917704692583E-3</v>
      </c>
      <c r="F56" s="406">
        <v>8667</v>
      </c>
      <c r="G56" s="399">
        <f t="shared" si="4"/>
        <v>1.7327658077143765E-3</v>
      </c>
      <c r="H56" s="406">
        <v>13531</v>
      </c>
      <c r="I56" s="399">
        <f t="shared" si="5"/>
        <v>2.0943764961766911E-3</v>
      </c>
      <c r="J56" s="406">
        <v>12173</v>
      </c>
      <c r="K56" s="399">
        <f t="shared" si="6"/>
        <v>1.823217816940424E-3</v>
      </c>
      <c r="L56" s="406">
        <v>12652</v>
      </c>
      <c r="M56" s="399">
        <f t="shared" si="7"/>
        <v>2.0522270036869364E-3</v>
      </c>
      <c r="N56" s="406">
        <v>12652</v>
      </c>
      <c r="O56" s="399">
        <f t="shared" si="8"/>
        <v>2.1415211706260207E-3</v>
      </c>
      <c r="P56" s="406">
        <v>9201</v>
      </c>
      <c r="Q56" s="399">
        <f>P56/P$7</f>
        <v>1.4107235535330569E-3</v>
      </c>
      <c r="R56" s="406">
        <v>9986</v>
      </c>
      <c r="S56" s="399">
        <f t="shared" si="10"/>
        <v>2.2132082388261354E-3</v>
      </c>
      <c r="T56" s="406">
        <v>10778</v>
      </c>
      <c r="U56" s="399">
        <f>T56/T$7</f>
        <v>1.9867006446915481E-3</v>
      </c>
      <c r="V56" s="406">
        <v>10778</v>
      </c>
      <c r="W56" s="399">
        <f t="shared" si="12"/>
        <v>1.9400489242250515E-3</v>
      </c>
      <c r="X56" s="406">
        <v>9570</v>
      </c>
      <c r="Y56" s="399">
        <f t="shared" si="13"/>
        <v>1.5657338252497075E-3</v>
      </c>
      <c r="Z56" s="406">
        <v>16242</v>
      </c>
      <c r="AA56" s="401">
        <f t="shared" si="14"/>
        <v>2.0560899099432112E-3</v>
      </c>
      <c r="AB56" s="394"/>
      <c r="AC56" s="407">
        <f t="shared" si="3"/>
        <v>142472</v>
      </c>
      <c r="AD56" s="403">
        <f t="shared" si="15"/>
        <v>2.0004252406005166E-3</v>
      </c>
    </row>
    <row r="57" spans="1:30" ht="13.25" customHeight="1" outlineLevel="1">
      <c r="A57" s="663"/>
      <c r="B57" s="666"/>
      <c r="C57" s="404" t="s">
        <v>292</v>
      </c>
      <c r="D57" s="405">
        <v>11675</v>
      </c>
      <c r="E57" s="399">
        <f t="shared" si="16"/>
        <v>2.3432604617798663E-3</v>
      </c>
      <c r="F57" s="406">
        <v>4844</v>
      </c>
      <c r="G57" s="399">
        <f t="shared" si="4"/>
        <v>9.6844554892909192E-4</v>
      </c>
      <c r="H57" s="406">
        <v>7274</v>
      </c>
      <c r="I57" s="399">
        <f t="shared" si="5"/>
        <v>1.1258956938281909E-3</v>
      </c>
      <c r="J57" s="406">
        <v>7201</v>
      </c>
      <c r="K57" s="399">
        <f t="shared" si="6"/>
        <v>1.0785337632291129E-3</v>
      </c>
      <c r="L57" s="406">
        <v>7944</v>
      </c>
      <c r="M57" s="399">
        <f t="shared" si="7"/>
        <v>1.2885623867601188E-3</v>
      </c>
      <c r="N57" s="406">
        <v>7944</v>
      </c>
      <c r="O57" s="399">
        <f t="shared" si="8"/>
        <v>1.3446288475698E-3</v>
      </c>
      <c r="P57" s="406">
        <v>8436</v>
      </c>
      <c r="Q57" s="399">
        <f t="shared" si="9"/>
        <v>1.2934315723948338E-3</v>
      </c>
      <c r="R57" s="406">
        <v>8387</v>
      </c>
      <c r="S57" s="399">
        <f t="shared" si="10"/>
        <v>1.8588200980407367E-3</v>
      </c>
      <c r="T57" s="406">
        <v>8694</v>
      </c>
      <c r="U57" s="399">
        <f t="shared" si="11"/>
        <v>1.602558489974793E-3</v>
      </c>
      <c r="V57" s="406">
        <v>8694</v>
      </c>
      <c r="W57" s="399">
        <f t="shared" si="12"/>
        <v>1.5649271986651139E-3</v>
      </c>
      <c r="X57" s="406">
        <v>7310</v>
      </c>
      <c r="Y57" s="399">
        <f t="shared" si="13"/>
        <v>1.195978501836506E-3</v>
      </c>
      <c r="Z57" s="406">
        <v>12298</v>
      </c>
      <c r="AA57" s="401">
        <f t="shared" si="14"/>
        <v>1.5568152759808899E-3</v>
      </c>
      <c r="AB57" s="394"/>
      <c r="AC57" s="407">
        <f t="shared" si="3"/>
        <v>100701</v>
      </c>
      <c r="AD57" s="403">
        <f t="shared" si="15"/>
        <v>1.413925698759845E-3</v>
      </c>
    </row>
    <row r="58" spans="1:30" ht="13.25" customHeight="1" outlineLevel="1" thickBot="1">
      <c r="A58" s="664"/>
      <c r="B58" s="667"/>
      <c r="C58" s="416" t="s">
        <v>293</v>
      </c>
      <c r="D58" s="444">
        <f>(D7-(D27+D29+D30+D31+D32+D33+D34+D35+D36+D37+D42+D43+D45+D46+D47+D48+D49+D50+D52+D53+D54+D44))/108*8</f>
        <v>108224.74074074074</v>
      </c>
      <c r="E58" s="445">
        <f t="shared" si="16"/>
        <v>2.1721520853460768E-2</v>
      </c>
      <c r="F58" s="446">
        <f>(F4+F7-(F42+F43+F27+F46+F47+F48+F52+F54+F53+F49+F29+F30+F44+F32+F33+F45+F35+F37+F50))/108*8</f>
        <v>496986.66666666669</v>
      </c>
      <c r="G58" s="445">
        <f t="shared" si="4"/>
        <v>9.9360967219331062E-2</v>
      </c>
      <c r="H58" s="446">
        <f>(H4+H7-(H42+H43+H27+H46+H47+H48+H52+H54+H53+H49+H29+H30+H44+H32+H33+H45+H35+H37+H50))/108*8</f>
        <v>677712.66666666663</v>
      </c>
      <c r="I58" s="445">
        <f t="shared" si="5"/>
        <v>0.10489878650712402</v>
      </c>
      <c r="J58" s="446">
        <f>(J4+J7-(J42+J43+J27+J46+J47+J48+J52+J54+J53+J49+J29+J30+J44+J32+J33+J45+J35+J37+J50))/108*8</f>
        <v>701751.92592592596</v>
      </c>
      <c r="K58" s="445">
        <f t="shared" si="6"/>
        <v>0.10510528336650002</v>
      </c>
      <c r="L58" s="446">
        <f>(L4+L7-(L42+L43+L27+L46+L47+L48+L52+L54+L53+L49+L29+L30+L44+L32+L33+L45+L35+L37+L50))/108*8</f>
        <v>645355.11111111112</v>
      </c>
      <c r="M58" s="445">
        <f t="shared" si="7"/>
        <v>0.10468030240196061</v>
      </c>
      <c r="N58" s="446">
        <f>(N4+N7-(N42+N43+N27+N46+N47+N48+N52+N54+N53+N49+N29+N30+N44+N32+N33+N45+N35+N37+N50))/108*8</f>
        <v>552708.74074074079</v>
      </c>
      <c r="O58" s="445">
        <f t="shared" si="8"/>
        <v>9.3553388356492656E-2</v>
      </c>
      <c r="P58" s="446">
        <f>(P4+P7-(P42+P43+P27+P46+P47+P48+P52+P54+P53+P49+P29+P30+P44+P32+P33+P45+P35+P37+P50))/108*8</f>
        <v>673925.03703703708</v>
      </c>
      <c r="Q58" s="445">
        <f t="shared" si="9"/>
        <v>0.10332810814735201</v>
      </c>
      <c r="R58" s="446">
        <f>(R4+R7-(R42+R43+R27+R46+R47+R48+R52+R54+R53+R49+R29+R30+R44+R32+R33+R45+R35+R37+R50))/110*10</f>
        <v>536762.36363636365</v>
      </c>
      <c r="S58" s="445">
        <f t="shared" si="10"/>
        <v>0.11896323708109252</v>
      </c>
      <c r="T58" s="446">
        <f>(T4+T7-(T42+T43+T27+T46+T47+T48+T52+T54+T53+T49+T29+T30+T44+T32+T33+T45+T35+T37+T50))/108*8</f>
        <v>533562.51851851854</v>
      </c>
      <c r="U58" s="445">
        <f t="shared" si="11"/>
        <v>9.8351178282054821E-2</v>
      </c>
      <c r="V58" s="446">
        <f>(V4+V7-(V42+V43+V27+V46+V47+V48+V52+V54+V53+V49+V29+V30+V44+V32+V33+V45+V35+V37+V50))/108*8</f>
        <v>545375.18518518517</v>
      </c>
      <c r="W58" s="445">
        <f t="shared" si="12"/>
        <v>9.8167984906063904E-2</v>
      </c>
      <c r="X58" s="446">
        <f>(X4+X7-(X42+X43+X27+X46+X47+X48+X52+X54+X53+X49+X29+X30+X44+X32+X33+X45+X35+X37+X50))/108*8</f>
        <v>624290.88888888888</v>
      </c>
      <c r="Y58" s="445">
        <f t="shared" si="13"/>
        <v>0.10213932722346292</v>
      </c>
      <c r="Z58" s="446">
        <f>(Z4+Z7-(Z42+Z43+Z27+Z46+Z47+Z48+Z52+Z54+Z53+Z49+Z29+Z30+Z44+Z32+Z33+Z45+Z35+Z37+Z50))/108*8</f>
        <v>847662.59259259258</v>
      </c>
      <c r="AA58" s="447">
        <f t="shared" si="14"/>
        <v>0.10730639722115089</v>
      </c>
      <c r="AB58" s="394"/>
      <c r="AC58" s="421">
        <f t="shared" si="3"/>
        <v>6944318.4377104379</v>
      </c>
      <c r="AD58" s="422">
        <f t="shared" si="15"/>
        <v>9.7503999954822757E-2</v>
      </c>
    </row>
    <row r="59" spans="1:30" ht="13.25" customHeight="1" outlineLevel="1" thickTop="1">
      <c r="A59" s="448"/>
      <c r="B59" s="301"/>
      <c r="C59" s="449" t="s">
        <v>294</v>
      </c>
      <c r="D59" s="450">
        <f>SUM(D27:D58)</f>
        <v>6130724.2143572206</v>
      </c>
      <c r="E59" s="399">
        <f>D59/D$7</f>
        <v>1.2304825399211743</v>
      </c>
      <c r="F59" s="451">
        <f>SUM(F27:F58)</f>
        <v>6676331.2909564273</v>
      </c>
      <c r="G59" s="399">
        <f>F59/F$7</f>
        <v>1.3347777295422729</v>
      </c>
      <c r="H59" s="451">
        <f>SUM(H27:H58)</f>
        <v>7233790.6260019466</v>
      </c>
      <c r="I59" s="399">
        <f t="shared" si="5"/>
        <v>1.1196719433420848</v>
      </c>
      <c r="J59" s="451">
        <f>SUM(J27:J58)</f>
        <v>7237538.082670006</v>
      </c>
      <c r="K59" s="399">
        <f t="shared" si="6"/>
        <v>1.0840062747974033</v>
      </c>
      <c r="L59" s="451">
        <f>SUM(L27:L58)</f>
        <v>6814506.6190182706</v>
      </c>
      <c r="M59" s="399">
        <f t="shared" si="7"/>
        <v>1.1053520787506055</v>
      </c>
      <c r="N59" s="451">
        <f>SUM(N27:N58)</f>
        <v>7482579.9616406206</v>
      </c>
      <c r="O59" s="399">
        <f t="shared" si="8"/>
        <v>1.266527299933246</v>
      </c>
      <c r="P59" s="451">
        <f>SUM(P27:P58)</f>
        <v>7236563.4657349978</v>
      </c>
      <c r="Q59" s="399">
        <f t="shared" si="9"/>
        <v>1.1095305431745646</v>
      </c>
      <c r="R59" s="451">
        <f>SUM(R27:R58)</f>
        <v>5951475.6896202834</v>
      </c>
      <c r="S59" s="399">
        <f t="shared" si="10"/>
        <v>1.3190321479512384</v>
      </c>
      <c r="T59" s="451">
        <f>SUM(T27:T58)</f>
        <v>6760423.3342502387</v>
      </c>
      <c r="U59" s="399">
        <f t="shared" si="11"/>
        <v>1.2461437554780788</v>
      </c>
      <c r="V59" s="451">
        <f>SUM(V27:V58)</f>
        <v>7228608.1627710257</v>
      </c>
      <c r="W59" s="399">
        <f t="shared" si="12"/>
        <v>1.3011554546138759</v>
      </c>
      <c r="X59" s="451">
        <f>SUM(X27:X58)</f>
        <v>7321213.6282956889</v>
      </c>
      <c r="Y59" s="399">
        <f t="shared" si="13"/>
        <v>1.1978131473042528</v>
      </c>
      <c r="Z59" s="451">
        <f>SUM(Z27:Z58)</f>
        <v>8293570.2255723523</v>
      </c>
      <c r="AA59" s="401">
        <f t="shared" si="14"/>
        <v>1.0498907805815021</v>
      </c>
      <c r="AB59" s="386"/>
      <c r="AC59" s="425">
        <f t="shared" si="3"/>
        <v>84367325.300889075</v>
      </c>
      <c r="AD59" s="396">
        <f t="shared" si="15"/>
        <v>1.1845873365563275</v>
      </c>
    </row>
    <row r="60" spans="1:30" ht="13.25" customHeight="1" outlineLevel="1" thickBot="1">
      <c r="A60" s="448"/>
      <c r="B60" s="301"/>
      <c r="C60" s="452" t="s">
        <v>295</v>
      </c>
      <c r="D60" s="453">
        <f>D7-D59</f>
        <v>-1148350.2143572206</v>
      </c>
      <c r="E60" s="411">
        <f>D60/D$7</f>
        <v>-0.23048253992117423</v>
      </c>
      <c r="F60" s="453">
        <f>F7-F59</f>
        <v>-1674501.2909564273</v>
      </c>
      <c r="G60" s="411">
        <f>F60/F$7</f>
        <v>-0.33477772954227297</v>
      </c>
      <c r="H60" s="453">
        <f>H7-H59</f>
        <v>-773156.62600194663</v>
      </c>
      <c r="I60" s="411">
        <f t="shared" si="5"/>
        <v>-0.11967194334208479</v>
      </c>
      <c r="J60" s="453">
        <f>J7-J59</f>
        <v>-560881.08267000597</v>
      </c>
      <c r="K60" s="411">
        <f t="shared" si="6"/>
        <v>-8.4006274797403246E-2</v>
      </c>
      <c r="L60" s="453">
        <f>L7-L59</f>
        <v>-649496.61901827063</v>
      </c>
      <c r="M60" s="411">
        <f t="shared" si="7"/>
        <v>-0.10535207875060554</v>
      </c>
      <c r="N60" s="453">
        <f>N7-N59</f>
        <v>-1574629.9616406206</v>
      </c>
      <c r="O60" s="411">
        <f t="shared" si="8"/>
        <v>-0.26652729993324598</v>
      </c>
      <c r="P60" s="453">
        <f>P7-P59</f>
        <v>-714378.46573499776</v>
      </c>
      <c r="Q60" s="411">
        <f t="shared" si="9"/>
        <v>-0.10953054317456462</v>
      </c>
      <c r="R60" s="453">
        <f>R7-R59</f>
        <v>-1439473.6896202834</v>
      </c>
      <c r="S60" s="411">
        <f t="shared" si="10"/>
        <v>-0.31903214795123835</v>
      </c>
      <c r="T60" s="453">
        <f>T7-T59</f>
        <v>-1335348.3342502387</v>
      </c>
      <c r="U60" s="411">
        <f t="shared" si="11"/>
        <v>-0.24614375547807887</v>
      </c>
      <c r="V60" s="453">
        <f>V7-V59</f>
        <v>-1673078.1627710257</v>
      </c>
      <c r="W60" s="411">
        <f t="shared" si="12"/>
        <v>-0.30115545461387583</v>
      </c>
      <c r="X60" s="453">
        <f>X7-X59</f>
        <v>-1209063.6282956889</v>
      </c>
      <c r="Y60" s="411">
        <f t="shared" si="13"/>
        <v>-0.19781314730425281</v>
      </c>
      <c r="Z60" s="453">
        <f>Z7-Z59</f>
        <v>-394110.2255723523</v>
      </c>
      <c r="AA60" s="412">
        <f t="shared" si="14"/>
        <v>-4.9890780581502064E-2</v>
      </c>
      <c r="AB60" s="386"/>
      <c r="AC60" s="454">
        <f>AC7-AC59</f>
        <v>-13146468.300889075</v>
      </c>
      <c r="AD60" s="422">
        <f t="shared" si="15"/>
        <v>-0.18458733655632753</v>
      </c>
    </row>
    <row r="61" spans="1:30" ht="13.25" customHeight="1" outlineLevel="1" thickTop="1" thickBot="1">
      <c r="A61" s="455"/>
      <c r="B61" s="378"/>
      <c r="C61" s="456" t="s">
        <v>296</v>
      </c>
      <c r="D61" s="457">
        <f>D60</f>
        <v>-1148350.2143572206</v>
      </c>
      <c r="E61" s="418"/>
      <c r="F61" s="458">
        <f>D61+F60</f>
        <v>-2822851.5053136479</v>
      </c>
      <c r="G61" s="418"/>
      <c r="H61" s="458">
        <f>F61+H60</f>
        <v>-3596008.1313155945</v>
      </c>
      <c r="I61" s="418"/>
      <c r="J61" s="458">
        <f>H61+J60</f>
        <v>-4156889.2139856005</v>
      </c>
      <c r="K61" s="418"/>
      <c r="L61" s="458">
        <f>J61+L60</f>
        <v>-4806385.8330038711</v>
      </c>
      <c r="M61" s="418"/>
      <c r="N61" s="458">
        <f>L61+N60</f>
        <v>-6381015.7946444917</v>
      </c>
      <c r="O61" s="418"/>
      <c r="P61" s="458">
        <f>N61+P60</f>
        <v>-7095394.2603794895</v>
      </c>
      <c r="Q61" s="418"/>
      <c r="R61" s="458">
        <f>P61+R60</f>
        <v>-8534867.949999772</v>
      </c>
      <c r="S61" s="418"/>
      <c r="T61" s="458">
        <f>R61+T60</f>
        <v>-9870216.2842500098</v>
      </c>
      <c r="U61" s="418"/>
      <c r="V61" s="458">
        <f>T61+V60</f>
        <v>-11543294.447021035</v>
      </c>
      <c r="W61" s="418"/>
      <c r="X61" s="458">
        <f>V61+X60</f>
        <v>-12752358.075316723</v>
      </c>
      <c r="Y61" s="418"/>
      <c r="Z61" s="458">
        <f>X61+Z60</f>
        <v>-13146468.300889075</v>
      </c>
      <c r="AA61" s="420"/>
      <c r="AB61" s="394"/>
      <c r="AC61" s="459"/>
      <c r="AD61" s="460"/>
    </row>
    <row r="62" spans="1:30" ht="12.75" customHeight="1" outlineLevel="1" thickTop="1" thickBot="1">
      <c r="A62" s="461"/>
      <c r="B62" s="462"/>
      <c r="C62" s="463" t="s">
        <v>297</v>
      </c>
      <c r="D62" s="464"/>
      <c r="E62" s="465"/>
      <c r="F62" s="465"/>
      <c r="G62" s="465"/>
      <c r="H62" s="465"/>
      <c r="I62" s="465"/>
      <c r="J62" s="465"/>
      <c r="K62" s="465"/>
      <c r="L62" s="465"/>
      <c r="M62" s="465"/>
      <c r="N62" s="465"/>
      <c r="O62" s="465"/>
      <c r="P62" s="465"/>
      <c r="Q62" s="465"/>
      <c r="R62" s="465"/>
      <c r="S62" s="465"/>
      <c r="T62" s="465"/>
      <c r="U62" s="465"/>
      <c r="V62" s="465"/>
      <c r="W62" s="465"/>
      <c r="X62" s="465"/>
      <c r="Y62" s="465"/>
      <c r="Z62" s="465"/>
      <c r="AA62" s="466"/>
      <c r="AC62" s="467"/>
      <c r="AD62" s="468"/>
    </row>
    <row r="63" spans="1:30" ht="19" thickBot="1"/>
    <row r="64" spans="1:30" ht="27" outlineLevel="1">
      <c r="C64" s="470" t="s">
        <v>298</v>
      </c>
      <c r="D64" s="658">
        <f>D7</f>
        <v>4982374</v>
      </c>
      <c r="E64" s="656"/>
      <c r="F64" s="656">
        <f>F7</f>
        <v>5001830</v>
      </c>
      <c r="G64" s="656"/>
      <c r="H64" s="656">
        <f>H7</f>
        <v>6460634</v>
      </c>
      <c r="I64" s="656"/>
      <c r="J64" s="656">
        <f>J7</f>
        <v>6676657</v>
      </c>
      <c r="K64" s="656"/>
      <c r="L64" s="656">
        <f>L7</f>
        <v>6165010</v>
      </c>
      <c r="M64" s="656"/>
      <c r="N64" s="656">
        <f>N7</f>
        <v>5907950</v>
      </c>
      <c r="O64" s="656"/>
      <c r="P64" s="656">
        <f>P7</f>
        <v>6522185</v>
      </c>
      <c r="Q64" s="656"/>
      <c r="R64" s="656">
        <f>R7</f>
        <v>4512002</v>
      </c>
      <c r="S64" s="656"/>
      <c r="T64" s="656">
        <f>T7</f>
        <v>5425075</v>
      </c>
      <c r="U64" s="656"/>
      <c r="V64" s="656">
        <f>V7</f>
        <v>5555530</v>
      </c>
      <c r="W64" s="656"/>
      <c r="X64" s="656">
        <f>X7</f>
        <v>6112150</v>
      </c>
      <c r="Y64" s="656"/>
      <c r="Z64" s="656">
        <f>Z7</f>
        <v>7899460</v>
      </c>
      <c r="AA64" s="657"/>
      <c r="AB64" s="471"/>
      <c r="AC64" s="654">
        <f>SUM(D64:AA64)</f>
        <v>71220857</v>
      </c>
      <c r="AD64" s="655"/>
    </row>
    <row r="65" spans="3:30" ht="20" outlineLevel="1">
      <c r="C65" s="472" t="s">
        <v>232</v>
      </c>
      <c r="D65" s="473">
        <f>$D$64*E65</f>
        <v>1743830.9</v>
      </c>
      <c r="E65" s="474">
        <f>IF(D64&gt;=10000000, 22%, IF(D64&gt;=9000000, 24%, IF(D64&gt;=8000000, 25%, IF(D64&gt;=7000000, 26%, IF(D64&gt;=6000000, 28%, IF(D64&gt;=5000000, 30%, 35%))))))</f>
        <v>0.35</v>
      </c>
      <c r="F65" s="475">
        <f>$F$64*G65</f>
        <v>1500549</v>
      </c>
      <c r="G65" s="474">
        <f>IF(F64&gt;=10000000, 22%, IF(F64&gt;=9000000, 24%, IF(F64&gt;=8000000, 25%, IF(F64&gt;=7000000, 26%, IF(F64&gt;=6000000, 28%, IF(F64&gt;=5000000, 30%, 35%))))))</f>
        <v>0.3</v>
      </c>
      <c r="H65" s="475">
        <f>$H$64*I65</f>
        <v>1808977.5200000003</v>
      </c>
      <c r="I65" s="474">
        <f>IF(H64&gt;=10000000, 22%, IF(H64&gt;=9000000, 24%, IF(H64&gt;=8000000, 25%, IF(H64&gt;=7000000, 26%, IF(H64&gt;=6000000, 28%, IF(H64&gt;=5000000, 30%, 35%))))))</f>
        <v>0.28000000000000003</v>
      </c>
      <c r="J65" s="475">
        <f>$J$64*K65</f>
        <v>1869463.9600000002</v>
      </c>
      <c r="K65" s="474">
        <f>IF(J64&gt;=10000000, 22%, IF(J64&gt;=9000000, 24%, IF(J64&gt;=8000000, 25%, IF(J64&gt;=7000000, 26%, IF(J64&gt;=6000000, 28%, IF(J64&gt;=5000000, 30%, 35%))))))</f>
        <v>0.28000000000000003</v>
      </c>
      <c r="L65" s="475">
        <f>$L$64*M65</f>
        <v>1726202.8000000003</v>
      </c>
      <c r="M65" s="474">
        <f>IF(L64&gt;=10000000, 22%, IF(L64&gt;=9000000, 24%, IF(L64&gt;=8000000, 25%, IF(L64&gt;=7000000, 26%, IF(L64&gt;=6000000, 28%, IF(L64&gt;=5000000, 30%, 35%))))))</f>
        <v>0.28000000000000003</v>
      </c>
      <c r="N65" s="475">
        <f>$N$64*O65</f>
        <v>1772385</v>
      </c>
      <c r="O65" s="474">
        <f>IF(N64&gt;=10000000, 22%, IF(N64&gt;=9000000, 24%, IF(N64&gt;=8000000, 25%, IF(N64&gt;=7000000, 26%, IF(N64&gt;=6000000, 28%, IF(N64&gt;=5000000, 30%, 35%))))))</f>
        <v>0.3</v>
      </c>
      <c r="P65" s="475">
        <f>$P$64*Q65</f>
        <v>1826211.8000000003</v>
      </c>
      <c r="Q65" s="474">
        <f>IF(P64&gt;=10000000, 22%, IF(P64&gt;=9000000, 24%, IF(P64&gt;=8000000, 25%, IF(P64&gt;=7000000, 26%, IF(P64&gt;=6000000, 28%, IF(P64&gt;=5000000, 30%, 35%))))))</f>
        <v>0.28000000000000003</v>
      </c>
      <c r="R65" s="475">
        <f>$R$64*S65</f>
        <v>1579200.7</v>
      </c>
      <c r="S65" s="474">
        <f>IF(R64&gt;=10000000, 22%, IF(R64&gt;=9000000, 24%, IF(R64&gt;=8000000, 25%, IF(R64&gt;=7000000, 26%, IF(R64&gt;=6000000, 28%, IF(R64&gt;=5000000, 30%, 35%))))))</f>
        <v>0.35</v>
      </c>
      <c r="T65" s="475">
        <f>$T$64*U65</f>
        <v>1627522.5</v>
      </c>
      <c r="U65" s="474">
        <f>IF(T64&gt;=10000000, 22%, IF(T64&gt;=9000000, 24%, IF(T64&gt;=8000000, 25%, IF(T64&gt;=7000000, 26%, IF(T64&gt;=6000000, 28%, IF(T64&gt;=5000000, 30%, 35%))))))</f>
        <v>0.3</v>
      </c>
      <c r="V65" s="475">
        <f>$V$64*W65</f>
        <v>1666659</v>
      </c>
      <c r="W65" s="474">
        <f>IF(V64&gt;=10000000, 22%, IF(V64&gt;=9000000, 24%, IF(V64&gt;=8000000, 25%, IF(V64&gt;=7000000, 26%, IF(V64&gt;=6000000, 28%, IF(V64&gt;=5000000, 30%, 35%))))))</f>
        <v>0.3</v>
      </c>
      <c r="X65" s="475">
        <f>$X$64*Y65</f>
        <v>1711402.0000000002</v>
      </c>
      <c r="Y65" s="474">
        <f>IF(X64&gt;=10000000, 22%, IF(X64&gt;=9000000, 24%, IF(X64&gt;=8000000, 25%, IF(X64&gt;=7000000, 26%, IF(X64&gt;=6000000, 28%, IF(X64&gt;=5000000, 30%, 35%))))))</f>
        <v>0.28000000000000003</v>
      </c>
      <c r="Z65" s="475">
        <f>$Z$64*AA65</f>
        <v>2053859.6</v>
      </c>
      <c r="AA65" s="476">
        <f>IF(Z64&gt;=10000000, 22%, IF(Z64&gt;=9000000, 24%, IF(Z64&gt;=8000000, 25%, IF(Z64&gt;=7000000, 26%, IF(Z64&gt;=6000000, 28%, IF(Z64&gt;=5000000, 30%, 35%))))))</f>
        <v>0.26</v>
      </c>
      <c r="AB65" s="471"/>
      <c r="AC65" s="407">
        <f t="shared" ref="AC65:AC71" si="17">D65+F65+H65+J65+L65+N65+P65+R65+T65+V65+X65+Z65</f>
        <v>20886264.780000001</v>
      </c>
      <c r="AD65" s="476">
        <f t="shared" ref="AD65:AD71" si="18">AC65/$AC$64</f>
        <v>0.29326050906688755</v>
      </c>
    </row>
    <row r="66" spans="3:30" ht="20" outlineLevel="1">
      <c r="C66" s="472" t="s">
        <v>233</v>
      </c>
      <c r="D66" s="473">
        <f>$D$64*E66</f>
        <v>3238543.1</v>
      </c>
      <c r="E66" s="474">
        <f>IF(D64&gt;=10000000, 50%, IF(D64&gt;=9000000, 52%, IF(D64&gt;=8000000, 54%, IF(D64&gt;=7000000, 56%, IF(D64&gt;=6000000, 58%, IF(D64&gt;=5000000, 60%, 65%))))))</f>
        <v>0.65</v>
      </c>
      <c r="F66" s="475">
        <f>$F$64*G66</f>
        <v>3001098</v>
      </c>
      <c r="G66" s="474">
        <f>IF(F64&gt;=10000000, 50%, IF(F64&gt;=9000000, 52%, IF(F64&gt;=8000000, 54%, IF(F64&gt;=7000000, 56%, IF(F64&gt;=6000000, 58%, IF(F64&gt;=5000000, 60%, 65%))))))</f>
        <v>0.6</v>
      </c>
      <c r="H66" s="475">
        <f>$H$64*I66</f>
        <v>3747167.7199999997</v>
      </c>
      <c r="I66" s="474">
        <f>IF(H64&gt;=10000000, 50%, IF(H64&gt;=9000000, 52%, IF(H64&gt;=8000000, 54%, IF(H64&gt;=7000000, 56%, IF(H64&gt;=6000000, 58%, IF(H64&gt;=5000000, 60%, 65%))))))</f>
        <v>0.57999999999999996</v>
      </c>
      <c r="J66" s="475">
        <f>$J$64*K66</f>
        <v>3872461.0599999996</v>
      </c>
      <c r="K66" s="474">
        <f>IF(J64&gt;=10000000, 50%, IF(J64&gt;=9000000, 52%, IF(J64&gt;=8000000, 54%, IF(J64&gt;=7000000, 56%, IF(J64&gt;=6000000, 58%, IF(J64&gt;=5000000, 60%, 65%))))))</f>
        <v>0.57999999999999996</v>
      </c>
      <c r="L66" s="475">
        <f>$L$64*M66</f>
        <v>3575705.8</v>
      </c>
      <c r="M66" s="474">
        <f>IF(L64&gt;=10000000, 50%, IF(L64&gt;=9000000, 52%, IF(L64&gt;=8000000, 54%, IF(L64&gt;=7000000, 56%, IF(L64&gt;=6000000, 58%, IF(L64&gt;=5000000, 60%, 65%))))))</f>
        <v>0.57999999999999996</v>
      </c>
      <c r="N66" s="475">
        <f>$N$64*O66</f>
        <v>3544770</v>
      </c>
      <c r="O66" s="474">
        <f>IF(N64&gt;=10000000, 50%, IF(N64&gt;=9000000, 52%, IF(N64&gt;=8000000, 54%, IF(N64&gt;=7000000, 56%, IF(N64&gt;=6000000, 58%, IF(N64&gt;=5000000, 60%, 65%))))))</f>
        <v>0.6</v>
      </c>
      <c r="P66" s="475">
        <f>$P$64*Q66</f>
        <v>3782867.3</v>
      </c>
      <c r="Q66" s="474">
        <f>IF(P64&gt;=10000000, 50%, IF(P64&gt;=9000000, 52%, IF(P64&gt;=8000000, 54%, IF(P64&gt;=7000000, 56%, IF(P64&gt;=6000000, 58%, IF(P64&gt;=5000000, 60%, 65%))))))</f>
        <v>0.57999999999999996</v>
      </c>
      <c r="R66" s="475">
        <f>$R$64*S66</f>
        <v>2932801.3000000003</v>
      </c>
      <c r="S66" s="474">
        <f>IF(R64&gt;=10000000, 50%, IF(R64&gt;=9000000, 52%, IF(R64&gt;=8000000, 54%, IF(R64&gt;=7000000, 56%, IF(R64&gt;=6000000, 58%, IF(R64&gt;=5000000, 60%, 65%))))))</f>
        <v>0.65</v>
      </c>
      <c r="T66" s="475">
        <f>$T$64*U66</f>
        <v>3255045</v>
      </c>
      <c r="U66" s="474">
        <f>IF(T64&gt;=10000000, 50%, IF(T64&gt;=9000000, 52%, IF(T64&gt;=8000000, 54%, IF(T64&gt;=7000000, 56%, IF(T64&gt;=6000000, 58%, IF(T64&gt;=5000000, 60%, 65%))))))</f>
        <v>0.6</v>
      </c>
      <c r="V66" s="475">
        <f>$V$64*W66</f>
        <v>3333318</v>
      </c>
      <c r="W66" s="474">
        <f>IF(V64&gt;=10000000, 50%, IF(V64&gt;=9000000, 52%, IF(V64&gt;=8000000, 54%, IF(V64&gt;=7000000, 56%, IF(V64&gt;=6000000, 58%, IF(V64&gt;=5000000, 60%, 65%))))))</f>
        <v>0.6</v>
      </c>
      <c r="X66" s="475">
        <f>$X$64*Y66</f>
        <v>3545046.9999999995</v>
      </c>
      <c r="Y66" s="474">
        <f>IF(X64&gt;=10000000, 50%, IF(X64&gt;=9000000, 52%, IF(X64&gt;=8000000, 54%, IF(X64&gt;=7000000, 56%, IF(X64&gt;=6000000, 58%, IF(X64&gt;=5000000, 60%, 65%))))))</f>
        <v>0.57999999999999996</v>
      </c>
      <c r="Z66" s="475">
        <f>$Z$64*AA66</f>
        <v>4423697.6000000006</v>
      </c>
      <c r="AA66" s="476">
        <f>IF(Z64&gt;=10000000, 50%, IF(Z64&gt;=9000000, 52%, IF(Z64&gt;=8000000, 54%, IF(Z64&gt;=7000000, 56%, IF(Z64&gt;=6000000, 58%, IF(Z64&gt;=5000000, 60%, 65%))))))</f>
        <v>0.56000000000000005</v>
      </c>
      <c r="AB66" s="471"/>
      <c r="AC66" s="407">
        <f t="shared" si="17"/>
        <v>42252521.880000003</v>
      </c>
      <c r="AD66" s="476">
        <f t="shared" si="18"/>
        <v>0.59326050906688754</v>
      </c>
    </row>
    <row r="67" spans="3:30" ht="21" outlineLevel="1" thickBot="1">
      <c r="C67" s="477" t="s">
        <v>299</v>
      </c>
      <c r="D67" s="478">
        <f>D64-D65-D66</f>
        <v>0</v>
      </c>
      <c r="E67" s="479">
        <f>((D64*E65)+(D64*E66))-D64</f>
        <v>0</v>
      </c>
      <c r="F67" s="480">
        <f>F64-F65-F66</f>
        <v>500183</v>
      </c>
      <c r="G67" s="479">
        <f>1-G65-G66</f>
        <v>9.9999999999999978E-2</v>
      </c>
      <c r="H67" s="480">
        <f>H64-H65-H66</f>
        <v>904488.75999999978</v>
      </c>
      <c r="I67" s="479">
        <f>1-I65-I66</f>
        <v>0.14000000000000001</v>
      </c>
      <c r="J67" s="480">
        <f>J64-J65-J66</f>
        <v>934731.98000000045</v>
      </c>
      <c r="K67" s="479">
        <f>1-K65-K66</f>
        <v>0.14000000000000001</v>
      </c>
      <c r="L67" s="480">
        <f>L64-L65-L66</f>
        <v>863101.39999999944</v>
      </c>
      <c r="M67" s="479">
        <f>1-M65-M66</f>
        <v>0.14000000000000001</v>
      </c>
      <c r="N67" s="480">
        <f>N64-N65-N66</f>
        <v>590795</v>
      </c>
      <c r="O67" s="479">
        <f>1-O65-O66</f>
        <v>9.9999999999999978E-2</v>
      </c>
      <c r="P67" s="480">
        <f>P64-P65-P66</f>
        <v>913105.89999999944</v>
      </c>
      <c r="Q67" s="479">
        <f>1-Q65-Q66</f>
        <v>0.14000000000000001</v>
      </c>
      <c r="R67" s="480">
        <f>R64-R65-R66</f>
        <v>0</v>
      </c>
      <c r="S67" s="479">
        <f>1-S65-S66</f>
        <v>0</v>
      </c>
      <c r="T67" s="480">
        <f>T64-T65-T66</f>
        <v>542507.5</v>
      </c>
      <c r="U67" s="479">
        <f>1-U65-U66</f>
        <v>9.9999999999999978E-2</v>
      </c>
      <c r="V67" s="480">
        <f>V64-V65-V66</f>
        <v>555553</v>
      </c>
      <c r="W67" s="479">
        <f>1-W65-W66</f>
        <v>9.9999999999999978E-2</v>
      </c>
      <c r="X67" s="480">
        <f>X64-X65-X66</f>
        <v>855701.00000000047</v>
      </c>
      <c r="Y67" s="479">
        <f>1-Y65-Y66</f>
        <v>0.14000000000000001</v>
      </c>
      <c r="Z67" s="480">
        <f>Z64-Z65-Z66</f>
        <v>1421902.7999999998</v>
      </c>
      <c r="AA67" s="481">
        <f>1-AA65-AA66</f>
        <v>0.17999999999999994</v>
      </c>
      <c r="AB67" s="471"/>
      <c r="AC67" s="421">
        <f t="shared" si="17"/>
        <v>8082070.3399999989</v>
      </c>
      <c r="AD67" s="481">
        <f t="shared" si="18"/>
        <v>0.11347898186622493</v>
      </c>
    </row>
    <row r="68" spans="3:30" ht="21" outlineLevel="1" thickTop="1">
      <c r="C68" s="482" t="s">
        <v>300</v>
      </c>
      <c r="D68" s="483">
        <f>$D$64*E68</f>
        <v>996474.8</v>
      </c>
      <c r="E68" s="484">
        <v>0.2</v>
      </c>
      <c r="F68" s="485">
        <f>$F$64*G68</f>
        <v>1000366</v>
      </c>
      <c r="G68" s="484">
        <v>0.2</v>
      </c>
      <c r="H68" s="485">
        <f>$H$64*I68</f>
        <v>1292126.8</v>
      </c>
      <c r="I68" s="484">
        <v>0.2</v>
      </c>
      <c r="J68" s="485">
        <f>$J$64*K68</f>
        <v>1335331.4000000001</v>
      </c>
      <c r="K68" s="484">
        <v>0.2</v>
      </c>
      <c r="L68" s="485">
        <f>$L$64*M68</f>
        <v>1233002</v>
      </c>
      <c r="M68" s="484">
        <v>0.2</v>
      </c>
      <c r="N68" s="485">
        <f>$N$64*O68</f>
        <v>1181590</v>
      </c>
      <c r="O68" s="484">
        <v>0.2</v>
      </c>
      <c r="P68" s="485">
        <f>$P$64*Q68</f>
        <v>1304437</v>
      </c>
      <c r="Q68" s="484">
        <v>0.2</v>
      </c>
      <c r="R68" s="485">
        <f>$R$64*S68</f>
        <v>902400.4</v>
      </c>
      <c r="S68" s="484">
        <v>0.2</v>
      </c>
      <c r="T68" s="485">
        <f>$T$64*U68</f>
        <v>1085015</v>
      </c>
      <c r="U68" s="484">
        <v>0.2</v>
      </c>
      <c r="V68" s="485">
        <f>$V$64*W68</f>
        <v>1111106</v>
      </c>
      <c r="W68" s="484">
        <v>0.2</v>
      </c>
      <c r="X68" s="485">
        <f>$X$64*Y68</f>
        <v>1222430</v>
      </c>
      <c r="Y68" s="484">
        <v>0.2</v>
      </c>
      <c r="Z68" s="485">
        <f>$Z$64*AA68</f>
        <v>1579892</v>
      </c>
      <c r="AA68" s="486">
        <v>0.2</v>
      </c>
      <c r="AB68" s="471"/>
      <c r="AC68" s="425">
        <f t="shared" si="17"/>
        <v>14244171.4</v>
      </c>
      <c r="AD68" s="486">
        <f t="shared" si="18"/>
        <v>0.2</v>
      </c>
    </row>
    <row r="69" spans="3:30" ht="20" outlineLevel="1">
      <c r="C69" s="472" t="s">
        <v>301</v>
      </c>
      <c r="D69" s="473">
        <f>$D$64*E69</f>
        <v>747356.1</v>
      </c>
      <c r="E69" s="474">
        <v>0.15</v>
      </c>
      <c r="F69" s="475">
        <f>$F$64*G69</f>
        <v>750274.5</v>
      </c>
      <c r="G69" s="474">
        <v>0.15</v>
      </c>
      <c r="H69" s="475">
        <f>$H$64*I69</f>
        <v>969095.1</v>
      </c>
      <c r="I69" s="474">
        <v>0.15</v>
      </c>
      <c r="J69" s="475">
        <f>$J$64*K69</f>
        <v>1001498.5499999999</v>
      </c>
      <c r="K69" s="474">
        <v>0.15</v>
      </c>
      <c r="L69" s="475">
        <f>$L$64*M69</f>
        <v>924751.5</v>
      </c>
      <c r="M69" s="474">
        <v>0.15</v>
      </c>
      <c r="N69" s="475">
        <f>$N$64*O69</f>
        <v>886192.5</v>
      </c>
      <c r="O69" s="474">
        <v>0.15</v>
      </c>
      <c r="P69" s="475">
        <f>$P$64*Q69</f>
        <v>978327.75</v>
      </c>
      <c r="Q69" s="474">
        <v>0.15</v>
      </c>
      <c r="R69" s="475">
        <f>$R$64*S69</f>
        <v>676800.29999999993</v>
      </c>
      <c r="S69" s="474">
        <v>0.15</v>
      </c>
      <c r="T69" s="475">
        <f>$T$64*U69</f>
        <v>813761.25</v>
      </c>
      <c r="U69" s="474">
        <v>0.15</v>
      </c>
      <c r="V69" s="475">
        <f>$V$64*W69</f>
        <v>833329.5</v>
      </c>
      <c r="W69" s="474">
        <v>0.15</v>
      </c>
      <c r="X69" s="475">
        <f>$X$64*Y69</f>
        <v>916822.5</v>
      </c>
      <c r="Y69" s="474">
        <v>0.15</v>
      </c>
      <c r="Z69" s="475">
        <f>$Z$64*AA69</f>
        <v>1184919</v>
      </c>
      <c r="AA69" s="476">
        <v>0.15</v>
      </c>
      <c r="AB69" s="471"/>
      <c r="AC69" s="407">
        <f t="shared" si="17"/>
        <v>10683128.550000001</v>
      </c>
      <c r="AD69" s="476">
        <f t="shared" si="18"/>
        <v>0.15000000000000002</v>
      </c>
    </row>
    <row r="70" spans="3:30" ht="20" outlineLevel="1">
      <c r="C70" s="472" t="s">
        <v>302</v>
      </c>
      <c r="D70" s="473">
        <f>$D$64*E70</f>
        <v>1743830.9</v>
      </c>
      <c r="E70" s="474">
        <v>0.35</v>
      </c>
      <c r="F70" s="475">
        <f>$F$64*G70</f>
        <v>1750640.5</v>
      </c>
      <c r="G70" s="474">
        <v>0.35</v>
      </c>
      <c r="H70" s="475">
        <f>$H$64*I70</f>
        <v>2261221.9</v>
      </c>
      <c r="I70" s="474">
        <v>0.35</v>
      </c>
      <c r="J70" s="475">
        <f>$J$64*K70</f>
        <v>2336829.9499999997</v>
      </c>
      <c r="K70" s="474">
        <v>0.35</v>
      </c>
      <c r="L70" s="475">
        <f>$L$64*M70</f>
        <v>2157753.5</v>
      </c>
      <c r="M70" s="474">
        <v>0.35</v>
      </c>
      <c r="N70" s="475">
        <f>$N$64*O70</f>
        <v>2067782.4999999998</v>
      </c>
      <c r="O70" s="474">
        <v>0.35</v>
      </c>
      <c r="P70" s="475">
        <f>$P$64*Q70</f>
        <v>2282764.75</v>
      </c>
      <c r="Q70" s="474">
        <v>0.35</v>
      </c>
      <c r="R70" s="475">
        <f>$R$64*S70</f>
        <v>1579200.7</v>
      </c>
      <c r="S70" s="474">
        <v>0.35</v>
      </c>
      <c r="T70" s="475">
        <f>$T$64*U70</f>
        <v>1898776.2499999998</v>
      </c>
      <c r="U70" s="474">
        <v>0.35</v>
      </c>
      <c r="V70" s="475">
        <f>$V$64*W70</f>
        <v>1944435.4999999998</v>
      </c>
      <c r="W70" s="474">
        <v>0.35</v>
      </c>
      <c r="X70" s="475">
        <f>$X$64*Y70</f>
        <v>2139252.5</v>
      </c>
      <c r="Y70" s="474">
        <v>0.35</v>
      </c>
      <c r="Z70" s="475">
        <f>$Z$64*AA70</f>
        <v>2764811</v>
      </c>
      <c r="AA70" s="476">
        <v>0.35</v>
      </c>
      <c r="AB70" s="471"/>
      <c r="AC70" s="407">
        <f t="shared" si="17"/>
        <v>24927299.949999999</v>
      </c>
      <c r="AD70" s="476">
        <f t="shared" si="18"/>
        <v>0.35</v>
      </c>
    </row>
    <row r="71" spans="3:30" ht="21" outlineLevel="1" thickBot="1">
      <c r="C71" s="487" t="s">
        <v>303</v>
      </c>
      <c r="D71" s="488">
        <f>$D$64*E71</f>
        <v>1594359.68</v>
      </c>
      <c r="E71" s="489">
        <v>0.32</v>
      </c>
      <c r="F71" s="490">
        <f>$F$64*G71</f>
        <v>1600585.6</v>
      </c>
      <c r="G71" s="489">
        <v>0.32</v>
      </c>
      <c r="H71" s="490">
        <f>$H$64*I71</f>
        <v>2067402.8800000001</v>
      </c>
      <c r="I71" s="489">
        <v>0.32</v>
      </c>
      <c r="J71" s="490">
        <f>$J$64*K71</f>
        <v>2136530.2400000002</v>
      </c>
      <c r="K71" s="489">
        <v>0.32</v>
      </c>
      <c r="L71" s="490">
        <f>$L$64*M71</f>
        <v>1972803.2</v>
      </c>
      <c r="M71" s="489">
        <v>0.32</v>
      </c>
      <c r="N71" s="490">
        <f>$N$64*O71</f>
        <v>1890544</v>
      </c>
      <c r="O71" s="489">
        <v>0.32</v>
      </c>
      <c r="P71" s="490">
        <f>$P$64*Q71</f>
        <v>2087099.2</v>
      </c>
      <c r="Q71" s="489">
        <v>0.32</v>
      </c>
      <c r="R71" s="490">
        <f>$R$64*S71</f>
        <v>1443840.6400000001</v>
      </c>
      <c r="S71" s="489">
        <v>0.32</v>
      </c>
      <c r="T71" s="490">
        <f>$T$64*U71</f>
        <v>1736024</v>
      </c>
      <c r="U71" s="489">
        <v>0.32</v>
      </c>
      <c r="V71" s="490">
        <f>$V$64*W71</f>
        <v>1777769.6</v>
      </c>
      <c r="W71" s="489">
        <v>0.32</v>
      </c>
      <c r="X71" s="490">
        <f>$X$64*Y71</f>
        <v>1955888</v>
      </c>
      <c r="Y71" s="489">
        <v>0.32</v>
      </c>
      <c r="Z71" s="490">
        <f>$Z$64*AA71</f>
        <v>2527827.2000000002</v>
      </c>
      <c r="AA71" s="491">
        <v>0.32</v>
      </c>
      <c r="AB71" s="471"/>
      <c r="AC71" s="492">
        <f t="shared" si="17"/>
        <v>22790674.239999998</v>
      </c>
      <c r="AD71" s="491">
        <f t="shared" si="18"/>
        <v>0.31999999999999995</v>
      </c>
    </row>
    <row r="80" spans="3:30" ht="20">
      <c r="D80" s="493"/>
      <c r="E80" s="494"/>
      <c r="J80" s="495"/>
    </row>
    <row r="81" spans="4:5" ht="20">
      <c r="D81" s="493"/>
      <c r="E81" s="495"/>
    </row>
    <row r="82" spans="4:5" ht="20">
      <c r="D82" s="493"/>
      <c r="E82" s="495"/>
    </row>
    <row r="83" spans="4:5" ht="20">
      <c r="D83" s="493"/>
      <c r="E83" s="495"/>
    </row>
    <row r="84" spans="4:5" ht="20">
      <c r="D84" s="496"/>
      <c r="E84" s="495"/>
    </row>
    <row r="85" spans="4:5" ht="20">
      <c r="D85" s="493"/>
      <c r="E85" s="495"/>
    </row>
    <row r="86" spans="4:5" ht="20">
      <c r="D86" s="493"/>
      <c r="E86" s="495"/>
    </row>
    <row r="87" spans="4:5" ht="20">
      <c r="E87" s="495"/>
    </row>
    <row r="88" spans="4:5" ht="20">
      <c r="D88" s="493"/>
      <c r="E88" s="495"/>
    </row>
    <row r="89" spans="4:5" ht="20">
      <c r="E89" s="495"/>
    </row>
    <row r="90" spans="4:5" ht="20">
      <c r="E90" s="495"/>
    </row>
    <row r="91" spans="4:5" ht="20">
      <c r="E91" s="495"/>
    </row>
    <row r="92" spans="4:5" ht="20">
      <c r="E92" s="495"/>
    </row>
    <row r="93" spans="4:5" ht="20">
      <c r="E93" s="495"/>
    </row>
    <row r="94" spans="4:5" ht="20">
      <c r="E94" s="495"/>
    </row>
    <row r="95" spans="4:5" ht="20">
      <c r="E95" s="495"/>
    </row>
    <row r="96" spans="4:5" ht="20">
      <c r="E96" s="495"/>
    </row>
    <row r="97" spans="5:5" ht="20">
      <c r="E97" s="495"/>
    </row>
    <row r="98" spans="5:5" ht="20">
      <c r="E98" s="495"/>
    </row>
    <row r="99" spans="5:5" ht="20">
      <c r="E99" s="495"/>
    </row>
    <row r="100" spans="5:5" ht="20">
      <c r="E100" s="495"/>
    </row>
    <row r="101" spans="5:5" ht="20">
      <c r="E101" s="495"/>
    </row>
    <row r="102" spans="5:5" ht="20">
      <c r="E102" s="495"/>
    </row>
    <row r="103" spans="5:5" ht="20">
      <c r="E103" s="495"/>
    </row>
    <row r="104" spans="5:5" ht="20">
      <c r="E104" s="495"/>
    </row>
    <row r="105" spans="5:5" ht="20">
      <c r="E105" s="495"/>
    </row>
    <row r="106" spans="5:5" ht="20">
      <c r="E106" s="495"/>
    </row>
    <row r="107" spans="5:5" ht="20">
      <c r="E107" s="495"/>
    </row>
    <row r="108" spans="5:5" ht="20">
      <c r="E108" s="495"/>
    </row>
    <row r="109" spans="5:5" ht="20">
      <c r="E109" s="495"/>
    </row>
    <row r="110" spans="5:5" ht="20">
      <c r="E110" s="495"/>
    </row>
    <row r="111" spans="5:5" ht="20">
      <c r="E111" s="495"/>
    </row>
    <row r="112" spans="5:5" ht="20">
      <c r="E112" s="495"/>
    </row>
    <row r="113" spans="5:5" ht="20">
      <c r="E113" s="495"/>
    </row>
    <row r="114" spans="5:5" ht="20">
      <c r="E114" s="495"/>
    </row>
    <row r="115" spans="5:5" ht="20">
      <c r="E115" s="495"/>
    </row>
    <row r="116" spans="5:5" ht="20">
      <c r="E116" s="495"/>
    </row>
    <row r="117" spans="5:5" ht="20">
      <c r="E117" s="495"/>
    </row>
    <row r="118" spans="5:5" ht="20">
      <c r="E118" s="495"/>
    </row>
    <row r="119" spans="5:5" ht="20">
      <c r="E119" s="495"/>
    </row>
  </sheetData>
  <sheetProtection selectLockedCells="1"/>
  <mergeCells count="124">
    <mergeCell ref="AC64:AD64"/>
    <mergeCell ref="P64:Q64"/>
    <mergeCell ref="R64:S64"/>
    <mergeCell ref="T64:U64"/>
    <mergeCell ref="V64:W64"/>
    <mergeCell ref="X64:Y64"/>
    <mergeCell ref="Z64:AA64"/>
    <mergeCell ref="D64:E64"/>
    <mergeCell ref="F64:G64"/>
    <mergeCell ref="H64:I64"/>
    <mergeCell ref="J64:K64"/>
    <mergeCell ref="L64:M64"/>
    <mergeCell ref="N64:O64"/>
    <mergeCell ref="V25:W25"/>
    <mergeCell ref="X25:Y25"/>
    <mergeCell ref="Z25:AA25"/>
    <mergeCell ref="AC25:AD25"/>
    <mergeCell ref="A27:A58"/>
    <mergeCell ref="B27:B41"/>
    <mergeCell ref="B42:B58"/>
    <mergeCell ref="Z24:AA24"/>
    <mergeCell ref="D25:E25"/>
    <mergeCell ref="F25:G25"/>
    <mergeCell ref="H25:I25"/>
    <mergeCell ref="J25:K25"/>
    <mergeCell ref="L25:M25"/>
    <mergeCell ref="N25:O25"/>
    <mergeCell ref="P25:Q25"/>
    <mergeCell ref="R25:S25"/>
    <mergeCell ref="T25:U25"/>
    <mergeCell ref="N24:O24"/>
    <mergeCell ref="P24:Q24"/>
    <mergeCell ref="R24:S24"/>
    <mergeCell ref="T24:U24"/>
    <mergeCell ref="V24:W24"/>
    <mergeCell ref="X24:Y24"/>
    <mergeCell ref="A23:C23"/>
    <mergeCell ref="D24:E24"/>
    <mergeCell ref="F24:G24"/>
    <mergeCell ref="H24:I24"/>
    <mergeCell ref="J24:K24"/>
    <mergeCell ref="L24:M24"/>
    <mergeCell ref="R22:S22"/>
    <mergeCell ref="T22:U22"/>
    <mergeCell ref="V22:W22"/>
    <mergeCell ref="X22:Y22"/>
    <mergeCell ref="Z22:AA22"/>
    <mergeCell ref="AC22:AD22"/>
    <mergeCell ref="F22:G22"/>
    <mergeCell ref="H22:I22"/>
    <mergeCell ref="J22:K22"/>
    <mergeCell ref="L22:M22"/>
    <mergeCell ref="N22:O22"/>
    <mergeCell ref="P22:Q22"/>
    <mergeCell ref="A8:B10"/>
    <mergeCell ref="A11:B15"/>
    <mergeCell ref="A16:B18"/>
    <mergeCell ref="A19:B21"/>
    <mergeCell ref="A22:C22"/>
    <mergeCell ref="D22:E22"/>
    <mergeCell ref="R7:S7"/>
    <mergeCell ref="T7:U7"/>
    <mergeCell ref="V7:W7"/>
    <mergeCell ref="X7:Y7"/>
    <mergeCell ref="Z7:AA7"/>
    <mergeCell ref="AC7:AD7"/>
    <mergeCell ref="V6:W6"/>
    <mergeCell ref="X6:Y6"/>
    <mergeCell ref="Z6:AA6"/>
    <mergeCell ref="D7:E7"/>
    <mergeCell ref="F7:G7"/>
    <mergeCell ref="H7:I7"/>
    <mergeCell ref="J7:K7"/>
    <mergeCell ref="L7:M7"/>
    <mergeCell ref="N7:O7"/>
    <mergeCell ref="P7:Q7"/>
    <mergeCell ref="D6:E6"/>
    <mergeCell ref="F6:G6"/>
    <mergeCell ref="H6:I6"/>
    <mergeCell ref="J6:K6"/>
    <mergeCell ref="L6:M6"/>
    <mergeCell ref="N6:O6"/>
    <mergeCell ref="P6:Q6"/>
    <mergeCell ref="R6:S6"/>
    <mergeCell ref="T6:U6"/>
    <mergeCell ref="V4:W4"/>
    <mergeCell ref="X4:Y4"/>
    <mergeCell ref="Z4:AA4"/>
    <mergeCell ref="D5:E5"/>
    <mergeCell ref="F5:G5"/>
    <mergeCell ref="H5:I5"/>
    <mergeCell ref="J5:K5"/>
    <mergeCell ref="L5:M5"/>
    <mergeCell ref="Z5:AA5"/>
    <mergeCell ref="N5:O5"/>
    <mergeCell ref="P5:Q5"/>
    <mergeCell ref="R5:S5"/>
    <mergeCell ref="T5:U5"/>
    <mergeCell ref="V5:W5"/>
    <mergeCell ref="X5:Y5"/>
    <mergeCell ref="Z3:AA3"/>
    <mergeCell ref="AC3:AD6"/>
    <mergeCell ref="A4:B7"/>
    <mergeCell ref="D4:E4"/>
    <mergeCell ref="F4:G4"/>
    <mergeCell ref="H4:I4"/>
    <mergeCell ref="J4:K4"/>
    <mergeCell ref="L4:M4"/>
    <mergeCell ref="N4:O4"/>
    <mergeCell ref="P4:Q4"/>
    <mergeCell ref="N3:O3"/>
    <mergeCell ref="P3:Q3"/>
    <mergeCell ref="R3:S3"/>
    <mergeCell ref="T3:U3"/>
    <mergeCell ref="V3:W3"/>
    <mergeCell ref="X3:Y3"/>
    <mergeCell ref="A3:B3"/>
    <mergeCell ref="D3:E3"/>
    <mergeCell ref="F3:G3"/>
    <mergeCell ref="H3:I3"/>
    <mergeCell ref="J3:K3"/>
    <mergeCell ref="L3:M3"/>
    <mergeCell ref="R4:S4"/>
    <mergeCell ref="T4:U4"/>
  </mergeCells>
  <phoneticPr fontId="2"/>
  <pageMargins left="0.19685039370078741" right="0.19685039370078741" top="0.19685039370078741" bottom="0.19685039370078741" header="0.31496062992125984" footer="0.31496062992125984"/>
  <pageSetup paperSize="9" scale="63" fitToWidth="0" orientation="landscape" r:id="rId1"/>
  <colBreaks count="2" manualBreakCount="2">
    <brk id="11" min="1" max="42" man="1"/>
    <brk id="21" min="1" max="42" man="1"/>
  </colBreak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13</vt:i4>
      </vt:variant>
      <vt:variant>
        <vt:lpstr>名前付き一覧</vt:lpstr>
      </vt:variant>
      <vt:variant>
        <vt:i4>5</vt:i4>
      </vt:variant>
    </vt:vector>
  </HeadingPairs>
  <TitlesOfParts>
    <vt:vector size="18" baseType="lpstr">
      <vt:lpstr>★プラナバルカ戦略表</vt:lpstr>
      <vt:lpstr>下方修正案</vt:lpstr>
      <vt:lpstr>目標_2025R7</vt:lpstr>
      <vt:lpstr>目標_2025R7 (2)</vt:lpstr>
      <vt:lpstr>適正原価率表(仕入れお小遣い制度)</vt:lpstr>
      <vt:lpstr>戦略シート</vt:lpstr>
      <vt:lpstr>実績_2024R6</vt:lpstr>
      <vt:lpstr>適正人件費表</vt:lpstr>
      <vt:lpstr>適正原価＆人件費プリントアウト用</vt:lpstr>
      <vt:lpstr>月次累積原価率表</vt:lpstr>
      <vt:lpstr>2024年間データ</vt:lpstr>
      <vt:lpstr>バルカ18期</vt:lpstr>
      <vt:lpstr>バルカ18期 (2)</vt:lpstr>
      <vt:lpstr>バルカ18期!Print_Area</vt:lpstr>
      <vt:lpstr>'バルカ18期 (2)'!Print_Area</vt:lpstr>
      <vt:lpstr>'目標_2025R7 (2)'!Print_Area</vt:lpstr>
      <vt:lpstr>バルカ18期!Print_Titles</vt:lpstr>
      <vt:lpstr>'バルカ18期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松下真一朗</dc:creator>
  <cp:lastModifiedBy>真一朗 松下</cp:lastModifiedBy>
  <cp:lastPrinted>2026-06-04T14:41:23Z</cp:lastPrinted>
  <dcterms:created xsi:type="dcterms:W3CDTF">2025-05-23T04:58:39Z</dcterms:created>
  <dcterms:modified xsi:type="dcterms:W3CDTF">2026-06-29T13:01:57Z</dcterms:modified>
</cp:coreProperties>
</file>